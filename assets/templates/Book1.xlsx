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xampp\htdocs\codeigniter\assets\templates\"/>
    </mc:Choice>
  </mc:AlternateContent>
  <xr:revisionPtr revIDLastSave="0" documentId="13_ncr:1_{FB10D9B0-0D57-4E51-A360-A98A0039AFA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Nutritional Status" sheetId="1" r:id="rId1"/>
  </sheets>
  <definedNames>
    <definedName name="es37\" localSheetId="0">'Nutritional Status'!$N$37</definedName>
    <definedName name="_xlnm.Print_Area" localSheetId="0">'Nutritional Status'!$A$1:$N$89</definedName>
    <definedName name="ro" localSheetId="0">'Nutritional Status'!$AY$1:$BF$81</definedName>
    <definedName name="ronnie" localSheetId="0">'Nutritional Status'!$AY$1:$BF$81</definedName>
  </definedNames>
  <calcPr calcId="191029"/>
</workbook>
</file>

<file path=xl/calcChain.xml><?xml version="1.0" encoding="utf-8"?>
<calcChain xmlns="http://schemas.openxmlformats.org/spreadsheetml/2006/main">
  <c r="BR170" i="1" l="1"/>
  <c r="CC169" i="1"/>
  <c r="BZ169" i="1"/>
  <c r="BR169" i="1"/>
  <c r="BO169" i="1"/>
  <c r="CC168" i="1"/>
  <c r="BZ168" i="1"/>
  <c r="BR168" i="1"/>
  <c r="BO168" i="1"/>
  <c r="CC167" i="1"/>
  <c r="BZ167" i="1"/>
  <c r="BR167" i="1"/>
  <c r="BO167" i="1"/>
  <c r="CC166" i="1"/>
  <c r="BZ166" i="1"/>
  <c r="BR166" i="1"/>
  <c r="BO166" i="1"/>
  <c r="CC165" i="1"/>
  <c r="BZ165" i="1"/>
  <c r="BR165" i="1"/>
  <c r="BO165" i="1"/>
  <c r="CC164" i="1"/>
  <c r="BZ164" i="1"/>
  <c r="BR164" i="1"/>
  <c r="BO164" i="1"/>
  <c r="CC163" i="1"/>
  <c r="BZ163" i="1"/>
  <c r="BR163" i="1"/>
  <c r="BO163" i="1"/>
  <c r="CC162" i="1"/>
  <c r="BZ162" i="1"/>
  <c r="BR162" i="1"/>
  <c r="BO162" i="1"/>
  <c r="CC161" i="1"/>
  <c r="BZ161" i="1"/>
  <c r="BR161" i="1"/>
  <c r="BO161" i="1"/>
  <c r="CC160" i="1"/>
  <c r="BZ160" i="1"/>
  <c r="BR160" i="1"/>
  <c r="BO160" i="1"/>
  <c r="CC159" i="1"/>
  <c r="BZ159" i="1"/>
  <c r="BR159" i="1"/>
  <c r="BO159" i="1"/>
  <c r="CC158" i="1"/>
  <c r="BZ158" i="1"/>
  <c r="BR158" i="1"/>
  <c r="BO158" i="1"/>
  <c r="CC157" i="1"/>
  <c r="BZ157" i="1"/>
  <c r="BR157" i="1"/>
  <c r="BO157" i="1"/>
  <c r="CC156" i="1"/>
  <c r="BZ156" i="1"/>
  <c r="BR156" i="1"/>
  <c r="BO156" i="1"/>
  <c r="CC155" i="1"/>
  <c r="BZ155" i="1"/>
  <c r="BR155" i="1"/>
  <c r="BO155" i="1"/>
  <c r="CC154" i="1"/>
  <c r="BZ154" i="1"/>
  <c r="BR154" i="1"/>
  <c r="BO154" i="1"/>
  <c r="CC153" i="1"/>
  <c r="BZ153" i="1"/>
  <c r="BR153" i="1"/>
  <c r="BO153" i="1"/>
  <c r="CC152" i="1"/>
  <c r="BZ152" i="1"/>
  <c r="BR152" i="1"/>
  <c r="BO152" i="1"/>
  <c r="CC151" i="1"/>
  <c r="BZ151" i="1"/>
  <c r="BR151" i="1"/>
  <c r="BO151" i="1"/>
  <c r="CC150" i="1"/>
  <c r="BZ150" i="1"/>
  <c r="BR150" i="1"/>
  <c r="BO150" i="1"/>
  <c r="CC149" i="1"/>
  <c r="BZ149" i="1"/>
  <c r="BR149" i="1"/>
  <c r="BO149" i="1"/>
  <c r="CC148" i="1"/>
  <c r="BZ148" i="1"/>
  <c r="BR148" i="1"/>
  <c r="BO148" i="1"/>
  <c r="CC147" i="1"/>
  <c r="BZ147" i="1"/>
  <c r="BR147" i="1"/>
  <c r="BO147" i="1"/>
  <c r="CC146" i="1"/>
  <c r="BZ146" i="1"/>
  <c r="BR146" i="1"/>
  <c r="BO146" i="1"/>
  <c r="CC145" i="1"/>
  <c r="BZ145" i="1"/>
  <c r="BR145" i="1"/>
  <c r="BO145" i="1"/>
  <c r="CC144" i="1"/>
  <c r="BZ144" i="1"/>
  <c r="BR144" i="1"/>
  <c r="BO144" i="1"/>
  <c r="CC143" i="1"/>
  <c r="BZ143" i="1"/>
  <c r="BR143" i="1"/>
  <c r="BO143" i="1"/>
  <c r="CC142" i="1"/>
  <c r="BZ142" i="1"/>
  <c r="BR142" i="1"/>
  <c r="BO142" i="1"/>
  <c r="CC141" i="1"/>
  <c r="BZ141" i="1"/>
  <c r="BR141" i="1"/>
  <c r="BO141" i="1"/>
  <c r="CC140" i="1"/>
  <c r="BZ140" i="1"/>
  <c r="BR140" i="1"/>
  <c r="BO140" i="1"/>
  <c r="CC139" i="1"/>
  <c r="BZ139" i="1"/>
  <c r="BR139" i="1"/>
  <c r="BO139" i="1"/>
  <c r="CC138" i="1"/>
  <c r="BZ138" i="1"/>
  <c r="BR138" i="1"/>
  <c r="BO138" i="1"/>
  <c r="CC137" i="1"/>
  <c r="BZ137" i="1"/>
  <c r="BR137" i="1"/>
  <c r="BO137" i="1"/>
  <c r="CC136" i="1"/>
  <c r="BZ136" i="1"/>
  <c r="BR136" i="1"/>
  <c r="BO136" i="1"/>
  <c r="CC135" i="1"/>
  <c r="BZ135" i="1"/>
  <c r="BR135" i="1"/>
  <c r="BO135" i="1"/>
  <c r="CC134" i="1"/>
  <c r="BZ134" i="1"/>
  <c r="BR134" i="1"/>
  <c r="BO134" i="1"/>
  <c r="CC133" i="1"/>
  <c r="BZ133" i="1"/>
  <c r="BR133" i="1"/>
  <c r="BO133" i="1"/>
  <c r="CC132" i="1"/>
  <c r="BZ132" i="1"/>
  <c r="BR132" i="1"/>
  <c r="BO132" i="1"/>
  <c r="CC131" i="1"/>
  <c r="BZ131" i="1"/>
  <c r="BR131" i="1"/>
  <c r="BO131" i="1"/>
  <c r="CC130" i="1"/>
  <c r="BZ130" i="1"/>
  <c r="BR130" i="1"/>
  <c r="BO130" i="1"/>
  <c r="CC129" i="1"/>
  <c r="BZ129" i="1"/>
  <c r="BR129" i="1"/>
  <c r="BO129" i="1"/>
  <c r="CC128" i="1"/>
  <c r="BZ128" i="1"/>
  <c r="BR128" i="1"/>
  <c r="BO128" i="1"/>
  <c r="CC127" i="1"/>
  <c r="BZ127" i="1"/>
  <c r="BR127" i="1"/>
  <c r="BO127" i="1"/>
  <c r="CC126" i="1"/>
  <c r="BZ126" i="1"/>
  <c r="BR126" i="1"/>
  <c r="BO126" i="1"/>
  <c r="CC125" i="1"/>
  <c r="BZ125" i="1"/>
  <c r="BR125" i="1"/>
  <c r="BO125" i="1"/>
  <c r="CC124" i="1"/>
  <c r="BZ124" i="1"/>
  <c r="BR124" i="1"/>
  <c r="BO124" i="1"/>
  <c r="CC123" i="1"/>
  <c r="BZ123" i="1"/>
  <c r="BR123" i="1"/>
  <c r="BO123" i="1"/>
  <c r="CC122" i="1"/>
  <c r="BZ122" i="1"/>
  <c r="BR122" i="1"/>
  <c r="BO122" i="1"/>
  <c r="CC121" i="1"/>
  <c r="BZ121" i="1"/>
  <c r="BR121" i="1"/>
  <c r="BO121" i="1"/>
  <c r="CC120" i="1"/>
  <c r="BZ120" i="1"/>
  <c r="BR120" i="1"/>
  <c r="BO120" i="1"/>
  <c r="CC119" i="1"/>
  <c r="BZ119" i="1"/>
  <c r="BR119" i="1"/>
  <c r="BO119" i="1"/>
  <c r="CC118" i="1"/>
  <c r="BZ118" i="1"/>
  <c r="BR118" i="1"/>
  <c r="BO118" i="1"/>
  <c r="CC117" i="1"/>
  <c r="BZ117" i="1"/>
  <c r="BR117" i="1"/>
  <c r="BO117" i="1"/>
  <c r="CC116" i="1"/>
  <c r="BZ116" i="1"/>
  <c r="BR116" i="1"/>
  <c r="BO116" i="1"/>
  <c r="CC115" i="1"/>
  <c r="BZ115" i="1"/>
  <c r="BR115" i="1"/>
  <c r="BO115" i="1"/>
  <c r="CC114" i="1"/>
  <c r="BZ114" i="1"/>
  <c r="BR114" i="1"/>
  <c r="BO114" i="1"/>
  <c r="CC113" i="1"/>
  <c r="BZ113" i="1"/>
  <c r="BR113" i="1"/>
  <c r="BO113" i="1"/>
  <c r="CC112" i="1"/>
  <c r="BZ112" i="1"/>
  <c r="BR112" i="1"/>
  <c r="BO112" i="1"/>
  <c r="CC111" i="1"/>
  <c r="BZ111" i="1"/>
  <c r="BR111" i="1"/>
  <c r="BO111" i="1"/>
  <c r="CC110" i="1"/>
  <c r="BZ110" i="1"/>
  <c r="BR110" i="1"/>
  <c r="BO110" i="1"/>
  <c r="CC109" i="1"/>
  <c r="BZ109" i="1"/>
  <c r="BR109" i="1"/>
  <c r="BO109" i="1"/>
  <c r="CC108" i="1"/>
  <c r="BZ108" i="1"/>
  <c r="BR108" i="1"/>
  <c r="BO108" i="1"/>
  <c r="CC107" i="1"/>
  <c r="BZ107" i="1"/>
  <c r="BR107" i="1"/>
  <c r="BO107" i="1"/>
  <c r="CC106" i="1"/>
  <c r="BZ106" i="1"/>
  <c r="BR106" i="1"/>
  <c r="BO106" i="1"/>
  <c r="CC105" i="1"/>
  <c r="BZ105" i="1"/>
  <c r="BR105" i="1"/>
  <c r="BO105" i="1"/>
  <c r="CC104" i="1"/>
  <c r="BZ104" i="1"/>
  <c r="BR104" i="1"/>
  <c r="BO104" i="1"/>
  <c r="CC103" i="1"/>
  <c r="BZ103" i="1"/>
  <c r="BR103" i="1"/>
  <c r="BO103" i="1"/>
  <c r="CC102" i="1"/>
  <c r="BZ102" i="1"/>
  <c r="BR102" i="1"/>
  <c r="BO102" i="1"/>
  <c r="CC101" i="1"/>
  <c r="BZ101" i="1"/>
  <c r="BR101" i="1"/>
  <c r="BO101" i="1"/>
  <c r="CC100" i="1"/>
  <c r="BZ100" i="1"/>
  <c r="BR100" i="1"/>
  <c r="BO100" i="1"/>
  <c r="CC99" i="1"/>
  <c r="BZ99" i="1"/>
  <c r="BR99" i="1"/>
  <c r="BO99" i="1"/>
  <c r="CC98" i="1"/>
  <c r="BZ98" i="1"/>
  <c r="BR98" i="1"/>
  <c r="BO98" i="1"/>
  <c r="CC97" i="1"/>
  <c r="BZ97" i="1"/>
  <c r="BR97" i="1"/>
  <c r="BO97" i="1"/>
  <c r="CC96" i="1"/>
  <c r="BZ96" i="1"/>
  <c r="BR96" i="1"/>
  <c r="BO96" i="1"/>
  <c r="CC95" i="1"/>
  <c r="BZ95" i="1"/>
  <c r="BR95" i="1"/>
  <c r="BO95" i="1"/>
  <c r="CC94" i="1"/>
  <c r="BZ94" i="1"/>
  <c r="BR94" i="1"/>
  <c r="BO94" i="1"/>
  <c r="CC93" i="1"/>
  <c r="BZ93" i="1"/>
  <c r="BR93" i="1"/>
  <c r="BO93" i="1"/>
  <c r="CC92" i="1"/>
  <c r="BZ92" i="1"/>
  <c r="BR92" i="1"/>
  <c r="BO92" i="1"/>
  <c r="CC91" i="1"/>
  <c r="BZ91" i="1"/>
  <c r="BR91" i="1"/>
  <c r="BO91" i="1"/>
  <c r="CC90" i="1"/>
  <c r="BZ90" i="1"/>
  <c r="BR90" i="1"/>
  <c r="BO90" i="1"/>
  <c r="CC89" i="1"/>
  <c r="BZ89" i="1"/>
  <c r="BR89" i="1"/>
  <c r="BO89" i="1"/>
  <c r="CC88" i="1"/>
  <c r="BZ88" i="1"/>
  <c r="BR88" i="1"/>
  <c r="BO88" i="1"/>
  <c r="CC87" i="1"/>
  <c r="BZ87" i="1"/>
  <c r="BR87" i="1"/>
  <c r="BO87" i="1"/>
  <c r="CC86" i="1"/>
  <c r="BZ86" i="1"/>
  <c r="BR86" i="1"/>
  <c r="BO86" i="1"/>
  <c r="CC84" i="1"/>
  <c r="BZ84" i="1"/>
  <c r="BR84" i="1"/>
  <c r="BO84" i="1"/>
  <c r="AX84" i="1"/>
  <c r="AW84" i="1"/>
  <c r="DM83" i="1"/>
  <c r="DJ83" i="1"/>
  <c r="DH83" i="1"/>
  <c r="DC83" i="1"/>
  <c r="CZ83" i="1"/>
  <c r="CX83" i="1"/>
  <c r="CC83" i="1"/>
  <c r="BZ83" i="1"/>
  <c r="BR83" i="1"/>
  <c r="BO83" i="1"/>
  <c r="AX83" i="1"/>
  <c r="AW83" i="1"/>
  <c r="DM82" i="1"/>
  <c r="DJ82" i="1"/>
  <c r="DH82" i="1"/>
  <c r="DC82" i="1"/>
  <c r="CZ82" i="1"/>
  <c r="CX82" i="1"/>
  <c r="CC82" i="1"/>
  <c r="BZ82" i="1"/>
  <c r="BR82" i="1"/>
  <c r="BO82" i="1"/>
  <c r="AX82" i="1"/>
  <c r="AW82" i="1"/>
  <c r="DM81" i="1"/>
  <c r="DJ81" i="1"/>
  <c r="DH81" i="1"/>
  <c r="DC81" i="1"/>
  <c r="CZ81" i="1"/>
  <c r="CX81" i="1"/>
  <c r="CC81" i="1"/>
  <c r="BZ81" i="1"/>
  <c r="BR81" i="1"/>
  <c r="BO81" i="1"/>
  <c r="AX81" i="1"/>
  <c r="AW81" i="1"/>
  <c r="DM80" i="1"/>
  <c r="DJ80" i="1"/>
  <c r="DH80" i="1"/>
  <c r="DC80" i="1"/>
  <c r="CZ80" i="1"/>
  <c r="CX80" i="1"/>
  <c r="CC80" i="1"/>
  <c r="BZ80" i="1"/>
  <c r="BR80" i="1"/>
  <c r="BO80" i="1"/>
  <c r="AX80" i="1"/>
  <c r="AW80" i="1"/>
  <c r="DM79" i="1"/>
  <c r="DJ79" i="1"/>
  <c r="DH79" i="1"/>
  <c r="DC79" i="1"/>
  <c r="CZ79" i="1"/>
  <c r="CX79" i="1"/>
  <c r="CC79" i="1"/>
  <c r="BZ79" i="1"/>
  <c r="BR79" i="1"/>
  <c r="BO79" i="1"/>
  <c r="AX79" i="1"/>
  <c r="AW79" i="1"/>
  <c r="DM78" i="1"/>
  <c r="DJ78" i="1"/>
  <c r="DH78" i="1"/>
  <c r="DC78" i="1"/>
  <c r="CZ78" i="1"/>
  <c r="CX78" i="1"/>
  <c r="CC78" i="1"/>
  <c r="BZ78" i="1"/>
  <c r="BR78" i="1"/>
  <c r="BO78" i="1"/>
  <c r="AX78" i="1"/>
  <c r="AW78" i="1"/>
  <c r="DM77" i="1"/>
  <c r="DJ77" i="1"/>
  <c r="DH77" i="1"/>
  <c r="DC77" i="1"/>
  <c r="CZ77" i="1"/>
  <c r="CX77" i="1"/>
  <c r="CC77" i="1"/>
  <c r="BZ77" i="1"/>
  <c r="BR77" i="1"/>
  <c r="BO77" i="1"/>
  <c r="AX77" i="1"/>
  <c r="AW77" i="1"/>
  <c r="E77" i="1"/>
  <c r="D77" i="1"/>
  <c r="DM76" i="1"/>
  <c r="DJ76" i="1"/>
  <c r="DH76" i="1"/>
  <c r="DC76" i="1"/>
  <c r="CZ76" i="1"/>
  <c r="CX76" i="1"/>
  <c r="CC76" i="1"/>
  <c r="BZ76" i="1"/>
  <c r="BR76" i="1"/>
  <c r="BO76" i="1"/>
  <c r="AX76" i="1"/>
  <c r="AW76" i="1"/>
  <c r="DM75" i="1"/>
  <c r="DJ75" i="1"/>
  <c r="DH75" i="1"/>
  <c r="DC75" i="1"/>
  <c r="CZ75" i="1"/>
  <c r="CX75" i="1"/>
  <c r="CC75" i="1"/>
  <c r="BZ75" i="1"/>
  <c r="BR75" i="1"/>
  <c r="BO75" i="1"/>
  <c r="AX75" i="1"/>
  <c r="AW75" i="1"/>
  <c r="DS74" i="1"/>
  <c r="DR74" i="1"/>
  <c r="DQ74" i="1"/>
  <c r="DM74" i="1"/>
  <c r="DJ74" i="1"/>
  <c r="DH74" i="1"/>
  <c r="DC74" i="1"/>
  <c r="CZ74" i="1"/>
  <c r="CX74" i="1"/>
  <c r="CC74" i="1"/>
  <c r="BZ74" i="1"/>
  <c r="BR74" i="1"/>
  <c r="BO74" i="1"/>
  <c r="AX74" i="1"/>
  <c r="AW74" i="1"/>
  <c r="DS73" i="1"/>
  <c r="DR73" i="1"/>
  <c r="DQ73" i="1"/>
  <c r="DM73" i="1"/>
  <c r="DJ73" i="1"/>
  <c r="DH73" i="1"/>
  <c r="DC73" i="1"/>
  <c r="CZ73" i="1"/>
  <c r="CX73" i="1"/>
  <c r="CT73" i="1"/>
  <c r="CS73" i="1"/>
  <c r="CR73" i="1"/>
  <c r="CQ73" i="1"/>
  <c r="CP73" i="1"/>
  <c r="CO73" i="1"/>
  <c r="CN73" i="1"/>
  <c r="CM73" i="1"/>
  <c r="CL73" i="1"/>
  <c r="CK73" i="1"/>
  <c r="CI73" i="1"/>
  <c r="CG73" i="1"/>
  <c r="CC73" i="1"/>
  <c r="BZ73" i="1"/>
  <c r="BR73" i="1"/>
  <c r="BO73" i="1"/>
  <c r="BH73" i="1"/>
  <c r="BG73" i="1"/>
  <c r="BF73" i="1"/>
  <c r="BE73" i="1"/>
  <c r="BC73" i="1"/>
  <c r="EN73" i="1" s="1"/>
  <c r="EQ73" i="1" s="1"/>
  <c r="EU73" i="1" s="1"/>
  <c r="BB73" i="1"/>
  <c r="BA73" i="1"/>
  <c r="AZ73" i="1"/>
  <c r="AY73" i="1"/>
  <c r="DP73" i="1" s="1"/>
  <c r="N73" i="1"/>
  <c r="FB73" i="1" s="1"/>
  <c r="M73" i="1"/>
  <c r="L73" i="1"/>
  <c r="BD73" i="1" s="1"/>
  <c r="AX73" i="1" s="1"/>
  <c r="AW73" i="1" s="1"/>
  <c r="K73" i="1"/>
  <c r="I73" i="1"/>
  <c r="J73" i="1" s="1"/>
  <c r="H73" i="1"/>
  <c r="A73" i="1"/>
  <c r="B73" i="1" s="1"/>
  <c r="DS72" i="1"/>
  <c r="DR72" i="1"/>
  <c r="DQ72" i="1"/>
  <c r="DM72" i="1"/>
  <c r="DJ72" i="1"/>
  <c r="DH72" i="1"/>
  <c r="DC72" i="1"/>
  <c r="CZ72" i="1"/>
  <c r="CX72" i="1"/>
  <c r="CT72" i="1"/>
  <c r="CS72" i="1"/>
  <c r="CR72" i="1"/>
  <c r="CQ72" i="1"/>
  <c r="CP72" i="1"/>
  <c r="CO72" i="1"/>
  <c r="CN72" i="1"/>
  <c r="CM72" i="1"/>
  <c r="CL72" i="1"/>
  <c r="CK72" i="1"/>
  <c r="CI72" i="1"/>
  <c r="CG72" i="1"/>
  <c r="CC72" i="1"/>
  <c r="BZ72" i="1"/>
  <c r="BR72" i="1"/>
  <c r="BO72" i="1"/>
  <c r="BH72" i="1"/>
  <c r="BG72" i="1"/>
  <c r="BF72" i="1"/>
  <c r="BE72" i="1"/>
  <c r="BC72" i="1"/>
  <c r="EN72" i="1" s="1"/>
  <c r="EP72" i="1" s="1"/>
  <c r="ET72" i="1" s="1"/>
  <c r="BB72" i="1"/>
  <c r="BA72" i="1"/>
  <c r="AZ72" i="1"/>
  <c r="AY72" i="1"/>
  <c r="DP72" i="1" s="1"/>
  <c r="N72" i="1"/>
  <c r="FD72" i="1" s="1"/>
  <c r="M72" i="1"/>
  <c r="L72" i="1"/>
  <c r="BD72" i="1" s="1"/>
  <c r="AX72" i="1" s="1"/>
  <c r="AW72" i="1" s="1"/>
  <c r="K72" i="1"/>
  <c r="I72" i="1"/>
  <c r="J72" i="1" s="1"/>
  <c r="H72" i="1"/>
  <c r="A72" i="1"/>
  <c r="B72" i="1" s="1"/>
  <c r="EN71" i="1"/>
  <c r="EQ71" i="1" s="1"/>
  <c r="EU71" i="1" s="1"/>
  <c r="DS71" i="1"/>
  <c r="DR71" i="1"/>
  <c r="DQ71" i="1"/>
  <c r="DM71" i="1"/>
  <c r="DJ71" i="1"/>
  <c r="DH71" i="1"/>
  <c r="DC71" i="1"/>
  <c r="CZ71" i="1"/>
  <c r="CX71" i="1"/>
  <c r="CT71" i="1"/>
  <c r="CS71" i="1"/>
  <c r="CR71" i="1"/>
  <c r="CQ71" i="1"/>
  <c r="CP71" i="1"/>
  <c r="CO71" i="1"/>
  <c r="CN71" i="1"/>
  <c r="CM71" i="1"/>
  <c r="CL71" i="1"/>
  <c r="CK71" i="1"/>
  <c r="CI71" i="1"/>
  <c r="CG71" i="1"/>
  <c r="CC71" i="1"/>
  <c r="BZ71" i="1"/>
  <c r="BR71" i="1"/>
  <c r="BO71" i="1"/>
  <c r="BH71" i="1"/>
  <c r="BG71" i="1"/>
  <c r="BF71" i="1"/>
  <c r="BE71" i="1"/>
  <c r="BC71" i="1"/>
  <c r="BB71" i="1"/>
  <c r="BA71" i="1"/>
  <c r="AZ71" i="1"/>
  <c r="AY71" i="1"/>
  <c r="DP71" i="1" s="1"/>
  <c r="N71" i="1"/>
  <c r="FD71" i="1" s="1"/>
  <c r="M71" i="1"/>
  <c r="L71" i="1"/>
  <c r="BD71" i="1" s="1"/>
  <c r="BJ71" i="1" s="1"/>
  <c r="K71" i="1"/>
  <c r="I71" i="1"/>
  <c r="J71" i="1" s="1"/>
  <c r="H71" i="1"/>
  <c r="A71" i="1"/>
  <c r="B71" i="1" s="1"/>
  <c r="DS70" i="1"/>
  <c r="DR70" i="1"/>
  <c r="DQ70" i="1"/>
  <c r="DM70" i="1"/>
  <c r="DJ70" i="1"/>
  <c r="DH70" i="1"/>
  <c r="DC70" i="1"/>
  <c r="CZ70" i="1"/>
  <c r="CX70" i="1"/>
  <c r="CT70" i="1"/>
  <c r="CS70" i="1"/>
  <c r="CR70" i="1"/>
  <c r="CQ70" i="1"/>
  <c r="CP70" i="1"/>
  <c r="CO70" i="1"/>
  <c r="CN70" i="1"/>
  <c r="CM70" i="1"/>
  <c r="CL70" i="1"/>
  <c r="CK70" i="1"/>
  <c r="CI70" i="1"/>
  <c r="CG70" i="1"/>
  <c r="CC70" i="1"/>
  <c r="BZ70" i="1"/>
  <c r="BR70" i="1"/>
  <c r="BO70" i="1"/>
  <c r="BH70" i="1"/>
  <c r="BG70" i="1"/>
  <c r="BF70" i="1"/>
  <c r="BE70" i="1"/>
  <c r="BC70" i="1"/>
  <c r="EN70" i="1" s="1"/>
  <c r="BB70" i="1"/>
  <c r="BA70" i="1"/>
  <c r="AZ70" i="1"/>
  <c r="AY70" i="1"/>
  <c r="DP70" i="1" s="1"/>
  <c r="N70" i="1"/>
  <c r="EZ70" i="1" s="1"/>
  <c r="M70" i="1"/>
  <c r="L70" i="1"/>
  <c r="BD70" i="1" s="1"/>
  <c r="BJ70" i="1" s="1"/>
  <c r="K70" i="1"/>
  <c r="I70" i="1"/>
  <c r="J70" i="1" s="1"/>
  <c r="H70" i="1"/>
  <c r="A70" i="1"/>
  <c r="B70" i="1" s="1"/>
  <c r="DS69" i="1"/>
  <c r="DR69" i="1"/>
  <c r="DQ69" i="1"/>
  <c r="DM69" i="1"/>
  <c r="DJ69" i="1"/>
  <c r="DH69" i="1"/>
  <c r="DC69" i="1"/>
  <c r="CZ69" i="1"/>
  <c r="CX69" i="1"/>
  <c r="CT69" i="1"/>
  <c r="CS69" i="1"/>
  <c r="CR69" i="1"/>
  <c r="CQ69" i="1"/>
  <c r="CP69" i="1"/>
  <c r="CO69" i="1"/>
  <c r="CN69" i="1"/>
  <c r="CM69" i="1"/>
  <c r="CL69" i="1"/>
  <c r="CK69" i="1"/>
  <c r="CI69" i="1"/>
  <c r="CG69" i="1"/>
  <c r="CC69" i="1"/>
  <c r="BZ69" i="1"/>
  <c r="BR69" i="1"/>
  <c r="BO69" i="1"/>
  <c r="BH69" i="1"/>
  <c r="BG69" i="1"/>
  <c r="BF69" i="1"/>
  <c r="BE69" i="1"/>
  <c r="BD69" i="1"/>
  <c r="BJ69" i="1" s="1"/>
  <c r="BC69" i="1"/>
  <c r="EN69" i="1" s="1"/>
  <c r="BB69" i="1"/>
  <c r="BA69" i="1"/>
  <c r="AZ69" i="1"/>
  <c r="AY69" i="1"/>
  <c r="DP69" i="1" s="1"/>
  <c r="N69" i="1"/>
  <c r="M69" i="1"/>
  <c r="L69" i="1"/>
  <c r="K69" i="1"/>
  <c r="I69" i="1"/>
  <c r="J69" i="1" s="1"/>
  <c r="H69" i="1"/>
  <c r="A69" i="1"/>
  <c r="B69" i="1" s="1"/>
  <c r="FB68" i="1"/>
  <c r="FA68" i="1"/>
  <c r="EY68" i="1"/>
  <c r="EX68" i="1"/>
  <c r="EW68" i="1"/>
  <c r="DS68" i="1"/>
  <c r="DR68" i="1"/>
  <c r="DQ68" i="1"/>
  <c r="DM68" i="1"/>
  <c r="DJ68" i="1"/>
  <c r="DH68" i="1"/>
  <c r="DC68" i="1"/>
  <c r="CZ68" i="1"/>
  <c r="CX68" i="1"/>
  <c r="CT68" i="1"/>
  <c r="CS68" i="1"/>
  <c r="CR68" i="1"/>
  <c r="CQ68" i="1"/>
  <c r="CP68" i="1"/>
  <c r="CO68" i="1"/>
  <c r="CN68" i="1"/>
  <c r="CM68" i="1"/>
  <c r="CL68" i="1"/>
  <c r="CK68" i="1"/>
  <c r="CI68" i="1"/>
  <c r="CG68" i="1"/>
  <c r="CC68" i="1"/>
  <c r="BZ68" i="1"/>
  <c r="BR68" i="1"/>
  <c r="BO68" i="1"/>
  <c r="BJ68" i="1"/>
  <c r="BH68" i="1"/>
  <c r="BG68" i="1"/>
  <c r="BF68" i="1"/>
  <c r="BE68" i="1"/>
  <c r="BC68" i="1"/>
  <c r="EN68" i="1" s="1"/>
  <c r="BB68" i="1"/>
  <c r="BA68" i="1"/>
  <c r="AZ68" i="1"/>
  <c r="AY68" i="1"/>
  <c r="DP68" i="1" s="1"/>
  <c r="N68" i="1"/>
  <c r="FD68" i="1" s="1"/>
  <c r="M68" i="1"/>
  <c r="L68" i="1"/>
  <c r="BD68" i="1" s="1"/>
  <c r="K68" i="1"/>
  <c r="I68" i="1"/>
  <c r="J68" i="1" s="1"/>
  <c r="H68" i="1"/>
  <c r="A68" i="1"/>
  <c r="B68" i="1" s="1"/>
  <c r="DS67" i="1"/>
  <c r="DR67" i="1"/>
  <c r="DQ67" i="1"/>
  <c r="DM67" i="1"/>
  <c r="DJ67" i="1"/>
  <c r="DH67" i="1"/>
  <c r="DC67" i="1"/>
  <c r="CZ67" i="1"/>
  <c r="CX67" i="1"/>
  <c r="CT67" i="1"/>
  <c r="CS67" i="1"/>
  <c r="CR67" i="1"/>
  <c r="CQ67" i="1"/>
  <c r="CP67" i="1"/>
  <c r="CO67" i="1"/>
  <c r="CN67" i="1"/>
  <c r="CM67" i="1"/>
  <c r="CL67" i="1"/>
  <c r="CK67" i="1"/>
  <c r="CI67" i="1"/>
  <c r="CG67" i="1"/>
  <c r="CC67" i="1"/>
  <c r="BZ67" i="1"/>
  <c r="BR67" i="1"/>
  <c r="BO67" i="1"/>
  <c r="BH67" i="1"/>
  <c r="BG67" i="1"/>
  <c r="BF67" i="1"/>
  <c r="BE67" i="1"/>
  <c r="BC67" i="1"/>
  <c r="EN67" i="1" s="1"/>
  <c r="BB67" i="1"/>
  <c r="BA67" i="1"/>
  <c r="AZ67" i="1"/>
  <c r="AY67" i="1"/>
  <c r="DP67" i="1" s="1"/>
  <c r="N67" i="1"/>
  <c r="FD67" i="1" s="1"/>
  <c r="M67" i="1"/>
  <c r="L67" i="1"/>
  <c r="BD67" i="1" s="1"/>
  <c r="BJ67" i="1" s="1"/>
  <c r="K67" i="1"/>
  <c r="I67" i="1"/>
  <c r="J67" i="1" s="1"/>
  <c r="H67" i="1"/>
  <c r="A67" i="1"/>
  <c r="B67" i="1" s="1"/>
  <c r="DS66" i="1"/>
  <c r="DR66" i="1"/>
  <c r="DQ66" i="1"/>
  <c r="DM66" i="1"/>
  <c r="DJ66" i="1"/>
  <c r="DH66" i="1"/>
  <c r="DC66" i="1"/>
  <c r="CZ66" i="1"/>
  <c r="CX66" i="1"/>
  <c r="CT66" i="1"/>
  <c r="CS66" i="1"/>
  <c r="CR66" i="1"/>
  <c r="CQ66" i="1"/>
  <c r="CP66" i="1"/>
  <c r="CO66" i="1"/>
  <c r="CN66" i="1"/>
  <c r="CM66" i="1"/>
  <c r="CL66" i="1"/>
  <c r="CK66" i="1"/>
  <c r="CI66" i="1"/>
  <c r="CG66" i="1"/>
  <c r="CC66" i="1"/>
  <c r="BZ66" i="1"/>
  <c r="BR66" i="1"/>
  <c r="BO66" i="1"/>
  <c r="BH66" i="1"/>
  <c r="BG66" i="1"/>
  <c r="BF66" i="1"/>
  <c r="BE66" i="1"/>
  <c r="BC66" i="1"/>
  <c r="EN66" i="1" s="1"/>
  <c r="BB66" i="1"/>
  <c r="BA66" i="1"/>
  <c r="AZ66" i="1"/>
  <c r="AY66" i="1"/>
  <c r="DP66" i="1" s="1"/>
  <c r="N66" i="1"/>
  <c r="EZ66" i="1" s="1"/>
  <c r="M66" i="1"/>
  <c r="L66" i="1"/>
  <c r="BD66" i="1" s="1"/>
  <c r="BJ66" i="1" s="1"/>
  <c r="K66" i="1"/>
  <c r="I66" i="1"/>
  <c r="J66" i="1" s="1"/>
  <c r="H66" i="1"/>
  <c r="A66" i="1"/>
  <c r="B66" i="1" s="1"/>
  <c r="DS65" i="1"/>
  <c r="DR65" i="1"/>
  <c r="DQ65" i="1"/>
  <c r="DM65" i="1"/>
  <c r="DJ65" i="1"/>
  <c r="DH65" i="1"/>
  <c r="DC65" i="1"/>
  <c r="CZ65" i="1"/>
  <c r="CX65" i="1"/>
  <c r="CT65" i="1"/>
  <c r="CS65" i="1"/>
  <c r="CR65" i="1"/>
  <c r="CQ65" i="1"/>
  <c r="CP65" i="1"/>
  <c r="CO65" i="1"/>
  <c r="CN65" i="1"/>
  <c r="CM65" i="1"/>
  <c r="CL65" i="1"/>
  <c r="CK65" i="1"/>
  <c r="CI65" i="1"/>
  <c r="CG65" i="1"/>
  <c r="CC65" i="1"/>
  <c r="BZ65" i="1"/>
  <c r="BR65" i="1"/>
  <c r="BO65" i="1"/>
  <c r="BH65" i="1"/>
  <c r="BG65" i="1"/>
  <c r="BF65" i="1"/>
  <c r="BE65" i="1"/>
  <c r="BC65" i="1"/>
  <c r="EN65" i="1" s="1"/>
  <c r="BB65" i="1"/>
  <c r="BA65" i="1"/>
  <c r="AZ65" i="1"/>
  <c r="AY65" i="1"/>
  <c r="DP65" i="1" s="1"/>
  <c r="N65" i="1"/>
  <c r="FD65" i="1" s="1"/>
  <c r="M65" i="1"/>
  <c r="L65" i="1"/>
  <c r="BD65" i="1" s="1"/>
  <c r="BJ65" i="1" s="1"/>
  <c r="K65" i="1"/>
  <c r="I65" i="1"/>
  <c r="J65" i="1" s="1"/>
  <c r="H65" i="1"/>
  <c r="A65" i="1"/>
  <c r="B65" i="1" s="1"/>
  <c r="FC64" i="1"/>
  <c r="FB64" i="1"/>
  <c r="FA64" i="1"/>
  <c r="EY64" i="1"/>
  <c r="EW64" i="1"/>
  <c r="DS64" i="1"/>
  <c r="DR64" i="1"/>
  <c r="DQ64" i="1"/>
  <c r="DM64" i="1"/>
  <c r="DJ64" i="1"/>
  <c r="DH64" i="1"/>
  <c r="DC64" i="1"/>
  <c r="CZ64" i="1"/>
  <c r="CX64" i="1"/>
  <c r="CT64" i="1"/>
  <c r="CS64" i="1"/>
  <c r="CR64" i="1"/>
  <c r="CQ64" i="1"/>
  <c r="CP64" i="1"/>
  <c r="CO64" i="1"/>
  <c r="CN64" i="1"/>
  <c r="CM64" i="1"/>
  <c r="CL64" i="1"/>
  <c r="CK64" i="1"/>
  <c r="CI64" i="1"/>
  <c r="CG64" i="1"/>
  <c r="CC64" i="1"/>
  <c r="BZ64" i="1"/>
  <c r="BR64" i="1"/>
  <c r="BO64" i="1"/>
  <c r="BJ64" i="1"/>
  <c r="BH64" i="1"/>
  <c r="BG64" i="1"/>
  <c r="BF64" i="1"/>
  <c r="BE64" i="1"/>
  <c r="BC64" i="1"/>
  <c r="EN64" i="1" s="1"/>
  <c r="BB64" i="1"/>
  <c r="BA64" i="1"/>
  <c r="AZ64" i="1"/>
  <c r="AY64" i="1"/>
  <c r="DP64" i="1" s="1"/>
  <c r="N64" i="1"/>
  <c r="FD64" i="1" s="1"/>
  <c r="M64" i="1"/>
  <c r="L64" i="1"/>
  <c r="BD64" i="1" s="1"/>
  <c r="K64" i="1"/>
  <c r="I64" i="1"/>
  <c r="J64" i="1" s="1"/>
  <c r="H64" i="1"/>
  <c r="A64" i="1"/>
  <c r="B64" i="1" s="1"/>
  <c r="EY63" i="1"/>
  <c r="EX63" i="1"/>
  <c r="EW63" i="1"/>
  <c r="DS63" i="1"/>
  <c r="DR63" i="1"/>
  <c r="DQ63" i="1"/>
  <c r="DM63" i="1"/>
  <c r="DJ63" i="1"/>
  <c r="DH63" i="1"/>
  <c r="DC63" i="1"/>
  <c r="CZ63" i="1"/>
  <c r="CX63" i="1"/>
  <c r="CT63" i="1"/>
  <c r="CS63" i="1"/>
  <c r="CR63" i="1"/>
  <c r="CQ63" i="1"/>
  <c r="CP63" i="1"/>
  <c r="CO63" i="1"/>
  <c r="CN63" i="1"/>
  <c r="CM63" i="1"/>
  <c r="CL63" i="1"/>
  <c r="CK63" i="1"/>
  <c r="CI63" i="1"/>
  <c r="CG63" i="1"/>
  <c r="CC63" i="1"/>
  <c r="BZ63" i="1"/>
  <c r="BR63" i="1"/>
  <c r="BO63" i="1"/>
  <c r="BH63" i="1"/>
  <c r="BG63" i="1"/>
  <c r="BF63" i="1"/>
  <c r="BE63" i="1"/>
  <c r="BC63" i="1"/>
  <c r="EN63" i="1" s="1"/>
  <c r="BB63" i="1"/>
  <c r="BA63" i="1"/>
  <c r="AZ63" i="1"/>
  <c r="AY63" i="1"/>
  <c r="DP63" i="1" s="1"/>
  <c r="N63" i="1"/>
  <c r="FD63" i="1" s="1"/>
  <c r="M63" i="1"/>
  <c r="L63" i="1"/>
  <c r="BD63" i="1" s="1"/>
  <c r="BJ63" i="1" s="1"/>
  <c r="K63" i="1"/>
  <c r="I63" i="1"/>
  <c r="J63" i="1" s="1"/>
  <c r="H63" i="1"/>
  <c r="A63" i="1"/>
  <c r="B63" i="1" s="1"/>
  <c r="FC62" i="1"/>
  <c r="FB62" i="1"/>
  <c r="FA62" i="1"/>
  <c r="EY62" i="1"/>
  <c r="EW62" i="1"/>
  <c r="DS62" i="1"/>
  <c r="DR62" i="1"/>
  <c r="DQ62" i="1"/>
  <c r="DM62" i="1"/>
  <c r="DJ62" i="1"/>
  <c r="DH62" i="1"/>
  <c r="DC62" i="1"/>
  <c r="CZ62" i="1"/>
  <c r="CX62" i="1"/>
  <c r="CT62" i="1"/>
  <c r="CS62" i="1"/>
  <c r="CR62" i="1"/>
  <c r="CQ62" i="1"/>
  <c r="CP62" i="1"/>
  <c r="CO62" i="1"/>
  <c r="CN62" i="1"/>
  <c r="CM62" i="1"/>
  <c r="CL62" i="1"/>
  <c r="CK62" i="1"/>
  <c r="CI62" i="1"/>
  <c r="CG62" i="1"/>
  <c r="CC62" i="1"/>
  <c r="BZ62" i="1"/>
  <c r="BR62" i="1"/>
  <c r="BO62" i="1"/>
  <c r="BH62" i="1"/>
  <c r="BG62" i="1"/>
  <c r="BF62" i="1"/>
  <c r="BE62" i="1"/>
  <c r="BD62" i="1"/>
  <c r="BJ62" i="1" s="1"/>
  <c r="BC62" i="1"/>
  <c r="EN62" i="1" s="1"/>
  <c r="BB62" i="1"/>
  <c r="BA62" i="1"/>
  <c r="AZ62" i="1"/>
  <c r="AY62" i="1"/>
  <c r="DP62" i="1" s="1"/>
  <c r="N62" i="1"/>
  <c r="EZ62" i="1" s="1"/>
  <c r="M62" i="1"/>
  <c r="L62" i="1"/>
  <c r="K62" i="1"/>
  <c r="I62" i="1"/>
  <c r="J62" i="1" s="1"/>
  <c r="H62" i="1"/>
  <c r="A62" i="1"/>
  <c r="B62" i="1" s="1"/>
  <c r="DS61" i="1"/>
  <c r="DR61" i="1"/>
  <c r="DQ61" i="1"/>
  <c r="DM61" i="1"/>
  <c r="DJ61" i="1"/>
  <c r="DH61" i="1"/>
  <c r="DC61" i="1"/>
  <c r="CZ61" i="1"/>
  <c r="CX61" i="1"/>
  <c r="CT61" i="1"/>
  <c r="CS61" i="1"/>
  <c r="CR61" i="1"/>
  <c r="CQ61" i="1"/>
  <c r="CP61" i="1"/>
  <c r="CO61" i="1"/>
  <c r="CN61" i="1"/>
  <c r="CM61" i="1"/>
  <c r="CL61" i="1"/>
  <c r="CK61" i="1"/>
  <c r="CI61" i="1"/>
  <c r="CG61" i="1"/>
  <c r="CC61" i="1"/>
  <c r="BZ61" i="1"/>
  <c r="BR61" i="1"/>
  <c r="BO61" i="1"/>
  <c r="BH61" i="1"/>
  <c r="BG61" i="1"/>
  <c r="BF61" i="1"/>
  <c r="BE61" i="1"/>
  <c r="BC61" i="1"/>
  <c r="EN61" i="1" s="1"/>
  <c r="BB61" i="1"/>
  <c r="BA61" i="1"/>
  <c r="AZ61" i="1"/>
  <c r="AY61" i="1"/>
  <c r="DP61" i="1" s="1"/>
  <c r="N61" i="1"/>
  <c r="FD61" i="1" s="1"/>
  <c r="M61" i="1"/>
  <c r="L61" i="1"/>
  <c r="BD61" i="1" s="1"/>
  <c r="BJ61" i="1" s="1"/>
  <c r="K61" i="1"/>
  <c r="I61" i="1"/>
  <c r="J61" i="1" s="1"/>
  <c r="H61" i="1"/>
  <c r="A61" i="1"/>
  <c r="B61" i="1" s="1"/>
  <c r="DS60" i="1"/>
  <c r="DR60" i="1"/>
  <c r="DQ60" i="1"/>
  <c r="DM60" i="1"/>
  <c r="DJ60" i="1"/>
  <c r="DH60" i="1"/>
  <c r="DC60" i="1"/>
  <c r="CZ60" i="1"/>
  <c r="CX60" i="1"/>
  <c r="CT60" i="1"/>
  <c r="CS60" i="1"/>
  <c r="CR60" i="1"/>
  <c r="CQ60" i="1"/>
  <c r="CP60" i="1"/>
  <c r="CO60" i="1"/>
  <c r="CN60" i="1"/>
  <c r="CM60" i="1"/>
  <c r="CL60" i="1"/>
  <c r="CK60" i="1"/>
  <c r="CI60" i="1"/>
  <c r="CG60" i="1"/>
  <c r="CC60" i="1"/>
  <c r="BZ60" i="1"/>
  <c r="BR60" i="1"/>
  <c r="BO60" i="1"/>
  <c r="BH60" i="1"/>
  <c r="BG60" i="1"/>
  <c r="BF60" i="1"/>
  <c r="BE60" i="1"/>
  <c r="BC60" i="1"/>
  <c r="EN60" i="1" s="1"/>
  <c r="EQ60" i="1" s="1"/>
  <c r="EU60" i="1" s="1"/>
  <c r="BB60" i="1"/>
  <c r="BA60" i="1"/>
  <c r="AZ60" i="1"/>
  <c r="AY60" i="1"/>
  <c r="DP60" i="1" s="1"/>
  <c r="N60" i="1"/>
  <c r="FD60" i="1" s="1"/>
  <c r="M60" i="1"/>
  <c r="L60" i="1"/>
  <c r="BD60" i="1" s="1"/>
  <c r="BJ60" i="1" s="1"/>
  <c r="K60" i="1"/>
  <c r="I60" i="1"/>
  <c r="J60" i="1" s="1"/>
  <c r="H60" i="1"/>
  <c r="A60" i="1"/>
  <c r="B60" i="1" s="1"/>
  <c r="DS59" i="1"/>
  <c r="DR59" i="1"/>
  <c r="DQ59" i="1"/>
  <c r="DM59" i="1"/>
  <c r="DJ59" i="1"/>
  <c r="DH59" i="1"/>
  <c r="DC59" i="1"/>
  <c r="CZ59" i="1"/>
  <c r="CX59" i="1"/>
  <c r="CT59" i="1"/>
  <c r="CS59" i="1"/>
  <c r="CR59" i="1"/>
  <c r="CQ59" i="1"/>
  <c r="CP59" i="1"/>
  <c r="CO59" i="1"/>
  <c r="CN59" i="1"/>
  <c r="CM59" i="1"/>
  <c r="CL59" i="1"/>
  <c r="CK59" i="1"/>
  <c r="CI59" i="1"/>
  <c r="CG59" i="1"/>
  <c r="CC59" i="1"/>
  <c r="BZ59" i="1"/>
  <c r="BR59" i="1"/>
  <c r="BO59" i="1"/>
  <c r="BH59" i="1"/>
  <c r="BG59" i="1"/>
  <c r="BF59" i="1"/>
  <c r="BE59" i="1"/>
  <c r="BC59" i="1"/>
  <c r="EN59" i="1" s="1"/>
  <c r="BB59" i="1"/>
  <c r="BA59" i="1"/>
  <c r="AZ59" i="1"/>
  <c r="AY59" i="1"/>
  <c r="DP59" i="1" s="1"/>
  <c r="N59" i="1"/>
  <c r="FD59" i="1" s="1"/>
  <c r="M59" i="1"/>
  <c r="L59" i="1"/>
  <c r="BD59" i="1" s="1"/>
  <c r="BJ59" i="1" s="1"/>
  <c r="K59" i="1"/>
  <c r="I59" i="1"/>
  <c r="J59" i="1" s="1"/>
  <c r="H59" i="1"/>
  <c r="A59" i="1"/>
  <c r="B59" i="1" s="1"/>
  <c r="DS58" i="1"/>
  <c r="DR58" i="1"/>
  <c r="DQ58" i="1"/>
  <c r="DM58" i="1"/>
  <c r="DJ58" i="1"/>
  <c r="DH58" i="1"/>
  <c r="DC58" i="1"/>
  <c r="CZ58" i="1"/>
  <c r="CX58" i="1"/>
  <c r="CT58" i="1"/>
  <c r="CS58" i="1"/>
  <c r="CR58" i="1"/>
  <c r="CQ58" i="1"/>
  <c r="CP58" i="1"/>
  <c r="CO58" i="1"/>
  <c r="CN58" i="1"/>
  <c r="CM58" i="1"/>
  <c r="CL58" i="1"/>
  <c r="CK58" i="1"/>
  <c r="CI58" i="1"/>
  <c r="CG58" i="1"/>
  <c r="CC58" i="1"/>
  <c r="BZ58" i="1"/>
  <c r="BR58" i="1"/>
  <c r="BO58" i="1"/>
  <c r="BH58" i="1"/>
  <c r="BG58" i="1"/>
  <c r="BF58" i="1"/>
  <c r="BE58" i="1"/>
  <c r="BC58" i="1"/>
  <c r="EN58" i="1" s="1"/>
  <c r="BB58" i="1"/>
  <c r="BA58" i="1"/>
  <c r="AZ58" i="1"/>
  <c r="AY58" i="1"/>
  <c r="DP58" i="1" s="1"/>
  <c r="N58" i="1"/>
  <c r="EZ58" i="1" s="1"/>
  <c r="M58" i="1"/>
  <c r="L58" i="1"/>
  <c r="BD58" i="1" s="1"/>
  <c r="BJ58" i="1" s="1"/>
  <c r="K58" i="1"/>
  <c r="I58" i="1"/>
  <c r="J58" i="1" s="1"/>
  <c r="H58" i="1"/>
  <c r="A58" i="1"/>
  <c r="B58" i="1" s="1"/>
  <c r="DS57" i="1"/>
  <c r="DR57" i="1"/>
  <c r="DQ57" i="1"/>
  <c r="DM57" i="1"/>
  <c r="DJ57" i="1"/>
  <c r="DH57" i="1"/>
  <c r="DC57" i="1"/>
  <c r="CZ57" i="1"/>
  <c r="CX57" i="1"/>
  <c r="CT57" i="1"/>
  <c r="CS57" i="1"/>
  <c r="CR57" i="1"/>
  <c r="CQ57" i="1"/>
  <c r="CP57" i="1"/>
  <c r="CO57" i="1"/>
  <c r="CN57" i="1"/>
  <c r="CM57" i="1"/>
  <c r="CL57" i="1"/>
  <c r="CK57" i="1"/>
  <c r="CI57" i="1"/>
  <c r="CG57" i="1"/>
  <c r="CC57" i="1"/>
  <c r="BZ57" i="1"/>
  <c r="BR57" i="1"/>
  <c r="BO57" i="1"/>
  <c r="BH57" i="1"/>
  <c r="BG57" i="1"/>
  <c r="BF57" i="1"/>
  <c r="BE57" i="1"/>
  <c r="BC57" i="1"/>
  <c r="EN57" i="1" s="1"/>
  <c r="BB57" i="1"/>
  <c r="BA57" i="1"/>
  <c r="AZ57" i="1"/>
  <c r="AY57" i="1"/>
  <c r="DP57" i="1" s="1"/>
  <c r="N57" i="1"/>
  <c r="FD57" i="1" s="1"/>
  <c r="M57" i="1"/>
  <c r="L57" i="1"/>
  <c r="BD57" i="1" s="1"/>
  <c r="BJ57" i="1" s="1"/>
  <c r="K57" i="1"/>
  <c r="I57" i="1"/>
  <c r="J57" i="1" s="1"/>
  <c r="H57" i="1"/>
  <c r="A57" i="1"/>
  <c r="B57" i="1" s="1"/>
  <c r="DS56" i="1"/>
  <c r="DR56" i="1"/>
  <c r="DQ56" i="1"/>
  <c r="DM56" i="1"/>
  <c r="DJ56" i="1"/>
  <c r="DH56" i="1"/>
  <c r="DC56" i="1"/>
  <c r="CZ56" i="1"/>
  <c r="CX56" i="1"/>
  <c r="CT56" i="1"/>
  <c r="CS56" i="1"/>
  <c r="CR56" i="1"/>
  <c r="CQ56" i="1"/>
  <c r="CP56" i="1"/>
  <c r="CO56" i="1"/>
  <c r="CN56" i="1"/>
  <c r="CM56" i="1"/>
  <c r="CL56" i="1"/>
  <c r="CK56" i="1"/>
  <c r="CI56" i="1"/>
  <c r="CG56" i="1"/>
  <c r="CC56" i="1"/>
  <c r="BZ56" i="1"/>
  <c r="BR56" i="1"/>
  <c r="BO56" i="1"/>
  <c r="BH56" i="1"/>
  <c r="BG56" i="1"/>
  <c r="BF56" i="1"/>
  <c r="BE56" i="1"/>
  <c r="BC56" i="1"/>
  <c r="EN56" i="1" s="1"/>
  <c r="BB56" i="1"/>
  <c r="BA56" i="1"/>
  <c r="AZ56" i="1"/>
  <c r="AY56" i="1"/>
  <c r="DP56" i="1" s="1"/>
  <c r="N56" i="1"/>
  <c r="FD56" i="1" s="1"/>
  <c r="M56" i="1"/>
  <c r="L56" i="1"/>
  <c r="BD56" i="1" s="1"/>
  <c r="BJ56" i="1" s="1"/>
  <c r="K56" i="1"/>
  <c r="I56" i="1"/>
  <c r="J56" i="1" s="1"/>
  <c r="H56" i="1"/>
  <c r="A56" i="1"/>
  <c r="B56" i="1" s="1"/>
  <c r="DS55" i="1"/>
  <c r="DR55" i="1"/>
  <c r="DQ55" i="1"/>
  <c r="DM55" i="1"/>
  <c r="DJ55" i="1"/>
  <c r="DH55" i="1"/>
  <c r="DC55" i="1"/>
  <c r="CZ55" i="1"/>
  <c r="CX55" i="1"/>
  <c r="CT55" i="1"/>
  <c r="CS55" i="1"/>
  <c r="CR55" i="1"/>
  <c r="CQ55" i="1"/>
  <c r="CP55" i="1"/>
  <c r="CO55" i="1"/>
  <c r="CN55" i="1"/>
  <c r="CM55" i="1"/>
  <c r="CL55" i="1"/>
  <c r="CK55" i="1"/>
  <c r="CI55" i="1"/>
  <c r="CG55" i="1"/>
  <c r="CC55" i="1"/>
  <c r="BZ55" i="1"/>
  <c r="BR55" i="1"/>
  <c r="BO55" i="1"/>
  <c r="BH55" i="1"/>
  <c r="BG55" i="1"/>
  <c r="BF55" i="1"/>
  <c r="BE55" i="1"/>
  <c r="BC55" i="1"/>
  <c r="EN55" i="1" s="1"/>
  <c r="BB55" i="1"/>
  <c r="BA55" i="1"/>
  <c r="AZ55" i="1"/>
  <c r="AY55" i="1"/>
  <c r="DP55" i="1" s="1"/>
  <c r="N55" i="1"/>
  <c r="FD55" i="1" s="1"/>
  <c r="M55" i="1"/>
  <c r="L55" i="1"/>
  <c r="BD55" i="1" s="1"/>
  <c r="BJ55" i="1" s="1"/>
  <c r="K55" i="1"/>
  <c r="I55" i="1"/>
  <c r="J55" i="1" s="1"/>
  <c r="H55" i="1"/>
  <c r="A55" i="1"/>
  <c r="B55" i="1" s="1"/>
  <c r="DS54" i="1"/>
  <c r="DR54" i="1"/>
  <c r="DQ54" i="1"/>
  <c r="DM54" i="1"/>
  <c r="DJ54" i="1"/>
  <c r="DH54" i="1"/>
  <c r="DC54" i="1"/>
  <c r="CZ54" i="1"/>
  <c r="CX54" i="1"/>
  <c r="CT54" i="1"/>
  <c r="CS54" i="1"/>
  <c r="CR54" i="1"/>
  <c r="CQ54" i="1"/>
  <c r="CP54" i="1"/>
  <c r="CO54" i="1"/>
  <c r="CN54" i="1"/>
  <c r="CM54" i="1"/>
  <c r="CL54" i="1"/>
  <c r="CK54" i="1"/>
  <c r="CI54" i="1"/>
  <c r="CG54" i="1"/>
  <c r="CC54" i="1"/>
  <c r="BZ54" i="1"/>
  <c r="BR54" i="1"/>
  <c r="BO54" i="1"/>
  <c r="BH54" i="1"/>
  <c r="BG54" i="1"/>
  <c r="BF54" i="1"/>
  <c r="BE54" i="1"/>
  <c r="BC54" i="1"/>
  <c r="EN54" i="1" s="1"/>
  <c r="BB54" i="1"/>
  <c r="BA54" i="1"/>
  <c r="AZ54" i="1"/>
  <c r="AY54" i="1"/>
  <c r="DP54" i="1" s="1"/>
  <c r="N54" i="1"/>
  <c r="EZ54" i="1" s="1"/>
  <c r="M54" i="1"/>
  <c r="L54" i="1"/>
  <c r="BD54" i="1" s="1"/>
  <c r="BJ54" i="1" s="1"/>
  <c r="K54" i="1"/>
  <c r="I54" i="1"/>
  <c r="J54" i="1" s="1"/>
  <c r="H54" i="1"/>
  <c r="A54" i="1"/>
  <c r="B54" i="1" s="1"/>
  <c r="FB53" i="1"/>
  <c r="DS53" i="1"/>
  <c r="DR53" i="1"/>
  <c r="DQ53" i="1"/>
  <c r="DM53" i="1"/>
  <c r="DJ53" i="1"/>
  <c r="DH53" i="1"/>
  <c r="DC53" i="1"/>
  <c r="CZ53" i="1"/>
  <c r="CX53" i="1"/>
  <c r="CT53" i="1"/>
  <c r="CS53" i="1"/>
  <c r="CR53" i="1"/>
  <c r="CQ53" i="1"/>
  <c r="CP53" i="1"/>
  <c r="CO53" i="1"/>
  <c r="CN53" i="1"/>
  <c r="CM53" i="1"/>
  <c r="CL53" i="1"/>
  <c r="CK53" i="1"/>
  <c r="CI53" i="1"/>
  <c r="CG53" i="1"/>
  <c r="CC53" i="1"/>
  <c r="BZ53" i="1"/>
  <c r="BR53" i="1"/>
  <c r="BO53" i="1"/>
  <c r="BH53" i="1"/>
  <c r="BG53" i="1"/>
  <c r="BF53" i="1"/>
  <c r="BE53" i="1"/>
  <c r="BC53" i="1"/>
  <c r="EN53" i="1" s="1"/>
  <c r="BB53" i="1"/>
  <c r="BA53" i="1"/>
  <c r="AZ53" i="1"/>
  <c r="AY53" i="1"/>
  <c r="DP53" i="1" s="1"/>
  <c r="N53" i="1"/>
  <c r="FD53" i="1" s="1"/>
  <c r="M53" i="1"/>
  <c r="L53" i="1"/>
  <c r="BD53" i="1" s="1"/>
  <c r="BJ53" i="1" s="1"/>
  <c r="K53" i="1"/>
  <c r="I53" i="1"/>
  <c r="J53" i="1" s="1"/>
  <c r="H53" i="1"/>
  <c r="A53" i="1"/>
  <c r="B53" i="1" s="1"/>
  <c r="FC52" i="1"/>
  <c r="FB52" i="1"/>
  <c r="EY52" i="1"/>
  <c r="DS52" i="1"/>
  <c r="DR52" i="1"/>
  <c r="DQ52" i="1"/>
  <c r="DM52" i="1"/>
  <c r="DJ52" i="1"/>
  <c r="DH52" i="1"/>
  <c r="DC52" i="1"/>
  <c r="CZ52" i="1"/>
  <c r="CX52" i="1"/>
  <c r="CT52" i="1"/>
  <c r="CS52" i="1"/>
  <c r="CR52" i="1"/>
  <c r="CQ52" i="1"/>
  <c r="CP52" i="1"/>
  <c r="CO52" i="1"/>
  <c r="CN52" i="1"/>
  <c r="CM52" i="1"/>
  <c r="CL52" i="1"/>
  <c r="CK52" i="1"/>
  <c r="CI52" i="1"/>
  <c r="CG52" i="1"/>
  <c r="CC52" i="1"/>
  <c r="BZ52" i="1"/>
  <c r="BR52" i="1"/>
  <c r="BO52" i="1"/>
  <c r="BH52" i="1"/>
  <c r="BG52" i="1"/>
  <c r="BF52" i="1"/>
  <c r="BE52" i="1"/>
  <c r="BC52" i="1"/>
  <c r="EN52" i="1" s="1"/>
  <c r="BB52" i="1"/>
  <c r="BA52" i="1"/>
  <c r="AZ52" i="1"/>
  <c r="AY52" i="1"/>
  <c r="DP52" i="1" s="1"/>
  <c r="N52" i="1"/>
  <c r="FD52" i="1" s="1"/>
  <c r="M52" i="1"/>
  <c r="L52" i="1"/>
  <c r="BD52" i="1" s="1"/>
  <c r="BJ52" i="1" s="1"/>
  <c r="K52" i="1"/>
  <c r="I52" i="1"/>
  <c r="J52" i="1" s="1"/>
  <c r="H52" i="1"/>
  <c r="A52" i="1"/>
  <c r="B52" i="1" s="1"/>
  <c r="FC51" i="1"/>
  <c r="FA51" i="1"/>
  <c r="EX51" i="1"/>
  <c r="DS51" i="1"/>
  <c r="DR51" i="1"/>
  <c r="DQ51" i="1"/>
  <c r="DM51" i="1"/>
  <c r="DJ51" i="1"/>
  <c r="DH51" i="1"/>
  <c r="DC51" i="1"/>
  <c r="CZ51" i="1"/>
  <c r="CX51" i="1"/>
  <c r="CT51" i="1"/>
  <c r="CS51" i="1"/>
  <c r="CR51" i="1"/>
  <c r="CQ51" i="1"/>
  <c r="CP51" i="1"/>
  <c r="CO51" i="1"/>
  <c r="CN51" i="1"/>
  <c r="CM51" i="1"/>
  <c r="CL51" i="1"/>
  <c r="CK51" i="1"/>
  <c r="CI51" i="1"/>
  <c r="CG51" i="1"/>
  <c r="CC51" i="1"/>
  <c r="BZ51" i="1"/>
  <c r="BR51" i="1"/>
  <c r="BO51" i="1"/>
  <c r="BH51" i="1"/>
  <c r="BG51" i="1"/>
  <c r="BF51" i="1"/>
  <c r="BE51" i="1"/>
  <c r="BC51" i="1"/>
  <c r="EN51" i="1" s="1"/>
  <c r="BB51" i="1"/>
  <c r="BA51" i="1"/>
  <c r="AZ51" i="1"/>
  <c r="AY51" i="1"/>
  <c r="DP51" i="1" s="1"/>
  <c r="N51" i="1"/>
  <c r="FD51" i="1" s="1"/>
  <c r="M51" i="1"/>
  <c r="L51" i="1"/>
  <c r="BD51" i="1" s="1"/>
  <c r="BJ51" i="1" s="1"/>
  <c r="K51" i="1"/>
  <c r="I51" i="1"/>
  <c r="J51" i="1" s="1"/>
  <c r="H51" i="1"/>
  <c r="A51" i="1"/>
  <c r="B51" i="1" s="1"/>
  <c r="FD50" i="1"/>
  <c r="FC50" i="1"/>
  <c r="FB50" i="1"/>
  <c r="EY50" i="1"/>
  <c r="DS50" i="1"/>
  <c r="DR50" i="1"/>
  <c r="DQ50" i="1"/>
  <c r="DM50" i="1"/>
  <c r="DJ50" i="1"/>
  <c r="DH50" i="1"/>
  <c r="DC50" i="1"/>
  <c r="CZ50" i="1"/>
  <c r="CX50" i="1"/>
  <c r="CT50" i="1"/>
  <c r="CS50" i="1"/>
  <c r="CR50" i="1"/>
  <c r="CQ50" i="1"/>
  <c r="CP50" i="1"/>
  <c r="CO50" i="1"/>
  <c r="CN50" i="1"/>
  <c r="CM50" i="1"/>
  <c r="CL50" i="1"/>
  <c r="CK50" i="1"/>
  <c r="CI50" i="1"/>
  <c r="CG50" i="1"/>
  <c r="CC50" i="1"/>
  <c r="BZ50" i="1"/>
  <c r="BR50" i="1"/>
  <c r="BO50" i="1"/>
  <c r="BH50" i="1"/>
  <c r="BG50" i="1"/>
  <c r="BF50" i="1"/>
  <c r="BE50" i="1"/>
  <c r="BC50" i="1"/>
  <c r="EN50" i="1" s="1"/>
  <c r="BB50" i="1"/>
  <c r="BA50" i="1"/>
  <c r="AZ50" i="1"/>
  <c r="AY50" i="1"/>
  <c r="DP50" i="1" s="1"/>
  <c r="N50" i="1"/>
  <c r="EZ50" i="1" s="1"/>
  <c r="M50" i="1"/>
  <c r="L50" i="1"/>
  <c r="BD50" i="1" s="1"/>
  <c r="BJ50" i="1" s="1"/>
  <c r="K50" i="1"/>
  <c r="I50" i="1"/>
  <c r="J50" i="1" s="1"/>
  <c r="H50" i="1"/>
  <c r="A50" i="1"/>
  <c r="B50" i="1" s="1"/>
  <c r="FC49" i="1"/>
  <c r="DS49" i="1"/>
  <c r="DR49" i="1"/>
  <c r="DQ49" i="1"/>
  <c r="DM49" i="1"/>
  <c r="DJ49" i="1"/>
  <c r="DH49" i="1"/>
  <c r="DC49" i="1"/>
  <c r="CZ49" i="1"/>
  <c r="CX49" i="1"/>
  <c r="CT49" i="1"/>
  <c r="CS49" i="1"/>
  <c r="CR49" i="1"/>
  <c r="CQ49" i="1"/>
  <c r="CP49" i="1"/>
  <c r="CO49" i="1"/>
  <c r="CN49" i="1"/>
  <c r="CM49" i="1"/>
  <c r="CL49" i="1"/>
  <c r="CK49" i="1"/>
  <c r="CI49" i="1"/>
  <c r="CG49" i="1"/>
  <c r="CC49" i="1"/>
  <c r="BZ49" i="1"/>
  <c r="BR49" i="1"/>
  <c r="BO49" i="1"/>
  <c r="BH49" i="1"/>
  <c r="BG49" i="1"/>
  <c r="BF49" i="1"/>
  <c r="BE49" i="1"/>
  <c r="BC49" i="1"/>
  <c r="EN49" i="1" s="1"/>
  <c r="BB49" i="1"/>
  <c r="BA49" i="1"/>
  <c r="AZ49" i="1"/>
  <c r="AY49" i="1"/>
  <c r="DP49" i="1" s="1"/>
  <c r="N49" i="1"/>
  <c r="FD49" i="1" s="1"/>
  <c r="M49" i="1"/>
  <c r="L49" i="1"/>
  <c r="BD49" i="1" s="1"/>
  <c r="BJ49" i="1" s="1"/>
  <c r="K49" i="1"/>
  <c r="I49" i="1"/>
  <c r="J49" i="1" s="1"/>
  <c r="H49" i="1"/>
  <c r="A49" i="1"/>
  <c r="B49" i="1" s="1"/>
  <c r="FC48" i="1"/>
  <c r="FB48" i="1"/>
  <c r="FA48" i="1"/>
  <c r="EY48" i="1"/>
  <c r="EX48" i="1"/>
  <c r="EW48" i="1"/>
  <c r="DS48" i="1"/>
  <c r="DR48" i="1"/>
  <c r="DQ48" i="1"/>
  <c r="DM48" i="1"/>
  <c r="DJ48" i="1"/>
  <c r="DH48" i="1"/>
  <c r="DC48" i="1"/>
  <c r="CZ48" i="1"/>
  <c r="CX48" i="1"/>
  <c r="CT48" i="1"/>
  <c r="CS48" i="1"/>
  <c r="CR48" i="1"/>
  <c r="CQ48" i="1"/>
  <c r="CP48" i="1"/>
  <c r="CO48" i="1"/>
  <c r="CN48" i="1"/>
  <c r="CM48" i="1"/>
  <c r="CL48" i="1"/>
  <c r="CK48" i="1"/>
  <c r="CI48" i="1"/>
  <c r="CG48" i="1"/>
  <c r="CC48" i="1"/>
  <c r="BZ48" i="1"/>
  <c r="BR48" i="1"/>
  <c r="BO48" i="1"/>
  <c r="BJ48" i="1"/>
  <c r="BH48" i="1"/>
  <c r="BG48" i="1"/>
  <c r="BF48" i="1"/>
  <c r="BE48" i="1"/>
  <c r="BC48" i="1"/>
  <c r="EN48" i="1" s="1"/>
  <c r="BB48" i="1"/>
  <c r="BA48" i="1"/>
  <c r="AZ48" i="1"/>
  <c r="AY48" i="1"/>
  <c r="DP48" i="1" s="1"/>
  <c r="N48" i="1"/>
  <c r="FD48" i="1" s="1"/>
  <c r="M48" i="1"/>
  <c r="L48" i="1"/>
  <c r="BD48" i="1" s="1"/>
  <c r="K48" i="1"/>
  <c r="I48" i="1"/>
  <c r="J48" i="1" s="1"/>
  <c r="H48" i="1"/>
  <c r="A48" i="1"/>
  <c r="B48" i="1" s="1"/>
  <c r="DS47" i="1"/>
  <c r="DR47" i="1"/>
  <c r="DQ47" i="1"/>
  <c r="DM47" i="1"/>
  <c r="DJ47" i="1"/>
  <c r="DH47" i="1"/>
  <c r="DC47" i="1"/>
  <c r="CZ47" i="1"/>
  <c r="CX47" i="1"/>
  <c r="CT47" i="1"/>
  <c r="CS47" i="1"/>
  <c r="CR47" i="1"/>
  <c r="CQ47" i="1"/>
  <c r="CP47" i="1"/>
  <c r="CO47" i="1"/>
  <c r="CN47" i="1"/>
  <c r="CM47" i="1"/>
  <c r="CL47" i="1"/>
  <c r="CK47" i="1"/>
  <c r="CI47" i="1"/>
  <c r="CG47" i="1"/>
  <c r="CC47" i="1"/>
  <c r="BZ47" i="1"/>
  <c r="BR47" i="1"/>
  <c r="BO47" i="1"/>
  <c r="BH47" i="1"/>
  <c r="BG47" i="1"/>
  <c r="BF47" i="1"/>
  <c r="BE47" i="1"/>
  <c r="BC47" i="1"/>
  <c r="EN47" i="1" s="1"/>
  <c r="BB47" i="1"/>
  <c r="BA47" i="1"/>
  <c r="AZ47" i="1"/>
  <c r="AY47" i="1"/>
  <c r="DP47" i="1" s="1"/>
  <c r="N47" i="1"/>
  <c r="FD47" i="1" s="1"/>
  <c r="M47" i="1"/>
  <c r="L47" i="1"/>
  <c r="BD47" i="1" s="1"/>
  <c r="BJ47" i="1" s="1"/>
  <c r="K47" i="1"/>
  <c r="I47" i="1"/>
  <c r="J47" i="1" s="1"/>
  <c r="H47" i="1"/>
  <c r="A47" i="1"/>
  <c r="B47" i="1" s="1"/>
  <c r="DS46" i="1"/>
  <c r="DR46" i="1"/>
  <c r="DQ46" i="1"/>
  <c r="DM46" i="1"/>
  <c r="DJ46" i="1"/>
  <c r="DH46" i="1"/>
  <c r="DC46" i="1"/>
  <c r="CZ46" i="1"/>
  <c r="CX46" i="1"/>
  <c r="CT46" i="1"/>
  <c r="CS46" i="1"/>
  <c r="CR46" i="1"/>
  <c r="CQ46" i="1"/>
  <c r="CP46" i="1"/>
  <c r="CO46" i="1"/>
  <c r="CN46" i="1"/>
  <c r="CM46" i="1"/>
  <c r="CL46" i="1"/>
  <c r="CK46" i="1"/>
  <c r="CI46" i="1"/>
  <c r="CG46" i="1"/>
  <c r="CC46" i="1"/>
  <c r="BZ46" i="1"/>
  <c r="BR46" i="1"/>
  <c r="BO46" i="1"/>
  <c r="BH46" i="1"/>
  <c r="BG46" i="1"/>
  <c r="BF46" i="1"/>
  <c r="BE46" i="1"/>
  <c r="BD46" i="1"/>
  <c r="BJ46" i="1" s="1"/>
  <c r="BC46" i="1"/>
  <c r="EN46" i="1" s="1"/>
  <c r="BB46" i="1"/>
  <c r="BA46" i="1"/>
  <c r="AZ46" i="1"/>
  <c r="AY46" i="1"/>
  <c r="DP46" i="1" s="1"/>
  <c r="N46" i="1"/>
  <c r="EZ46" i="1" s="1"/>
  <c r="M46" i="1"/>
  <c r="L46" i="1"/>
  <c r="K46" i="1"/>
  <c r="I46" i="1"/>
  <c r="J46" i="1" s="1"/>
  <c r="H46" i="1"/>
  <c r="A46" i="1"/>
  <c r="B46" i="1" s="1"/>
  <c r="DS45" i="1"/>
  <c r="DR45" i="1"/>
  <c r="DQ45" i="1"/>
  <c r="DM45" i="1"/>
  <c r="DJ45" i="1"/>
  <c r="DH45" i="1"/>
  <c r="DC45" i="1"/>
  <c r="CZ45" i="1"/>
  <c r="CX45" i="1"/>
  <c r="CT45" i="1"/>
  <c r="CS45" i="1"/>
  <c r="CR45" i="1"/>
  <c r="CQ45" i="1"/>
  <c r="CP45" i="1"/>
  <c r="CO45" i="1"/>
  <c r="CN45" i="1"/>
  <c r="CM45" i="1"/>
  <c r="CL45" i="1"/>
  <c r="CK45" i="1"/>
  <c r="CI45" i="1"/>
  <c r="CG45" i="1"/>
  <c r="CC45" i="1"/>
  <c r="BZ45" i="1"/>
  <c r="BR45" i="1"/>
  <c r="BO45" i="1"/>
  <c r="BH45" i="1"/>
  <c r="BG45" i="1"/>
  <c r="BF45" i="1"/>
  <c r="BE45" i="1"/>
  <c r="BC45" i="1"/>
  <c r="EN45" i="1" s="1"/>
  <c r="BB45" i="1"/>
  <c r="BA45" i="1"/>
  <c r="AZ45" i="1"/>
  <c r="AY45" i="1"/>
  <c r="DP45" i="1" s="1"/>
  <c r="N45" i="1"/>
  <c r="FD45" i="1" s="1"/>
  <c r="M45" i="1"/>
  <c r="L45" i="1"/>
  <c r="BD45" i="1" s="1"/>
  <c r="BJ45" i="1" s="1"/>
  <c r="K45" i="1"/>
  <c r="I45" i="1"/>
  <c r="J45" i="1" s="1"/>
  <c r="H45" i="1"/>
  <c r="A45" i="1"/>
  <c r="B45" i="1" s="1"/>
  <c r="DS44" i="1"/>
  <c r="DR44" i="1"/>
  <c r="DQ44" i="1"/>
  <c r="DM44" i="1"/>
  <c r="DJ44" i="1"/>
  <c r="DH44" i="1"/>
  <c r="DC44" i="1"/>
  <c r="CZ44" i="1"/>
  <c r="CX44" i="1"/>
  <c r="CT44" i="1"/>
  <c r="CS44" i="1"/>
  <c r="CR44" i="1"/>
  <c r="CQ44" i="1"/>
  <c r="CP44" i="1"/>
  <c r="CO44" i="1"/>
  <c r="CN44" i="1"/>
  <c r="CM44" i="1"/>
  <c r="CL44" i="1"/>
  <c r="CK44" i="1"/>
  <c r="CI44" i="1"/>
  <c r="CG44" i="1"/>
  <c r="CC44" i="1"/>
  <c r="BZ44" i="1"/>
  <c r="BR44" i="1"/>
  <c r="BO44" i="1"/>
  <c r="BJ44" i="1"/>
  <c r="BH44" i="1"/>
  <c r="BG44" i="1"/>
  <c r="BF44" i="1"/>
  <c r="BE44" i="1"/>
  <c r="BC44" i="1"/>
  <c r="EN44" i="1" s="1"/>
  <c r="EQ44" i="1" s="1"/>
  <c r="EU44" i="1" s="1"/>
  <c r="BB44" i="1"/>
  <c r="BA44" i="1"/>
  <c r="AZ44" i="1"/>
  <c r="AY44" i="1"/>
  <c r="DP44" i="1" s="1"/>
  <c r="N44" i="1"/>
  <c r="FD44" i="1" s="1"/>
  <c r="M44" i="1"/>
  <c r="L44" i="1"/>
  <c r="BD44" i="1" s="1"/>
  <c r="K44" i="1"/>
  <c r="I44" i="1"/>
  <c r="J44" i="1" s="1"/>
  <c r="H44" i="1"/>
  <c r="A44" i="1"/>
  <c r="B44" i="1" s="1"/>
  <c r="FA43" i="1"/>
  <c r="DS43" i="1"/>
  <c r="DR43" i="1"/>
  <c r="DQ43" i="1"/>
  <c r="DM43" i="1"/>
  <c r="DJ43" i="1"/>
  <c r="DH43" i="1"/>
  <c r="DC43" i="1"/>
  <c r="CZ43" i="1"/>
  <c r="CX43" i="1"/>
  <c r="CT43" i="1"/>
  <c r="CS43" i="1"/>
  <c r="CR43" i="1"/>
  <c r="CQ43" i="1"/>
  <c r="CP43" i="1"/>
  <c r="CO43" i="1"/>
  <c r="CN43" i="1"/>
  <c r="CM43" i="1"/>
  <c r="CL43" i="1"/>
  <c r="CK43" i="1"/>
  <c r="CI43" i="1"/>
  <c r="CG43" i="1"/>
  <c r="CC43" i="1"/>
  <c r="BZ43" i="1"/>
  <c r="BR43" i="1"/>
  <c r="BO43" i="1"/>
  <c r="BH43" i="1"/>
  <c r="BG43" i="1"/>
  <c r="BF43" i="1"/>
  <c r="BE43" i="1"/>
  <c r="BC43" i="1"/>
  <c r="EN43" i="1" s="1"/>
  <c r="BB43" i="1"/>
  <c r="BA43" i="1"/>
  <c r="AZ43" i="1"/>
  <c r="AY43" i="1"/>
  <c r="DP43" i="1" s="1"/>
  <c r="N43" i="1"/>
  <c r="FD43" i="1" s="1"/>
  <c r="M43" i="1"/>
  <c r="L43" i="1"/>
  <c r="BD43" i="1" s="1"/>
  <c r="BJ43" i="1" s="1"/>
  <c r="K43" i="1"/>
  <c r="I43" i="1"/>
  <c r="J43" i="1" s="1"/>
  <c r="H43" i="1"/>
  <c r="A43" i="1"/>
  <c r="B43" i="1" s="1"/>
  <c r="FD42" i="1"/>
  <c r="FC42" i="1"/>
  <c r="FA42" i="1"/>
  <c r="DS42" i="1"/>
  <c r="DR42" i="1"/>
  <c r="DQ42" i="1"/>
  <c r="DM42" i="1"/>
  <c r="DJ42" i="1"/>
  <c r="DH42" i="1"/>
  <c r="DC42" i="1"/>
  <c r="CZ42" i="1"/>
  <c r="CX42" i="1"/>
  <c r="CT42" i="1"/>
  <c r="CS42" i="1"/>
  <c r="CR42" i="1"/>
  <c r="CQ42" i="1"/>
  <c r="CP42" i="1"/>
  <c r="CO42" i="1"/>
  <c r="CN42" i="1"/>
  <c r="CM42" i="1"/>
  <c r="CL42" i="1"/>
  <c r="CK42" i="1"/>
  <c r="CI42" i="1"/>
  <c r="CG42" i="1"/>
  <c r="CC42" i="1"/>
  <c r="BZ42" i="1"/>
  <c r="BR42" i="1"/>
  <c r="BO42" i="1"/>
  <c r="BH42" i="1"/>
  <c r="BG42" i="1"/>
  <c r="BF42" i="1"/>
  <c r="BE42" i="1"/>
  <c r="BC42" i="1"/>
  <c r="EN42" i="1" s="1"/>
  <c r="BB42" i="1"/>
  <c r="BA42" i="1"/>
  <c r="AZ42" i="1"/>
  <c r="AY42" i="1"/>
  <c r="DP42" i="1" s="1"/>
  <c r="N42" i="1"/>
  <c r="EZ42" i="1" s="1"/>
  <c r="M42" i="1"/>
  <c r="L42" i="1"/>
  <c r="BD42" i="1" s="1"/>
  <c r="BJ42" i="1" s="1"/>
  <c r="K42" i="1"/>
  <c r="I42" i="1"/>
  <c r="J42" i="1" s="1"/>
  <c r="H42" i="1"/>
  <c r="A42" i="1"/>
  <c r="B42" i="1" s="1"/>
  <c r="FC41" i="1"/>
  <c r="FB41" i="1"/>
  <c r="EZ41" i="1"/>
  <c r="DS41" i="1"/>
  <c r="DR41" i="1"/>
  <c r="DQ41" i="1"/>
  <c r="DM41" i="1"/>
  <c r="DJ41" i="1"/>
  <c r="DH41" i="1"/>
  <c r="DC41" i="1"/>
  <c r="CZ41" i="1"/>
  <c r="CX41" i="1"/>
  <c r="CT41" i="1"/>
  <c r="CS41" i="1"/>
  <c r="CR41" i="1"/>
  <c r="CQ41" i="1"/>
  <c r="CP41" i="1"/>
  <c r="CO41" i="1"/>
  <c r="CN41" i="1"/>
  <c r="CM41" i="1"/>
  <c r="CL41" i="1"/>
  <c r="CK41" i="1"/>
  <c r="CI41" i="1"/>
  <c r="CG41" i="1"/>
  <c r="CC41" i="1"/>
  <c r="BZ41" i="1"/>
  <c r="BR41" i="1"/>
  <c r="BO41" i="1"/>
  <c r="BH41" i="1"/>
  <c r="BG41" i="1"/>
  <c r="BF41" i="1"/>
  <c r="BE41" i="1"/>
  <c r="BC41" i="1"/>
  <c r="EN41" i="1" s="1"/>
  <c r="BB41" i="1"/>
  <c r="BA41" i="1"/>
  <c r="AZ41" i="1"/>
  <c r="AY41" i="1"/>
  <c r="DP41" i="1" s="1"/>
  <c r="N41" i="1"/>
  <c r="FD41" i="1" s="1"/>
  <c r="M41" i="1"/>
  <c r="L41" i="1"/>
  <c r="BD41" i="1" s="1"/>
  <c r="BJ41" i="1" s="1"/>
  <c r="K41" i="1"/>
  <c r="I41" i="1"/>
  <c r="J41" i="1" s="1"/>
  <c r="H41" i="1"/>
  <c r="A41" i="1"/>
  <c r="B41" i="1" s="1"/>
  <c r="FC40" i="1"/>
  <c r="FA40" i="1"/>
  <c r="DS40" i="1"/>
  <c r="DR40" i="1"/>
  <c r="DQ40" i="1"/>
  <c r="DM40" i="1"/>
  <c r="DJ40" i="1"/>
  <c r="DH40" i="1"/>
  <c r="DC40" i="1"/>
  <c r="CZ40" i="1"/>
  <c r="CX40" i="1"/>
  <c r="CT40" i="1"/>
  <c r="CS40" i="1"/>
  <c r="CR40" i="1"/>
  <c r="CQ40" i="1"/>
  <c r="CP40" i="1"/>
  <c r="CO40" i="1"/>
  <c r="CN40" i="1"/>
  <c r="CM40" i="1"/>
  <c r="CL40" i="1"/>
  <c r="CK40" i="1"/>
  <c r="CI40" i="1"/>
  <c r="CG40" i="1"/>
  <c r="CC40" i="1"/>
  <c r="BZ40" i="1"/>
  <c r="BR40" i="1"/>
  <c r="BO40" i="1"/>
  <c r="BJ40" i="1"/>
  <c r="BH40" i="1"/>
  <c r="BG40" i="1"/>
  <c r="BF40" i="1"/>
  <c r="BE40" i="1"/>
  <c r="BC40" i="1"/>
  <c r="EN40" i="1" s="1"/>
  <c r="BB40" i="1"/>
  <c r="BA40" i="1"/>
  <c r="AZ40" i="1"/>
  <c r="AY40" i="1"/>
  <c r="DP40" i="1" s="1"/>
  <c r="N40" i="1"/>
  <c r="FD40" i="1" s="1"/>
  <c r="M40" i="1"/>
  <c r="L40" i="1"/>
  <c r="BD40" i="1" s="1"/>
  <c r="K40" i="1"/>
  <c r="I40" i="1"/>
  <c r="J40" i="1" s="1"/>
  <c r="H40" i="1"/>
  <c r="A40" i="1"/>
  <c r="B40" i="1" s="1"/>
  <c r="FC39" i="1"/>
  <c r="EX39" i="1"/>
  <c r="DS39" i="1"/>
  <c r="DR39" i="1"/>
  <c r="DQ39" i="1"/>
  <c r="DM39" i="1"/>
  <c r="DJ39" i="1"/>
  <c r="DH39" i="1"/>
  <c r="DC39" i="1"/>
  <c r="CZ39" i="1"/>
  <c r="CX39" i="1"/>
  <c r="CT39" i="1"/>
  <c r="CS39" i="1"/>
  <c r="CR39" i="1"/>
  <c r="CQ39" i="1"/>
  <c r="CP39" i="1"/>
  <c r="CO39" i="1"/>
  <c r="CN39" i="1"/>
  <c r="CM39" i="1"/>
  <c r="CL39" i="1"/>
  <c r="CK39" i="1"/>
  <c r="CI39" i="1"/>
  <c r="CG39" i="1"/>
  <c r="CC39" i="1"/>
  <c r="BZ39" i="1"/>
  <c r="BR39" i="1"/>
  <c r="BO39" i="1"/>
  <c r="BH39" i="1"/>
  <c r="BG39" i="1"/>
  <c r="BF39" i="1"/>
  <c r="BE39" i="1"/>
  <c r="BC39" i="1"/>
  <c r="EN39" i="1" s="1"/>
  <c r="BB39" i="1"/>
  <c r="BA39" i="1"/>
  <c r="AZ39" i="1"/>
  <c r="AY39" i="1"/>
  <c r="DP39" i="1" s="1"/>
  <c r="N39" i="1"/>
  <c r="FD39" i="1" s="1"/>
  <c r="M39" i="1"/>
  <c r="L39" i="1"/>
  <c r="BD39" i="1" s="1"/>
  <c r="BJ39" i="1" s="1"/>
  <c r="K39" i="1"/>
  <c r="I39" i="1"/>
  <c r="J39" i="1" s="1"/>
  <c r="H39" i="1"/>
  <c r="A39" i="1"/>
  <c r="B39" i="1" s="1"/>
  <c r="FD38" i="1"/>
  <c r="FC38" i="1"/>
  <c r="FB38" i="1"/>
  <c r="EY38" i="1"/>
  <c r="DS38" i="1"/>
  <c r="DR38" i="1"/>
  <c r="DQ38" i="1"/>
  <c r="DM38" i="1"/>
  <c r="DJ38" i="1"/>
  <c r="DH38" i="1"/>
  <c r="DC38" i="1"/>
  <c r="CZ38" i="1"/>
  <c r="CX38" i="1"/>
  <c r="CT38" i="1"/>
  <c r="CS38" i="1"/>
  <c r="CR38" i="1"/>
  <c r="CQ38" i="1"/>
  <c r="CP38" i="1"/>
  <c r="CO38" i="1"/>
  <c r="CN38" i="1"/>
  <c r="CM38" i="1"/>
  <c r="CL38" i="1"/>
  <c r="CK38" i="1"/>
  <c r="CI38" i="1"/>
  <c r="CG38" i="1"/>
  <c r="CC38" i="1"/>
  <c r="BZ38" i="1"/>
  <c r="BR38" i="1"/>
  <c r="BO38" i="1"/>
  <c r="BH38" i="1"/>
  <c r="BG38" i="1"/>
  <c r="BF38" i="1"/>
  <c r="BE38" i="1"/>
  <c r="BC38" i="1"/>
  <c r="EN38" i="1" s="1"/>
  <c r="BB38" i="1"/>
  <c r="BA38" i="1"/>
  <c r="AZ38" i="1"/>
  <c r="AY38" i="1"/>
  <c r="DP38" i="1" s="1"/>
  <c r="N38" i="1"/>
  <c r="EZ38" i="1" s="1"/>
  <c r="M38" i="1"/>
  <c r="L38" i="1"/>
  <c r="BD38" i="1" s="1"/>
  <c r="BJ38" i="1" s="1"/>
  <c r="K38" i="1"/>
  <c r="I38" i="1"/>
  <c r="J38" i="1" s="1"/>
  <c r="H38" i="1"/>
  <c r="A38" i="1"/>
  <c r="B38" i="1" s="1"/>
  <c r="FC37" i="1"/>
  <c r="FB37" i="1"/>
  <c r="FA37" i="1"/>
  <c r="EY37" i="1"/>
  <c r="EX37" i="1"/>
  <c r="DS37" i="1"/>
  <c r="DR37" i="1"/>
  <c r="DQ37" i="1"/>
  <c r="DM37" i="1"/>
  <c r="DJ37" i="1"/>
  <c r="DH37" i="1"/>
  <c r="DC37" i="1"/>
  <c r="CZ37" i="1"/>
  <c r="CX37" i="1"/>
  <c r="CT37" i="1"/>
  <c r="CS37" i="1"/>
  <c r="CR37" i="1"/>
  <c r="CQ37" i="1"/>
  <c r="CP37" i="1"/>
  <c r="CO37" i="1"/>
  <c r="CN37" i="1"/>
  <c r="CM37" i="1"/>
  <c r="CL37" i="1"/>
  <c r="CK37" i="1"/>
  <c r="CI37" i="1"/>
  <c r="CG37" i="1"/>
  <c r="CC37" i="1"/>
  <c r="BZ37" i="1"/>
  <c r="BR37" i="1"/>
  <c r="BO37" i="1"/>
  <c r="BH37" i="1"/>
  <c r="BG37" i="1"/>
  <c r="BF37" i="1"/>
  <c r="BE37" i="1"/>
  <c r="BC37" i="1"/>
  <c r="EN37" i="1" s="1"/>
  <c r="BB37" i="1"/>
  <c r="BA37" i="1"/>
  <c r="AZ37" i="1"/>
  <c r="AY37" i="1"/>
  <c r="DP37" i="1" s="1"/>
  <c r="N37" i="1"/>
  <c r="FD37" i="1" s="1"/>
  <c r="M37" i="1"/>
  <c r="L37" i="1"/>
  <c r="BD37" i="1" s="1"/>
  <c r="BJ37" i="1" s="1"/>
  <c r="K37" i="1"/>
  <c r="I37" i="1"/>
  <c r="J37" i="1" s="1"/>
  <c r="H37" i="1"/>
  <c r="A37" i="1"/>
  <c r="B37" i="1" s="1"/>
  <c r="FC36" i="1"/>
  <c r="FB36" i="1"/>
  <c r="FA36" i="1"/>
  <c r="EY36" i="1"/>
  <c r="EW36" i="1"/>
  <c r="DS36" i="1"/>
  <c r="DR36" i="1"/>
  <c r="DQ36" i="1"/>
  <c r="DM36" i="1"/>
  <c r="DJ36" i="1"/>
  <c r="DH36" i="1"/>
  <c r="DC36" i="1"/>
  <c r="CZ36" i="1"/>
  <c r="CX36" i="1"/>
  <c r="CT36" i="1"/>
  <c r="CS36" i="1"/>
  <c r="CR36" i="1"/>
  <c r="CQ36" i="1"/>
  <c r="CP36" i="1"/>
  <c r="CO36" i="1"/>
  <c r="CN36" i="1"/>
  <c r="CM36" i="1"/>
  <c r="CL36" i="1"/>
  <c r="CK36" i="1"/>
  <c r="CI36" i="1"/>
  <c r="CG36" i="1"/>
  <c r="CC36" i="1"/>
  <c r="BZ36" i="1"/>
  <c r="BR36" i="1"/>
  <c r="BO36" i="1"/>
  <c r="BH36" i="1"/>
  <c r="BG36" i="1"/>
  <c r="BF36" i="1"/>
  <c r="BE36" i="1"/>
  <c r="BC36" i="1"/>
  <c r="EN36" i="1" s="1"/>
  <c r="BB36" i="1"/>
  <c r="BA36" i="1"/>
  <c r="AZ36" i="1"/>
  <c r="AY36" i="1"/>
  <c r="DP36" i="1" s="1"/>
  <c r="N36" i="1"/>
  <c r="FD36" i="1" s="1"/>
  <c r="M36" i="1"/>
  <c r="L36" i="1"/>
  <c r="BD36" i="1" s="1"/>
  <c r="BJ36" i="1" s="1"/>
  <c r="K36" i="1"/>
  <c r="I36" i="1"/>
  <c r="J36" i="1" s="1"/>
  <c r="H36" i="1"/>
  <c r="A36" i="1"/>
  <c r="B36" i="1" s="1"/>
  <c r="EX35" i="1"/>
  <c r="EW35" i="1"/>
  <c r="EN35" i="1"/>
  <c r="EQ35" i="1" s="1"/>
  <c r="EU35" i="1" s="1"/>
  <c r="EC35" i="1"/>
  <c r="EA35" i="1"/>
  <c r="DY35" i="1"/>
  <c r="DS35" i="1"/>
  <c r="DR35" i="1"/>
  <c r="DQ35" i="1"/>
  <c r="DM35" i="1"/>
  <c r="DJ35" i="1"/>
  <c r="DH35" i="1"/>
  <c r="DC35" i="1"/>
  <c r="CZ35" i="1"/>
  <c r="CX35" i="1"/>
  <c r="CT35" i="1"/>
  <c r="CS35" i="1"/>
  <c r="CR35" i="1"/>
  <c r="CQ35" i="1"/>
  <c r="CP35" i="1"/>
  <c r="CO35" i="1"/>
  <c r="CN35" i="1"/>
  <c r="CM35" i="1"/>
  <c r="CL35" i="1"/>
  <c r="CK35" i="1"/>
  <c r="CI35" i="1"/>
  <c r="CG35" i="1"/>
  <c r="CC35" i="1"/>
  <c r="BZ35" i="1"/>
  <c r="BR35" i="1"/>
  <c r="BO35" i="1"/>
  <c r="BJ35" i="1"/>
  <c r="BH35" i="1"/>
  <c r="BG35" i="1"/>
  <c r="BF35" i="1"/>
  <c r="BE35" i="1"/>
  <c r="BC35" i="1"/>
  <c r="BB35" i="1"/>
  <c r="BA35" i="1"/>
  <c r="AZ35" i="1"/>
  <c r="AY35" i="1"/>
  <c r="DP35" i="1" s="1"/>
  <c r="N35" i="1"/>
  <c r="M35" i="1"/>
  <c r="L35" i="1"/>
  <c r="BD35" i="1" s="1"/>
  <c r="K35" i="1"/>
  <c r="I35" i="1"/>
  <c r="J35" i="1" s="1"/>
  <c r="H35" i="1"/>
  <c r="A35" i="1"/>
  <c r="B35" i="1" s="1"/>
  <c r="FD34" i="1"/>
  <c r="FB34" i="1"/>
  <c r="EX34" i="1"/>
  <c r="EW34" i="1"/>
  <c r="DS34" i="1"/>
  <c r="DR34" i="1"/>
  <c r="DQ34" i="1"/>
  <c r="DM34" i="1"/>
  <c r="DJ34" i="1"/>
  <c r="DH34" i="1"/>
  <c r="DC34" i="1"/>
  <c r="CZ34" i="1"/>
  <c r="CX34" i="1"/>
  <c r="CT34" i="1"/>
  <c r="CS34" i="1"/>
  <c r="CR34" i="1"/>
  <c r="CQ34" i="1"/>
  <c r="CP34" i="1"/>
  <c r="CO34" i="1"/>
  <c r="CN34" i="1"/>
  <c r="CM34" i="1"/>
  <c r="CL34" i="1"/>
  <c r="CK34" i="1"/>
  <c r="CI34" i="1"/>
  <c r="CG34" i="1"/>
  <c r="CC34" i="1"/>
  <c r="BZ34" i="1"/>
  <c r="BR34" i="1"/>
  <c r="BO34" i="1"/>
  <c r="BH34" i="1"/>
  <c r="BG34" i="1"/>
  <c r="BF34" i="1"/>
  <c r="BE34" i="1"/>
  <c r="BD34" i="1"/>
  <c r="BJ34" i="1" s="1"/>
  <c r="BC34" i="1"/>
  <c r="EN34" i="1" s="1"/>
  <c r="BB34" i="1"/>
  <c r="BA34" i="1"/>
  <c r="AZ34" i="1"/>
  <c r="AY34" i="1"/>
  <c r="DP34" i="1" s="1"/>
  <c r="N34" i="1"/>
  <c r="FC34" i="1" s="1"/>
  <c r="M34" i="1"/>
  <c r="L34" i="1"/>
  <c r="K34" i="1"/>
  <c r="I34" i="1"/>
  <c r="J34" i="1" s="1"/>
  <c r="H34" i="1"/>
  <c r="A34" i="1"/>
  <c r="B34" i="1" s="1"/>
  <c r="FD33" i="1"/>
  <c r="DS33" i="1"/>
  <c r="DR33" i="1"/>
  <c r="DQ33" i="1"/>
  <c r="DM33" i="1"/>
  <c r="DJ33" i="1"/>
  <c r="DH33" i="1"/>
  <c r="DC33" i="1"/>
  <c r="CZ33" i="1"/>
  <c r="CX33" i="1"/>
  <c r="CT33" i="1"/>
  <c r="CS33" i="1"/>
  <c r="CR33" i="1"/>
  <c r="CQ33" i="1"/>
  <c r="CP33" i="1"/>
  <c r="CO33" i="1"/>
  <c r="CN33" i="1"/>
  <c r="CM33" i="1"/>
  <c r="CL33" i="1"/>
  <c r="CK33" i="1"/>
  <c r="CI33" i="1"/>
  <c r="CG33" i="1"/>
  <c r="CC33" i="1"/>
  <c r="BZ33" i="1"/>
  <c r="BR33" i="1"/>
  <c r="BO33" i="1"/>
  <c r="BH33" i="1"/>
  <c r="BG33" i="1"/>
  <c r="BF33" i="1"/>
  <c r="BE33" i="1"/>
  <c r="BD33" i="1"/>
  <c r="BJ33" i="1" s="1"/>
  <c r="BC33" i="1"/>
  <c r="EN33" i="1" s="1"/>
  <c r="BB33" i="1"/>
  <c r="BA33" i="1"/>
  <c r="AZ33" i="1"/>
  <c r="AY33" i="1"/>
  <c r="DP33" i="1" s="1"/>
  <c r="N33" i="1"/>
  <c r="M33" i="1"/>
  <c r="L33" i="1"/>
  <c r="K33" i="1"/>
  <c r="I33" i="1"/>
  <c r="J33" i="1" s="1"/>
  <c r="H33" i="1"/>
  <c r="A33" i="1"/>
  <c r="B33" i="1" s="1"/>
  <c r="DS32" i="1"/>
  <c r="DR32" i="1"/>
  <c r="DQ32" i="1"/>
  <c r="DP32" i="1"/>
  <c r="DM32" i="1"/>
  <c r="DJ32" i="1"/>
  <c r="DH32" i="1"/>
  <c r="DC32" i="1"/>
  <c r="CZ32" i="1"/>
  <c r="CX32" i="1"/>
  <c r="CT32" i="1"/>
  <c r="CS32" i="1"/>
  <c r="CR32" i="1"/>
  <c r="CQ32" i="1"/>
  <c r="CP32" i="1"/>
  <c r="CO32" i="1"/>
  <c r="CN32" i="1"/>
  <c r="CM32" i="1"/>
  <c r="CL32" i="1"/>
  <c r="CK32" i="1"/>
  <c r="CI32" i="1"/>
  <c r="CG32" i="1"/>
  <c r="CC32" i="1"/>
  <c r="BZ32" i="1"/>
  <c r="BR32" i="1"/>
  <c r="BO32" i="1"/>
  <c r="BH32" i="1"/>
  <c r="BG32" i="1"/>
  <c r="BF32" i="1"/>
  <c r="BE32" i="1"/>
  <c r="BC32" i="1"/>
  <c r="EN32" i="1" s="1"/>
  <c r="BB32" i="1"/>
  <c r="BA32" i="1"/>
  <c r="AZ32" i="1"/>
  <c r="AY32" i="1"/>
  <c r="N32" i="1"/>
  <c r="FC32" i="1" s="1"/>
  <c r="M32" i="1"/>
  <c r="L32" i="1"/>
  <c r="BD32" i="1" s="1"/>
  <c r="BJ32" i="1" s="1"/>
  <c r="K32" i="1"/>
  <c r="J32" i="1"/>
  <c r="I32" i="1"/>
  <c r="H32" i="1"/>
  <c r="A32" i="1"/>
  <c r="B32" i="1" s="1"/>
  <c r="EN31" i="1"/>
  <c r="EO31" i="1" s="1"/>
  <c r="ES31" i="1" s="1"/>
  <c r="DS31" i="1"/>
  <c r="DR31" i="1"/>
  <c r="DQ31" i="1"/>
  <c r="DM31" i="1"/>
  <c r="DJ31" i="1"/>
  <c r="DH31" i="1"/>
  <c r="DC31" i="1"/>
  <c r="CZ31" i="1"/>
  <c r="CX31" i="1"/>
  <c r="CT31" i="1"/>
  <c r="CS31" i="1"/>
  <c r="CR31" i="1"/>
  <c r="CQ31" i="1"/>
  <c r="CP31" i="1"/>
  <c r="CO31" i="1"/>
  <c r="CN31" i="1"/>
  <c r="CM31" i="1"/>
  <c r="CL31" i="1"/>
  <c r="CK31" i="1"/>
  <c r="CI31" i="1"/>
  <c r="CG31" i="1"/>
  <c r="CC31" i="1"/>
  <c r="BZ31" i="1"/>
  <c r="BR31" i="1"/>
  <c r="BO31" i="1"/>
  <c r="BH31" i="1"/>
  <c r="BG31" i="1"/>
  <c r="BF31" i="1"/>
  <c r="BE31" i="1"/>
  <c r="BC31" i="1"/>
  <c r="BB31" i="1"/>
  <c r="BA31" i="1"/>
  <c r="AZ31" i="1"/>
  <c r="AY31" i="1"/>
  <c r="DP31" i="1" s="1"/>
  <c r="N31" i="1"/>
  <c r="FA31" i="1" s="1"/>
  <c r="M31" i="1"/>
  <c r="L31" i="1"/>
  <c r="BD31" i="1" s="1"/>
  <c r="BJ31" i="1" s="1"/>
  <c r="K31" i="1"/>
  <c r="J31" i="1"/>
  <c r="I31" i="1"/>
  <c r="H31" i="1"/>
  <c r="A31" i="1"/>
  <c r="B31" i="1" s="1"/>
  <c r="DS30" i="1"/>
  <c r="DR30" i="1"/>
  <c r="DQ30" i="1"/>
  <c r="DM30" i="1"/>
  <c r="DJ30" i="1"/>
  <c r="DH30" i="1"/>
  <c r="DC30" i="1"/>
  <c r="CZ30" i="1"/>
  <c r="CX30" i="1"/>
  <c r="CT30" i="1"/>
  <c r="CS30" i="1"/>
  <c r="CR30" i="1"/>
  <c r="CQ30" i="1"/>
  <c r="CP30" i="1"/>
  <c r="CO30" i="1"/>
  <c r="CN30" i="1"/>
  <c r="CM30" i="1"/>
  <c r="CL30" i="1"/>
  <c r="CK30" i="1"/>
  <c r="CI30" i="1"/>
  <c r="CG30" i="1"/>
  <c r="CC30" i="1"/>
  <c r="BZ30" i="1"/>
  <c r="BR30" i="1"/>
  <c r="BO30" i="1"/>
  <c r="BH30" i="1"/>
  <c r="BG30" i="1"/>
  <c r="BF30" i="1"/>
  <c r="BE30" i="1"/>
  <c r="BC30" i="1"/>
  <c r="EN30" i="1" s="1"/>
  <c r="BB30" i="1"/>
  <c r="BA30" i="1"/>
  <c r="AZ30" i="1"/>
  <c r="AY30" i="1"/>
  <c r="DP30" i="1" s="1"/>
  <c r="N30" i="1"/>
  <c r="FC30" i="1" s="1"/>
  <c r="M30" i="1"/>
  <c r="L30" i="1"/>
  <c r="BD30" i="1" s="1"/>
  <c r="BJ30" i="1" s="1"/>
  <c r="K30" i="1"/>
  <c r="J30" i="1"/>
  <c r="I30" i="1"/>
  <c r="H30" i="1"/>
  <c r="A30" i="1"/>
  <c r="B30" i="1" s="1"/>
  <c r="DS29" i="1"/>
  <c r="DR29" i="1"/>
  <c r="DQ29" i="1"/>
  <c r="DM29" i="1"/>
  <c r="DJ29" i="1"/>
  <c r="DH29" i="1"/>
  <c r="DC29" i="1"/>
  <c r="CZ29" i="1"/>
  <c r="CX29" i="1"/>
  <c r="CT29" i="1"/>
  <c r="CS29" i="1"/>
  <c r="CR29" i="1"/>
  <c r="CQ29" i="1"/>
  <c r="CP29" i="1"/>
  <c r="CO29" i="1"/>
  <c r="CN29" i="1"/>
  <c r="CM29" i="1"/>
  <c r="CL29" i="1"/>
  <c r="CK29" i="1"/>
  <c r="CI29" i="1"/>
  <c r="CG29" i="1"/>
  <c r="CC29" i="1"/>
  <c r="BZ29" i="1"/>
  <c r="BR29" i="1"/>
  <c r="BO29" i="1"/>
  <c r="BH29" i="1"/>
  <c r="BG29" i="1"/>
  <c r="BF29" i="1"/>
  <c r="BE29" i="1"/>
  <c r="BC29" i="1"/>
  <c r="EN29" i="1" s="1"/>
  <c r="BB29" i="1"/>
  <c r="BA29" i="1"/>
  <c r="AZ29" i="1"/>
  <c r="AY29" i="1"/>
  <c r="DP29" i="1" s="1"/>
  <c r="N29" i="1"/>
  <c r="FA29" i="1" s="1"/>
  <c r="M29" i="1"/>
  <c r="L29" i="1"/>
  <c r="BD29" i="1" s="1"/>
  <c r="BJ29" i="1" s="1"/>
  <c r="K29" i="1"/>
  <c r="I29" i="1"/>
  <c r="J29" i="1" s="1"/>
  <c r="H29" i="1"/>
  <c r="A29" i="1"/>
  <c r="B29" i="1" s="1"/>
  <c r="DS28" i="1"/>
  <c r="DR28" i="1"/>
  <c r="DQ28" i="1"/>
  <c r="DM28" i="1"/>
  <c r="DJ28" i="1"/>
  <c r="DH28" i="1"/>
  <c r="DC28" i="1"/>
  <c r="CZ28" i="1"/>
  <c r="CX28" i="1"/>
  <c r="CT28" i="1"/>
  <c r="CS28" i="1"/>
  <c r="CR28" i="1"/>
  <c r="CQ28" i="1"/>
  <c r="CP28" i="1"/>
  <c r="CO28" i="1"/>
  <c r="CN28" i="1"/>
  <c r="CM28" i="1"/>
  <c r="CL28" i="1"/>
  <c r="CK28" i="1"/>
  <c r="CI28" i="1"/>
  <c r="CG28" i="1"/>
  <c r="CC28" i="1"/>
  <c r="BZ28" i="1"/>
  <c r="BR28" i="1"/>
  <c r="BO28" i="1"/>
  <c r="BH28" i="1"/>
  <c r="BG28" i="1"/>
  <c r="BF28" i="1"/>
  <c r="BE28" i="1"/>
  <c r="BC28" i="1"/>
  <c r="EN28" i="1" s="1"/>
  <c r="BB28" i="1"/>
  <c r="BA28" i="1"/>
  <c r="AZ28" i="1"/>
  <c r="AY28" i="1"/>
  <c r="DP28" i="1" s="1"/>
  <c r="N28" i="1"/>
  <c r="FC28" i="1" s="1"/>
  <c r="M28" i="1"/>
  <c r="L28" i="1"/>
  <c r="BD28" i="1" s="1"/>
  <c r="BJ28" i="1" s="1"/>
  <c r="K28" i="1"/>
  <c r="I28" i="1"/>
  <c r="J28" i="1" s="1"/>
  <c r="H28" i="1"/>
  <c r="A28" i="1"/>
  <c r="B28" i="1" s="1"/>
  <c r="FB27" i="1"/>
  <c r="FA27" i="1"/>
  <c r="EZ27" i="1"/>
  <c r="EX27" i="1"/>
  <c r="EW27" i="1"/>
  <c r="DS27" i="1"/>
  <c r="DR27" i="1"/>
  <c r="DQ27" i="1"/>
  <c r="DM27" i="1"/>
  <c r="DJ27" i="1"/>
  <c r="DH27" i="1"/>
  <c r="DC27" i="1"/>
  <c r="CZ27" i="1"/>
  <c r="CX27" i="1"/>
  <c r="CT27" i="1"/>
  <c r="CS27" i="1"/>
  <c r="CR27" i="1"/>
  <c r="CQ27" i="1"/>
  <c r="CP27" i="1"/>
  <c r="CO27" i="1"/>
  <c r="CN27" i="1"/>
  <c r="CM27" i="1"/>
  <c r="CL27" i="1"/>
  <c r="CK27" i="1"/>
  <c r="CI27" i="1"/>
  <c r="CG27" i="1"/>
  <c r="CC27" i="1"/>
  <c r="BZ27" i="1"/>
  <c r="BR27" i="1"/>
  <c r="BO27" i="1"/>
  <c r="BJ27" i="1"/>
  <c r="BH27" i="1"/>
  <c r="BG27" i="1"/>
  <c r="BF27" i="1"/>
  <c r="BE27" i="1"/>
  <c r="BC27" i="1"/>
  <c r="EN27" i="1" s="1"/>
  <c r="BB27" i="1"/>
  <c r="BA27" i="1"/>
  <c r="AZ27" i="1"/>
  <c r="AY27" i="1"/>
  <c r="DP27" i="1" s="1"/>
  <c r="N27" i="1"/>
  <c r="M27" i="1"/>
  <c r="L27" i="1"/>
  <c r="BD27" i="1" s="1"/>
  <c r="K27" i="1"/>
  <c r="I27" i="1"/>
  <c r="J27" i="1" s="1"/>
  <c r="H27" i="1"/>
  <c r="A27" i="1"/>
  <c r="B27" i="1" s="1"/>
  <c r="FD26" i="1"/>
  <c r="FB26" i="1"/>
  <c r="EW26" i="1"/>
  <c r="DS26" i="1"/>
  <c r="DR26" i="1"/>
  <c r="DQ26" i="1"/>
  <c r="DM26" i="1"/>
  <c r="DJ26" i="1"/>
  <c r="DH26" i="1"/>
  <c r="DC26" i="1"/>
  <c r="CZ26" i="1"/>
  <c r="CX26" i="1"/>
  <c r="CT26" i="1"/>
  <c r="CS26" i="1"/>
  <c r="CR26" i="1"/>
  <c r="CQ26" i="1"/>
  <c r="CP26" i="1"/>
  <c r="CO26" i="1"/>
  <c r="CN26" i="1"/>
  <c r="CM26" i="1"/>
  <c r="CL26" i="1"/>
  <c r="CK26" i="1"/>
  <c r="CI26" i="1"/>
  <c r="CG26" i="1"/>
  <c r="CC26" i="1"/>
  <c r="BZ26" i="1"/>
  <c r="BR26" i="1"/>
  <c r="BO26" i="1"/>
  <c r="BH26" i="1"/>
  <c r="BG26" i="1"/>
  <c r="BF26" i="1"/>
  <c r="BE26" i="1"/>
  <c r="BC26" i="1"/>
  <c r="EN26" i="1" s="1"/>
  <c r="BB26" i="1"/>
  <c r="BA26" i="1"/>
  <c r="AZ26" i="1"/>
  <c r="AY26" i="1"/>
  <c r="DP26" i="1" s="1"/>
  <c r="N26" i="1"/>
  <c r="FC26" i="1" s="1"/>
  <c r="M26" i="1"/>
  <c r="L26" i="1"/>
  <c r="BD26" i="1" s="1"/>
  <c r="BJ26" i="1" s="1"/>
  <c r="K26" i="1"/>
  <c r="I26" i="1"/>
  <c r="J26" i="1" s="1"/>
  <c r="H26" i="1"/>
  <c r="A26" i="1"/>
  <c r="B26" i="1" s="1"/>
  <c r="FB25" i="1"/>
  <c r="FA25" i="1"/>
  <c r="EZ25" i="1"/>
  <c r="DS25" i="1"/>
  <c r="DR25" i="1"/>
  <c r="DQ25" i="1"/>
  <c r="DM25" i="1"/>
  <c r="DJ25" i="1"/>
  <c r="DH25" i="1"/>
  <c r="DC25" i="1"/>
  <c r="CZ25" i="1"/>
  <c r="CX25" i="1"/>
  <c r="CT25" i="1"/>
  <c r="CS25" i="1"/>
  <c r="CR25" i="1"/>
  <c r="CQ25" i="1"/>
  <c r="CP25" i="1"/>
  <c r="CO25" i="1"/>
  <c r="CN25" i="1"/>
  <c r="CM25" i="1"/>
  <c r="CL25" i="1"/>
  <c r="CK25" i="1"/>
  <c r="CI25" i="1"/>
  <c r="CG25" i="1"/>
  <c r="CC25" i="1"/>
  <c r="BZ25" i="1"/>
  <c r="BR25" i="1"/>
  <c r="BO25" i="1"/>
  <c r="BH25" i="1"/>
  <c r="BG25" i="1"/>
  <c r="BF25" i="1"/>
  <c r="BE25" i="1"/>
  <c r="BD25" i="1"/>
  <c r="BJ25" i="1" s="1"/>
  <c r="BC25" i="1"/>
  <c r="EN25" i="1" s="1"/>
  <c r="BB25" i="1"/>
  <c r="BA25" i="1"/>
  <c r="AZ25" i="1"/>
  <c r="AY25" i="1"/>
  <c r="DP25" i="1" s="1"/>
  <c r="N25" i="1"/>
  <c r="FD25" i="1" s="1"/>
  <c r="M25" i="1"/>
  <c r="L25" i="1"/>
  <c r="K25" i="1"/>
  <c r="I25" i="1"/>
  <c r="J25" i="1" s="1"/>
  <c r="H25" i="1"/>
  <c r="A25" i="1"/>
  <c r="B25" i="1" s="1"/>
  <c r="FD24" i="1"/>
  <c r="FB24" i="1"/>
  <c r="FA24" i="1"/>
  <c r="EZ24" i="1"/>
  <c r="EY24" i="1"/>
  <c r="EX24" i="1"/>
  <c r="DS24" i="1"/>
  <c r="DR24" i="1"/>
  <c r="DQ24" i="1"/>
  <c r="DM24" i="1"/>
  <c r="DJ24" i="1"/>
  <c r="DH24" i="1"/>
  <c r="DC24" i="1"/>
  <c r="CZ24" i="1"/>
  <c r="CX24" i="1"/>
  <c r="CT24" i="1"/>
  <c r="CS24" i="1"/>
  <c r="CR24" i="1"/>
  <c r="CQ24" i="1"/>
  <c r="CP24" i="1"/>
  <c r="CO24" i="1"/>
  <c r="CN24" i="1"/>
  <c r="CM24" i="1"/>
  <c r="CL24" i="1"/>
  <c r="CK24" i="1"/>
  <c r="CI24" i="1"/>
  <c r="CG24" i="1"/>
  <c r="CC24" i="1"/>
  <c r="BZ24" i="1"/>
  <c r="BR24" i="1"/>
  <c r="BO24" i="1"/>
  <c r="BH24" i="1"/>
  <c r="BG24" i="1"/>
  <c r="BF24" i="1"/>
  <c r="BE24" i="1"/>
  <c r="BD24" i="1"/>
  <c r="BJ24" i="1" s="1"/>
  <c r="BC24" i="1"/>
  <c r="EN24" i="1" s="1"/>
  <c r="BB24" i="1"/>
  <c r="BA24" i="1"/>
  <c r="AZ24" i="1"/>
  <c r="AY24" i="1"/>
  <c r="DP24" i="1" s="1"/>
  <c r="N24" i="1"/>
  <c r="FC24" i="1" s="1"/>
  <c r="M24" i="1"/>
  <c r="L24" i="1"/>
  <c r="K24" i="1"/>
  <c r="I24" i="1"/>
  <c r="J24" i="1" s="1"/>
  <c r="H24" i="1"/>
  <c r="A24" i="1"/>
  <c r="B24" i="1" s="1"/>
  <c r="FB23" i="1"/>
  <c r="FA23" i="1"/>
  <c r="EZ23" i="1"/>
  <c r="EP23" i="1"/>
  <c r="ET23" i="1" s="1"/>
  <c r="EN23" i="1"/>
  <c r="EO23" i="1" s="1"/>
  <c r="ES23" i="1" s="1"/>
  <c r="DS23" i="1"/>
  <c r="DR23" i="1"/>
  <c r="DQ23" i="1"/>
  <c r="DM23" i="1"/>
  <c r="DJ23" i="1"/>
  <c r="DH23" i="1"/>
  <c r="DC23" i="1"/>
  <c r="CZ23" i="1"/>
  <c r="CX23" i="1"/>
  <c r="CT23" i="1"/>
  <c r="CS23" i="1"/>
  <c r="CR23" i="1"/>
  <c r="CQ23" i="1"/>
  <c r="CP23" i="1"/>
  <c r="CO23" i="1"/>
  <c r="CN23" i="1"/>
  <c r="CM23" i="1"/>
  <c r="CL23" i="1"/>
  <c r="CK23" i="1"/>
  <c r="CI23" i="1"/>
  <c r="CG23" i="1"/>
  <c r="CC23" i="1"/>
  <c r="BZ23" i="1"/>
  <c r="BR23" i="1"/>
  <c r="BO23" i="1"/>
  <c r="BH23" i="1"/>
  <c r="BG23" i="1"/>
  <c r="BF23" i="1"/>
  <c r="BE23" i="1"/>
  <c r="BC23" i="1"/>
  <c r="BB23" i="1"/>
  <c r="BA23" i="1"/>
  <c r="AZ23" i="1"/>
  <c r="AY23" i="1"/>
  <c r="DP23" i="1" s="1"/>
  <c r="N23" i="1"/>
  <c r="M23" i="1"/>
  <c r="L23" i="1"/>
  <c r="BD23" i="1" s="1"/>
  <c r="BJ23" i="1" s="1"/>
  <c r="K23" i="1"/>
  <c r="I23" i="1"/>
  <c r="J23" i="1" s="1"/>
  <c r="H23" i="1"/>
  <c r="A23" i="1"/>
  <c r="B23" i="1" s="1"/>
  <c r="FD22" i="1"/>
  <c r="FC22" i="1"/>
  <c r="FB22" i="1"/>
  <c r="EX22" i="1"/>
  <c r="DS22" i="1"/>
  <c r="DR22" i="1"/>
  <c r="DQ22" i="1"/>
  <c r="DM22" i="1"/>
  <c r="DJ22" i="1"/>
  <c r="DH22" i="1"/>
  <c r="DC22" i="1"/>
  <c r="CZ22" i="1"/>
  <c r="CX22" i="1"/>
  <c r="CT22" i="1"/>
  <c r="CS22" i="1"/>
  <c r="CR22" i="1"/>
  <c r="CQ22" i="1"/>
  <c r="CP22" i="1"/>
  <c r="CO22" i="1"/>
  <c r="CN22" i="1"/>
  <c r="CM22" i="1"/>
  <c r="CL22" i="1"/>
  <c r="CK22" i="1"/>
  <c r="CI22" i="1"/>
  <c r="CG22" i="1"/>
  <c r="CC22" i="1"/>
  <c r="BZ22" i="1"/>
  <c r="BR22" i="1"/>
  <c r="BO22" i="1"/>
  <c r="BH22" i="1"/>
  <c r="BG22" i="1"/>
  <c r="BF22" i="1"/>
  <c r="BE22" i="1"/>
  <c r="BD22" i="1"/>
  <c r="BJ22" i="1" s="1"/>
  <c r="BC22" i="1"/>
  <c r="EN22" i="1" s="1"/>
  <c r="BB22" i="1"/>
  <c r="BA22" i="1"/>
  <c r="AZ22" i="1"/>
  <c r="AY22" i="1"/>
  <c r="DP22" i="1" s="1"/>
  <c r="N22" i="1"/>
  <c r="FA22" i="1" s="1"/>
  <c r="M22" i="1"/>
  <c r="L22" i="1"/>
  <c r="K22" i="1"/>
  <c r="I22" i="1"/>
  <c r="J22" i="1" s="1"/>
  <c r="H22" i="1"/>
  <c r="A22" i="1"/>
  <c r="B22" i="1" s="1"/>
  <c r="FD21" i="1"/>
  <c r="FC21" i="1"/>
  <c r="FB21" i="1"/>
  <c r="EZ21" i="1"/>
  <c r="DS21" i="1"/>
  <c r="DR21" i="1"/>
  <c r="DQ21" i="1"/>
  <c r="DM21" i="1"/>
  <c r="DJ21" i="1"/>
  <c r="DH21" i="1"/>
  <c r="DC21" i="1"/>
  <c r="CZ21" i="1"/>
  <c r="CX21" i="1"/>
  <c r="CT21" i="1"/>
  <c r="CS21" i="1"/>
  <c r="CR21" i="1"/>
  <c r="CQ21" i="1"/>
  <c r="CP21" i="1"/>
  <c r="CO21" i="1"/>
  <c r="CN21" i="1"/>
  <c r="CM21" i="1"/>
  <c r="CL21" i="1"/>
  <c r="CK21" i="1"/>
  <c r="CI21" i="1"/>
  <c r="CG21" i="1"/>
  <c r="CC21" i="1"/>
  <c r="BZ21" i="1"/>
  <c r="BR21" i="1"/>
  <c r="BO21" i="1"/>
  <c r="BH21" i="1"/>
  <c r="BG21" i="1"/>
  <c r="BF21" i="1"/>
  <c r="BE21" i="1"/>
  <c r="BD21" i="1"/>
  <c r="BJ21" i="1" s="1"/>
  <c r="BC21" i="1"/>
  <c r="EN21" i="1" s="1"/>
  <c r="BB21" i="1"/>
  <c r="BA21" i="1"/>
  <c r="AZ21" i="1"/>
  <c r="AY21" i="1"/>
  <c r="DP21" i="1" s="1"/>
  <c r="N21" i="1"/>
  <c r="FA21" i="1" s="1"/>
  <c r="M21" i="1"/>
  <c r="L21" i="1"/>
  <c r="K21" i="1"/>
  <c r="I21" i="1"/>
  <c r="J21" i="1" s="1"/>
  <c r="H21" i="1"/>
  <c r="A21" i="1"/>
  <c r="B21" i="1" s="1"/>
  <c r="DS20" i="1"/>
  <c r="DR20" i="1"/>
  <c r="DQ20" i="1"/>
  <c r="DM20" i="1"/>
  <c r="DJ20" i="1"/>
  <c r="DH20" i="1"/>
  <c r="DC20" i="1"/>
  <c r="CZ20" i="1"/>
  <c r="CX20" i="1"/>
  <c r="CT20" i="1"/>
  <c r="CS20" i="1"/>
  <c r="CR20" i="1"/>
  <c r="CQ20" i="1"/>
  <c r="CP20" i="1"/>
  <c r="CO20" i="1"/>
  <c r="CN20" i="1"/>
  <c r="CM20" i="1"/>
  <c r="CL20" i="1"/>
  <c r="CK20" i="1"/>
  <c r="CI20" i="1"/>
  <c r="CG20" i="1"/>
  <c r="CC20" i="1"/>
  <c r="BZ20" i="1"/>
  <c r="BR20" i="1"/>
  <c r="BO20" i="1"/>
  <c r="BH20" i="1"/>
  <c r="BG20" i="1"/>
  <c r="BF20" i="1"/>
  <c r="BE20" i="1"/>
  <c r="BC20" i="1"/>
  <c r="EN20" i="1" s="1"/>
  <c r="BB20" i="1"/>
  <c r="BA20" i="1"/>
  <c r="AZ20" i="1"/>
  <c r="AY20" i="1"/>
  <c r="DP20" i="1" s="1"/>
  <c r="N20" i="1"/>
  <c r="FC20" i="1" s="1"/>
  <c r="M20" i="1"/>
  <c r="L20" i="1"/>
  <c r="BD20" i="1" s="1"/>
  <c r="BJ20" i="1" s="1"/>
  <c r="K20" i="1"/>
  <c r="I20" i="1"/>
  <c r="J20" i="1" s="1"/>
  <c r="H20" i="1"/>
  <c r="A20" i="1"/>
  <c r="B20" i="1" s="1"/>
  <c r="FB19" i="1"/>
  <c r="EZ19" i="1"/>
  <c r="EX19" i="1"/>
  <c r="EW19" i="1"/>
  <c r="EN19" i="1"/>
  <c r="EO19" i="1" s="1"/>
  <c r="ES19" i="1" s="1"/>
  <c r="DS19" i="1"/>
  <c r="DR19" i="1"/>
  <c r="DQ19" i="1"/>
  <c r="DM19" i="1"/>
  <c r="DJ19" i="1"/>
  <c r="DH19" i="1"/>
  <c r="DC19" i="1"/>
  <c r="CZ19" i="1"/>
  <c r="CX19" i="1"/>
  <c r="CT19" i="1"/>
  <c r="CS19" i="1"/>
  <c r="CR19" i="1"/>
  <c r="CQ19" i="1"/>
  <c r="CP19" i="1"/>
  <c r="CO19" i="1"/>
  <c r="CN19" i="1"/>
  <c r="CM19" i="1"/>
  <c r="CL19" i="1"/>
  <c r="CK19" i="1"/>
  <c r="CI19" i="1"/>
  <c r="CG19" i="1"/>
  <c r="CC19" i="1"/>
  <c r="BZ19" i="1"/>
  <c r="BR19" i="1"/>
  <c r="BO19" i="1"/>
  <c r="BH19" i="1"/>
  <c r="BG19" i="1"/>
  <c r="BF19" i="1"/>
  <c r="BE19" i="1"/>
  <c r="BC19" i="1"/>
  <c r="BB19" i="1"/>
  <c r="BA19" i="1"/>
  <c r="AZ19" i="1"/>
  <c r="AY19" i="1"/>
  <c r="DP19" i="1" s="1"/>
  <c r="N19" i="1"/>
  <c r="FA19" i="1" s="1"/>
  <c r="M19" i="1"/>
  <c r="L19" i="1"/>
  <c r="BD19" i="1" s="1"/>
  <c r="BJ19" i="1" s="1"/>
  <c r="K19" i="1"/>
  <c r="I19" i="1"/>
  <c r="J19" i="1" s="1"/>
  <c r="H19" i="1"/>
  <c r="A19" i="1"/>
  <c r="B19" i="1" s="1"/>
  <c r="FD18" i="1"/>
  <c r="FC18" i="1"/>
  <c r="FB18" i="1"/>
  <c r="EY18" i="1"/>
  <c r="EX18" i="1"/>
  <c r="EW18" i="1"/>
  <c r="DS18" i="1"/>
  <c r="DR18" i="1"/>
  <c r="DQ18" i="1"/>
  <c r="DM18" i="1"/>
  <c r="DJ18" i="1"/>
  <c r="DH18" i="1"/>
  <c r="DC18" i="1"/>
  <c r="CZ18" i="1"/>
  <c r="CX18" i="1"/>
  <c r="CT18" i="1"/>
  <c r="CS18" i="1"/>
  <c r="CR18" i="1"/>
  <c r="CQ18" i="1"/>
  <c r="CP18" i="1"/>
  <c r="CO18" i="1"/>
  <c r="CN18" i="1"/>
  <c r="CM18" i="1"/>
  <c r="CL18" i="1"/>
  <c r="CK18" i="1"/>
  <c r="CI18" i="1"/>
  <c r="CG18" i="1"/>
  <c r="CC18" i="1"/>
  <c r="BZ18" i="1"/>
  <c r="BR18" i="1"/>
  <c r="BO18" i="1"/>
  <c r="BH18" i="1"/>
  <c r="BG18" i="1"/>
  <c r="BF18" i="1"/>
  <c r="BE18" i="1"/>
  <c r="BC18" i="1"/>
  <c r="EN18" i="1" s="1"/>
  <c r="BB18" i="1"/>
  <c r="BA18" i="1"/>
  <c r="AZ18" i="1"/>
  <c r="AY18" i="1"/>
  <c r="DP18" i="1" s="1"/>
  <c r="N18" i="1"/>
  <c r="FA18" i="1" s="1"/>
  <c r="M18" i="1"/>
  <c r="L18" i="1"/>
  <c r="BD18" i="1" s="1"/>
  <c r="BJ18" i="1" s="1"/>
  <c r="K18" i="1"/>
  <c r="I18" i="1"/>
  <c r="J18" i="1" s="1"/>
  <c r="H18" i="1"/>
  <c r="A18" i="1"/>
  <c r="B18" i="1" s="1"/>
  <c r="DS17" i="1"/>
  <c r="DR17" i="1"/>
  <c r="DQ17" i="1"/>
  <c r="DM17" i="1"/>
  <c r="DJ17" i="1"/>
  <c r="DH17" i="1"/>
  <c r="DC17" i="1"/>
  <c r="CZ17" i="1"/>
  <c r="CX17" i="1"/>
  <c r="CT17" i="1"/>
  <c r="CS17" i="1"/>
  <c r="CR17" i="1"/>
  <c r="CQ17" i="1"/>
  <c r="CP17" i="1"/>
  <c r="CO17" i="1"/>
  <c r="CN17" i="1"/>
  <c r="CM17" i="1"/>
  <c r="CL17" i="1"/>
  <c r="CK17" i="1"/>
  <c r="CI17" i="1"/>
  <c r="CG17" i="1"/>
  <c r="CC17" i="1"/>
  <c r="BZ17" i="1"/>
  <c r="BR17" i="1"/>
  <c r="BO17" i="1"/>
  <c r="BH17" i="1"/>
  <c r="BG17" i="1"/>
  <c r="BF17" i="1"/>
  <c r="BE17" i="1"/>
  <c r="BC17" i="1"/>
  <c r="EN17" i="1" s="1"/>
  <c r="BB17" i="1"/>
  <c r="BA17" i="1"/>
  <c r="AZ17" i="1"/>
  <c r="AY17" i="1"/>
  <c r="DP17" i="1" s="1"/>
  <c r="N17" i="1"/>
  <c r="FD17" i="1" s="1"/>
  <c r="M17" i="1"/>
  <c r="L17" i="1"/>
  <c r="BD17" i="1" s="1"/>
  <c r="BJ17" i="1" s="1"/>
  <c r="K17" i="1"/>
  <c r="I17" i="1"/>
  <c r="J17" i="1" s="1"/>
  <c r="H17" i="1"/>
  <c r="A17" i="1"/>
  <c r="B17" i="1" s="1"/>
  <c r="FD16" i="1"/>
  <c r="FB16" i="1"/>
  <c r="EZ16" i="1"/>
  <c r="EY16" i="1"/>
  <c r="EX16" i="1"/>
  <c r="EW16" i="1"/>
  <c r="DS16" i="1"/>
  <c r="DR16" i="1"/>
  <c r="DQ16" i="1"/>
  <c r="DM16" i="1"/>
  <c r="DJ16" i="1"/>
  <c r="DH16" i="1"/>
  <c r="DC16" i="1"/>
  <c r="CZ16" i="1"/>
  <c r="CX16" i="1"/>
  <c r="CT16" i="1"/>
  <c r="CS16" i="1"/>
  <c r="CR16" i="1"/>
  <c r="CQ16" i="1"/>
  <c r="CP16" i="1"/>
  <c r="CO16" i="1"/>
  <c r="CN16" i="1"/>
  <c r="CM16" i="1"/>
  <c r="CL16" i="1"/>
  <c r="CK16" i="1"/>
  <c r="CI16" i="1"/>
  <c r="CG16" i="1"/>
  <c r="CC16" i="1"/>
  <c r="BZ16" i="1"/>
  <c r="BR16" i="1"/>
  <c r="BO16" i="1"/>
  <c r="BH16" i="1"/>
  <c r="BG16" i="1"/>
  <c r="BF16" i="1"/>
  <c r="BE16" i="1"/>
  <c r="BD16" i="1"/>
  <c r="BJ16" i="1" s="1"/>
  <c r="BC16" i="1"/>
  <c r="EN16" i="1" s="1"/>
  <c r="BB16" i="1"/>
  <c r="BA16" i="1"/>
  <c r="AZ16" i="1"/>
  <c r="AY16" i="1"/>
  <c r="DP16" i="1" s="1"/>
  <c r="N16" i="1"/>
  <c r="FC16" i="1" s="1"/>
  <c r="M16" i="1"/>
  <c r="L16" i="1"/>
  <c r="K16" i="1"/>
  <c r="J16" i="1"/>
  <c r="I16" i="1"/>
  <c r="H16" i="1"/>
  <c r="A16" i="1"/>
  <c r="B16" i="1" s="1"/>
  <c r="FA15" i="1"/>
  <c r="EZ15" i="1"/>
  <c r="EX15" i="1"/>
  <c r="EN15" i="1"/>
  <c r="EO15" i="1" s="1"/>
  <c r="ES15" i="1" s="1"/>
  <c r="DS15" i="1"/>
  <c r="DR15" i="1"/>
  <c r="DQ15" i="1"/>
  <c r="DM15" i="1"/>
  <c r="DJ15" i="1"/>
  <c r="DH15" i="1"/>
  <c r="DC15" i="1"/>
  <c r="CZ15" i="1"/>
  <c r="CX15" i="1"/>
  <c r="CT15" i="1"/>
  <c r="CS15" i="1"/>
  <c r="CR15" i="1"/>
  <c r="CQ15" i="1"/>
  <c r="CP15" i="1"/>
  <c r="CO15" i="1"/>
  <c r="CN15" i="1"/>
  <c r="CM15" i="1"/>
  <c r="CL15" i="1"/>
  <c r="CK15" i="1"/>
  <c r="CI15" i="1"/>
  <c r="CG15" i="1"/>
  <c r="CC15" i="1"/>
  <c r="BZ15" i="1"/>
  <c r="BR15" i="1"/>
  <c r="BO15" i="1"/>
  <c r="BH15" i="1"/>
  <c r="BG15" i="1"/>
  <c r="BF15" i="1"/>
  <c r="BE15" i="1"/>
  <c r="BC15" i="1"/>
  <c r="BB15" i="1"/>
  <c r="BA15" i="1"/>
  <c r="AZ15" i="1"/>
  <c r="AY15" i="1"/>
  <c r="DP15" i="1" s="1"/>
  <c r="N15" i="1"/>
  <c r="FB15" i="1" s="1"/>
  <c r="M15" i="1"/>
  <c r="L15" i="1"/>
  <c r="BD15" i="1" s="1"/>
  <c r="BJ15" i="1" s="1"/>
  <c r="K15" i="1"/>
  <c r="I15" i="1"/>
  <c r="J15" i="1" s="1"/>
  <c r="H15" i="1"/>
  <c r="A15" i="1"/>
  <c r="B15" i="1" s="1"/>
  <c r="FD14" i="1"/>
  <c r="FC14" i="1"/>
  <c r="FB14" i="1"/>
  <c r="EY14" i="1"/>
  <c r="EX14" i="1"/>
  <c r="EW14" i="1"/>
  <c r="DS14" i="1"/>
  <c r="DR14" i="1"/>
  <c r="DQ14" i="1"/>
  <c r="DM14" i="1"/>
  <c r="DJ14" i="1"/>
  <c r="DH14" i="1"/>
  <c r="DC14" i="1"/>
  <c r="CZ14" i="1"/>
  <c r="CX14" i="1"/>
  <c r="CT14" i="1"/>
  <c r="CS14" i="1"/>
  <c r="CR14" i="1"/>
  <c r="CQ14" i="1"/>
  <c r="CP14" i="1"/>
  <c r="CO14" i="1"/>
  <c r="CN14" i="1"/>
  <c r="CM14" i="1"/>
  <c r="CL14" i="1"/>
  <c r="CK14" i="1"/>
  <c r="CI14" i="1"/>
  <c r="CG14" i="1"/>
  <c r="CC14" i="1"/>
  <c r="BZ14" i="1"/>
  <c r="BR14" i="1"/>
  <c r="BO14" i="1"/>
  <c r="BH14" i="1"/>
  <c r="BG14" i="1"/>
  <c r="BF14" i="1"/>
  <c r="BE14" i="1"/>
  <c r="BD14" i="1"/>
  <c r="BJ14" i="1" s="1"/>
  <c r="BC14" i="1"/>
  <c r="EN14" i="1" s="1"/>
  <c r="BB14" i="1"/>
  <c r="BA14" i="1"/>
  <c r="AZ14" i="1"/>
  <c r="AY14" i="1"/>
  <c r="DP14" i="1" s="1"/>
  <c r="N14" i="1"/>
  <c r="FA14" i="1" s="1"/>
  <c r="M14" i="1"/>
  <c r="L14" i="1"/>
  <c r="K14" i="1"/>
  <c r="I14" i="1"/>
  <c r="J14" i="1" s="1"/>
  <c r="H14" i="1"/>
  <c r="A14" i="1"/>
  <c r="B14" i="1" s="1"/>
  <c r="FD13" i="1"/>
  <c r="FC13" i="1"/>
  <c r="FB13" i="1"/>
  <c r="FA13" i="1"/>
  <c r="DS13" i="1"/>
  <c r="DR13" i="1"/>
  <c r="DQ13" i="1"/>
  <c r="DM13" i="1"/>
  <c r="DJ13" i="1"/>
  <c r="DH13" i="1"/>
  <c r="DC13" i="1"/>
  <c r="CZ13" i="1"/>
  <c r="CX13" i="1"/>
  <c r="CT13" i="1"/>
  <c r="CS13" i="1"/>
  <c r="CR13" i="1"/>
  <c r="CQ13" i="1"/>
  <c r="CP13" i="1"/>
  <c r="CO13" i="1"/>
  <c r="CN13" i="1"/>
  <c r="CM13" i="1"/>
  <c r="CL13" i="1"/>
  <c r="CK13" i="1"/>
  <c r="CI13" i="1"/>
  <c r="CG13" i="1"/>
  <c r="CC13" i="1"/>
  <c r="BZ13" i="1"/>
  <c r="BR13" i="1"/>
  <c r="BO13" i="1"/>
  <c r="BH13" i="1"/>
  <c r="BG13" i="1"/>
  <c r="BF13" i="1"/>
  <c r="BE13" i="1"/>
  <c r="BD13" i="1"/>
  <c r="BJ13" i="1" s="1"/>
  <c r="BC13" i="1"/>
  <c r="EN13" i="1" s="1"/>
  <c r="BB13" i="1"/>
  <c r="BA13" i="1"/>
  <c r="AZ13" i="1"/>
  <c r="AY13" i="1"/>
  <c r="DP13" i="1" s="1"/>
  <c r="N13" i="1"/>
  <c r="EZ13" i="1" s="1"/>
  <c r="M13" i="1"/>
  <c r="L13" i="1"/>
  <c r="K13" i="1"/>
  <c r="I13" i="1"/>
  <c r="J13" i="1" s="1"/>
  <c r="H13" i="1"/>
  <c r="A13" i="1"/>
  <c r="B13" i="1" s="1"/>
  <c r="DM12" i="1"/>
  <c r="DJ12" i="1"/>
  <c r="DH12" i="1"/>
  <c r="DC12" i="1"/>
  <c r="CZ12" i="1"/>
  <c r="CX12" i="1"/>
  <c r="CC12" i="1"/>
  <c r="BZ12" i="1"/>
  <c r="BR12" i="1"/>
  <c r="BO12" i="1"/>
  <c r="BB12" i="1"/>
  <c r="BA12" i="1" s="1"/>
  <c r="AY12" i="1" s="1"/>
  <c r="CM11" i="1"/>
  <c r="CL11" i="1"/>
  <c r="CK11" i="1"/>
  <c r="CI11" i="1"/>
  <c r="CG11" i="1"/>
  <c r="BB11" i="1"/>
  <c r="BA11" i="1" s="1"/>
  <c r="AY11" i="1" s="1"/>
  <c r="DS10" i="1"/>
  <c r="DR10" i="1"/>
  <c r="DQ10" i="1"/>
  <c r="CM10" i="1"/>
  <c r="CL10" i="1"/>
  <c r="CK10" i="1"/>
  <c r="CI10" i="1"/>
  <c r="CG10" i="1"/>
  <c r="BH10" i="1"/>
  <c r="BG10" i="1"/>
  <c r="BF10" i="1"/>
  <c r="BE10" i="1"/>
  <c r="BC10" i="1"/>
  <c r="EN10" i="1" s="1"/>
  <c r="EP10" i="1" s="1"/>
  <c r="ET10" i="1" s="1"/>
  <c r="BB10" i="1"/>
  <c r="BA10" i="1"/>
  <c r="AZ10" i="1"/>
  <c r="AY10" i="1"/>
  <c r="DP10" i="1" s="1"/>
  <c r="K10" i="1"/>
  <c r="I10" i="1"/>
  <c r="L10" i="1" s="1"/>
  <c r="BD10" i="1" s="1"/>
  <c r="BJ10" i="1" s="1"/>
  <c r="M10" i="1" s="1"/>
  <c r="H10" i="1"/>
  <c r="A10" i="1"/>
  <c r="A11" i="1" s="1"/>
  <c r="CT9" i="1"/>
  <c r="CS9" i="1"/>
  <c r="CR9" i="1"/>
  <c r="CQ9" i="1"/>
  <c r="CP9" i="1"/>
  <c r="CO9" i="1"/>
  <c r="CN9" i="1"/>
  <c r="BB9" i="1"/>
  <c r="BA9" i="1" s="1"/>
  <c r="AY9" i="1" s="1"/>
  <c r="A9" i="1"/>
  <c r="B9" i="1" s="1"/>
  <c r="EO27" i="1" l="1"/>
  <c r="ES27" i="1" s="1"/>
  <c r="EQ27" i="1"/>
  <c r="EU27" i="1" s="1"/>
  <c r="EP27" i="1"/>
  <c r="ET27" i="1" s="1"/>
  <c r="EP15" i="1"/>
  <c r="ET15" i="1" s="1"/>
  <c r="EP19" i="1"/>
  <c r="ET19" i="1" s="1"/>
  <c r="FD20" i="1"/>
  <c r="EY46" i="1"/>
  <c r="FA47" i="1"/>
  <c r="EY67" i="1"/>
  <c r="FA16" i="1"/>
  <c r="EW30" i="1"/>
  <c r="EP31" i="1"/>
  <c r="ET31" i="1" s="1"/>
  <c r="FB46" i="1"/>
  <c r="FC47" i="1"/>
  <c r="FD62" i="1"/>
  <c r="FA66" i="1"/>
  <c r="FC68" i="1"/>
  <c r="EQ72" i="1"/>
  <c r="EU72" i="1" s="1"/>
  <c r="EX67" i="1"/>
  <c r="FB30" i="1"/>
  <c r="EW31" i="1"/>
  <c r="FD46" i="1"/>
  <c r="EW56" i="1"/>
  <c r="EW57" i="1"/>
  <c r="EW59" i="1"/>
  <c r="EX60" i="1"/>
  <c r="FC66" i="1"/>
  <c r="EY72" i="1"/>
  <c r="EX73" i="1"/>
  <c r="EQ31" i="1"/>
  <c r="EU31" i="1" s="1"/>
  <c r="EW72" i="1"/>
  <c r="FD30" i="1"/>
  <c r="EX31" i="1"/>
  <c r="EW44" i="1"/>
  <c r="EW54" i="1"/>
  <c r="EW55" i="1"/>
  <c r="EX56" i="1"/>
  <c r="EX57" i="1"/>
  <c r="EW58" i="1"/>
  <c r="EX59" i="1"/>
  <c r="EY60" i="1"/>
  <c r="FD66" i="1"/>
  <c r="EW71" i="1"/>
  <c r="EZ72" i="1"/>
  <c r="FA73" i="1"/>
  <c r="EZ17" i="1"/>
  <c r="EW46" i="1"/>
  <c r="EW67" i="1"/>
  <c r="EY47" i="1"/>
  <c r="FC46" i="1"/>
  <c r="EW73" i="1"/>
  <c r="EZ31" i="1"/>
  <c r="EW40" i="1"/>
  <c r="EW41" i="1"/>
  <c r="EW43" i="1"/>
  <c r="EX44" i="1"/>
  <c r="EY53" i="1"/>
  <c r="EY54" i="1"/>
  <c r="EX55" i="1"/>
  <c r="EY56" i="1"/>
  <c r="EY57" i="1"/>
  <c r="EY58" i="1"/>
  <c r="EY59" i="1"/>
  <c r="FA60" i="1"/>
  <c r="EX71" i="1"/>
  <c r="FA72" i="1"/>
  <c r="EQ19" i="1"/>
  <c r="EU19" i="1" s="1"/>
  <c r="EW47" i="1"/>
  <c r="EX47" i="1"/>
  <c r="FA17" i="1"/>
  <c r="EX30" i="1"/>
  <c r="EW60" i="1"/>
  <c r="FB66" i="1"/>
  <c r="EX40" i="1"/>
  <c r="EX41" i="1"/>
  <c r="EW42" i="1"/>
  <c r="EX43" i="1"/>
  <c r="EY44" i="1"/>
  <c r="EW52" i="1"/>
  <c r="EZ53" i="1"/>
  <c r="FA54" i="1"/>
  <c r="EY55" i="1"/>
  <c r="FA56" i="1"/>
  <c r="EZ57" i="1"/>
  <c r="FA58" i="1"/>
  <c r="FA59" i="1"/>
  <c r="FB60" i="1"/>
  <c r="FA70" i="1"/>
  <c r="EY71" i="1"/>
  <c r="FA46" i="1"/>
  <c r="EW38" i="1"/>
  <c r="EW39" i="1"/>
  <c r="EY40" i="1"/>
  <c r="EY41" i="1"/>
  <c r="EY42" i="1"/>
  <c r="EY43" i="1"/>
  <c r="FA44" i="1"/>
  <c r="EW50" i="1"/>
  <c r="EW51" i="1"/>
  <c r="EX52" i="1"/>
  <c r="FA53" i="1"/>
  <c r="FB54" i="1"/>
  <c r="FA55" i="1"/>
  <c r="FB56" i="1"/>
  <c r="FA57" i="1"/>
  <c r="FB58" i="1"/>
  <c r="FC59" i="1"/>
  <c r="FC60" i="1"/>
  <c r="FB70" i="1"/>
  <c r="BJ72" i="1"/>
  <c r="BJ73" i="1"/>
  <c r="EQ15" i="1"/>
  <c r="EU15" i="1" s="1"/>
  <c r="FB44" i="1"/>
  <c r="FC54" i="1"/>
  <c r="FC55" i="1"/>
  <c r="FC56" i="1"/>
  <c r="FB57" i="1"/>
  <c r="FC58" i="1"/>
  <c r="FC70" i="1"/>
  <c r="EW22" i="1"/>
  <c r="EQ23" i="1"/>
  <c r="EU23" i="1" s="1"/>
  <c r="EW24" i="1"/>
  <c r="EX26" i="1"/>
  <c r="EX36" i="1"/>
  <c r="EZ37" i="1"/>
  <c r="FA38" i="1"/>
  <c r="EY39" i="1"/>
  <c r="FB40" i="1"/>
  <c r="FA41" i="1"/>
  <c r="FB42" i="1"/>
  <c r="FC43" i="1"/>
  <c r="FC44" i="1"/>
  <c r="FA50" i="1"/>
  <c r="EY51" i="1"/>
  <c r="FA52" i="1"/>
  <c r="FC53" i="1"/>
  <c r="FD54" i="1"/>
  <c r="FC57" i="1"/>
  <c r="FD58" i="1"/>
  <c r="EX64" i="1"/>
  <c r="FD70" i="1"/>
  <c r="EP62" i="1"/>
  <c r="ET62" i="1" s="1"/>
  <c r="EO62" i="1"/>
  <c r="ES62" i="1" s="1"/>
  <c r="EQ62" i="1"/>
  <c r="EU62" i="1" s="1"/>
  <c r="EQ16" i="1"/>
  <c r="EU16" i="1" s="1"/>
  <c r="EP16" i="1"/>
  <c r="ET16" i="1" s="1"/>
  <c r="EO16" i="1"/>
  <c r="ES16" i="1" s="1"/>
  <c r="EO33" i="1"/>
  <c r="ES33" i="1" s="1"/>
  <c r="EQ33" i="1"/>
  <c r="EU33" i="1" s="1"/>
  <c r="EP33" i="1"/>
  <c r="ET33" i="1" s="1"/>
  <c r="EQ49" i="1"/>
  <c r="EU49" i="1" s="1"/>
  <c r="EO49" i="1"/>
  <c r="ES49" i="1" s="1"/>
  <c r="EP49" i="1"/>
  <c r="ET49" i="1" s="1"/>
  <c r="EO17" i="1"/>
  <c r="ES17" i="1" s="1"/>
  <c r="EQ17" i="1"/>
  <c r="EU17" i="1" s="1"/>
  <c r="EP17" i="1"/>
  <c r="ET17" i="1" s="1"/>
  <c r="EQ20" i="1"/>
  <c r="EU20" i="1" s="1"/>
  <c r="EP20" i="1"/>
  <c r="ET20" i="1" s="1"/>
  <c r="EO20" i="1"/>
  <c r="ES20" i="1" s="1"/>
  <c r="EP46" i="1"/>
  <c r="ET46" i="1" s="1"/>
  <c r="EO46" i="1"/>
  <c r="ES46" i="1" s="1"/>
  <c r="EQ46" i="1"/>
  <c r="EU46" i="1" s="1"/>
  <c r="EP47" i="1"/>
  <c r="ET47" i="1" s="1"/>
  <c r="EO47" i="1"/>
  <c r="ES47" i="1" s="1"/>
  <c r="EQ47" i="1"/>
  <c r="EU47" i="1" s="1"/>
  <c r="EP67" i="1"/>
  <c r="ET67" i="1" s="1"/>
  <c r="EO67" i="1"/>
  <c r="ES67" i="1" s="1"/>
  <c r="EQ67" i="1"/>
  <c r="EU67" i="1" s="1"/>
  <c r="EQ30" i="1"/>
  <c r="EU30" i="1" s="1"/>
  <c r="EP30" i="1"/>
  <c r="ET30" i="1" s="1"/>
  <c r="EO30" i="1"/>
  <c r="ES30" i="1" s="1"/>
  <c r="EO25" i="1"/>
  <c r="ES25" i="1" s="1"/>
  <c r="EQ25" i="1"/>
  <c r="EU25" i="1" s="1"/>
  <c r="EP25" i="1"/>
  <c r="ET25" i="1" s="1"/>
  <c r="EQ45" i="1"/>
  <c r="EU45" i="1" s="1"/>
  <c r="EP45" i="1"/>
  <c r="ET45" i="1" s="1"/>
  <c r="EO45" i="1"/>
  <c r="ES45" i="1" s="1"/>
  <c r="EP54" i="1"/>
  <c r="ET54" i="1" s="1"/>
  <c r="EQ54" i="1"/>
  <c r="EU54" i="1" s="1"/>
  <c r="EO54" i="1"/>
  <c r="ES54" i="1" s="1"/>
  <c r="EO55" i="1"/>
  <c r="ES55" i="1" s="1"/>
  <c r="EQ55" i="1"/>
  <c r="EU55" i="1" s="1"/>
  <c r="EP55" i="1"/>
  <c r="ET55" i="1" s="1"/>
  <c r="EP58" i="1"/>
  <c r="ET58" i="1" s="1"/>
  <c r="EO58" i="1"/>
  <c r="ES58" i="1" s="1"/>
  <c r="EQ58" i="1"/>
  <c r="EU58" i="1" s="1"/>
  <c r="EQ59" i="1"/>
  <c r="EU59" i="1" s="1"/>
  <c r="EP59" i="1"/>
  <c r="ET59" i="1" s="1"/>
  <c r="EO59" i="1"/>
  <c r="ES59" i="1" s="1"/>
  <c r="EO13" i="1"/>
  <c r="ES13" i="1" s="1"/>
  <c r="EQ13" i="1"/>
  <c r="EU13" i="1" s="1"/>
  <c r="EP13" i="1"/>
  <c r="ET13" i="1" s="1"/>
  <c r="EO29" i="1"/>
  <c r="ES29" i="1" s="1"/>
  <c r="EP29" i="1"/>
  <c r="ET29" i="1" s="1"/>
  <c r="EQ29" i="1"/>
  <c r="EU29" i="1" s="1"/>
  <c r="EO41" i="1"/>
  <c r="ES41" i="1" s="1"/>
  <c r="EQ41" i="1"/>
  <c r="EU41" i="1" s="1"/>
  <c r="EP41" i="1"/>
  <c r="ET41" i="1" s="1"/>
  <c r="EP14" i="1"/>
  <c r="ET14" i="1" s="1"/>
  <c r="EO14" i="1"/>
  <c r="ES14" i="1" s="1"/>
  <c r="EQ14" i="1"/>
  <c r="EU14" i="1" s="1"/>
  <c r="EO69" i="1"/>
  <c r="ES69" i="1" s="1"/>
  <c r="EQ69" i="1"/>
  <c r="EU69" i="1" s="1"/>
  <c r="EP69" i="1"/>
  <c r="ET69" i="1" s="1"/>
  <c r="EO57" i="1"/>
  <c r="ES57" i="1" s="1"/>
  <c r="EQ57" i="1"/>
  <c r="EU57" i="1" s="1"/>
  <c r="EP57" i="1"/>
  <c r="ET57" i="1" s="1"/>
  <c r="EP42" i="1"/>
  <c r="ET42" i="1" s="1"/>
  <c r="EO42" i="1"/>
  <c r="ES42" i="1" s="1"/>
  <c r="EQ42" i="1"/>
  <c r="EU42" i="1" s="1"/>
  <c r="EQ43" i="1"/>
  <c r="EU43" i="1" s="1"/>
  <c r="EP43" i="1"/>
  <c r="ET43" i="1" s="1"/>
  <c r="EO43" i="1"/>
  <c r="ES43" i="1" s="1"/>
  <c r="EQ53" i="1"/>
  <c r="EU53" i="1" s="1"/>
  <c r="EO53" i="1"/>
  <c r="ES53" i="1" s="1"/>
  <c r="EP53" i="1"/>
  <c r="ET53" i="1" s="1"/>
  <c r="EP70" i="1"/>
  <c r="ET70" i="1" s="1"/>
  <c r="EO70" i="1"/>
  <c r="ES70" i="1" s="1"/>
  <c r="EQ70" i="1"/>
  <c r="EU70" i="1" s="1"/>
  <c r="EQ24" i="1"/>
  <c r="EU24" i="1" s="1"/>
  <c r="EP24" i="1"/>
  <c r="ET24" i="1" s="1"/>
  <c r="EO24" i="1"/>
  <c r="ES24" i="1" s="1"/>
  <c r="EP34" i="1"/>
  <c r="ET34" i="1" s="1"/>
  <c r="EO34" i="1"/>
  <c r="ES34" i="1" s="1"/>
  <c r="EQ34" i="1"/>
  <c r="EU34" i="1" s="1"/>
  <c r="EQ18" i="1"/>
  <c r="EU18" i="1" s="1"/>
  <c r="EP18" i="1"/>
  <c r="ET18" i="1" s="1"/>
  <c r="EO18" i="1"/>
  <c r="ES18" i="1" s="1"/>
  <c r="EP66" i="1"/>
  <c r="ET66" i="1" s="1"/>
  <c r="EQ66" i="1"/>
  <c r="EU66" i="1" s="1"/>
  <c r="EO66" i="1"/>
  <c r="ES66" i="1" s="1"/>
  <c r="EO61" i="1"/>
  <c r="ES61" i="1" s="1"/>
  <c r="EQ61" i="1"/>
  <c r="EU61" i="1" s="1"/>
  <c r="EP61" i="1"/>
  <c r="ET61" i="1" s="1"/>
  <c r="EP38" i="1"/>
  <c r="ET38" i="1" s="1"/>
  <c r="EQ38" i="1"/>
  <c r="EU38" i="1" s="1"/>
  <c r="EO38" i="1"/>
  <c r="ES38" i="1" s="1"/>
  <c r="EQ39" i="1"/>
  <c r="EU39" i="1" s="1"/>
  <c r="EP39" i="1"/>
  <c r="ET39" i="1" s="1"/>
  <c r="EO39" i="1"/>
  <c r="ES39" i="1" s="1"/>
  <c r="EP50" i="1"/>
  <c r="ET50" i="1" s="1"/>
  <c r="EQ50" i="1"/>
  <c r="EU50" i="1" s="1"/>
  <c r="EO50" i="1"/>
  <c r="ES50" i="1" s="1"/>
  <c r="EO51" i="1"/>
  <c r="ES51" i="1" s="1"/>
  <c r="EP51" i="1"/>
  <c r="ET51" i="1" s="1"/>
  <c r="EQ51" i="1"/>
  <c r="EU51" i="1" s="1"/>
  <c r="EP63" i="1"/>
  <c r="ET63" i="1" s="1"/>
  <c r="EO63" i="1"/>
  <c r="ES63" i="1" s="1"/>
  <c r="EQ63" i="1"/>
  <c r="EU63" i="1" s="1"/>
  <c r="EO21" i="1"/>
  <c r="ES21" i="1" s="1"/>
  <c r="EQ21" i="1"/>
  <c r="EU21" i="1" s="1"/>
  <c r="EP21" i="1"/>
  <c r="ET21" i="1" s="1"/>
  <c r="EO22" i="1"/>
  <c r="ES22" i="1" s="1"/>
  <c r="EQ22" i="1"/>
  <c r="EU22" i="1" s="1"/>
  <c r="EP22" i="1"/>
  <c r="ET22" i="1" s="1"/>
  <c r="EO26" i="1"/>
  <c r="ES26" i="1" s="1"/>
  <c r="EQ26" i="1"/>
  <c r="EU26" i="1" s="1"/>
  <c r="EP26" i="1"/>
  <c r="ET26" i="1" s="1"/>
  <c r="EO37" i="1"/>
  <c r="ES37" i="1" s="1"/>
  <c r="EQ37" i="1"/>
  <c r="EU37" i="1" s="1"/>
  <c r="EP37" i="1"/>
  <c r="ET37" i="1" s="1"/>
  <c r="EQ65" i="1"/>
  <c r="EU65" i="1" s="1"/>
  <c r="EO65" i="1"/>
  <c r="ES65" i="1" s="1"/>
  <c r="EP65" i="1"/>
  <c r="ET65" i="1" s="1"/>
  <c r="FD69" i="1"/>
  <c r="FC69" i="1"/>
  <c r="FD23" i="1"/>
  <c r="FC23" i="1"/>
  <c r="EY23" i="1"/>
  <c r="EW28" i="1"/>
  <c r="EW45" i="1"/>
  <c r="EY28" i="1"/>
  <c r="EX32" i="1"/>
  <c r="EP35" i="1"/>
  <c r="ET35" i="1" s="1"/>
  <c r="EX45" i="1"/>
  <c r="EX61" i="1"/>
  <c r="EW69" i="1"/>
  <c r="FA28" i="1"/>
  <c r="EZ32" i="1"/>
  <c r="EX65" i="1"/>
  <c r="FB17" i="1"/>
  <c r="EW20" i="1"/>
  <c r="FC25" i="1"/>
  <c r="FB28" i="1"/>
  <c r="EZ29" i="1"/>
  <c r="FA32" i="1"/>
  <c r="FA45" i="1"/>
  <c r="EW49" i="1"/>
  <c r="FA61" i="1"/>
  <c r="EY65" i="1"/>
  <c r="EZ69" i="1"/>
  <c r="EO71" i="1"/>
  <c r="ES71" i="1" s="1"/>
  <c r="EP73" i="1"/>
  <c r="ET73" i="1" s="1"/>
  <c r="EO73" i="1"/>
  <c r="ES73" i="1" s="1"/>
  <c r="EW32" i="1"/>
  <c r="EO35" i="1"/>
  <c r="ES35" i="1" s="1"/>
  <c r="EP52" i="1"/>
  <c r="ET52" i="1" s="1"/>
  <c r="EO52" i="1"/>
  <c r="ES52" i="1" s="1"/>
  <c r="FC17" i="1"/>
  <c r="EX20" i="1"/>
  <c r="FD28" i="1"/>
  <c r="FB32" i="1"/>
  <c r="FB45" i="1"/>
  <c r="EX49" i="1"/>
  <c r="FB61" i="1"/>
  <c r="EZ65" i="1"/>
  <c r="FA69" i="1"/>
  <c r="EP71" i="1"/>
  <c r="ET71" i="1" s="1"/>
  <c r="EY29" i="1"/>
  <c r="EX29" i="1"/>
  <c r="EW29" i="1"/>
  <c r="EP64" i="1"/>
  <c r="ET64" i="1" s="1"/>
  <c r="EO64" i="1"/>
  <c r="ES64" i="1" s="1"/>
  <c r="FD15" i="1"/>
  <c r="FC15" i="1"/>
  <c r="EY15" i="1"/>
  <c r="EY33" i="1"/>
  <c r="EX33" i="1"/>
  <c r="EW33" i="1"/>
  <c r="EZ28" i="1"/>
  <c r="EY61" i="1"/>
  <c r="EW65" i="1"/>
  <c r="EX69" i="1"/>
  <c r="FD27" i="1"/>
  <c r="FC27" i="1"/>
  <c r="EY27" i="1"/>
  <c r="EP36" i="1"/>
  <c r="ET36" i="1" s="1"/>
  <c r="EO36" i="1"/>
  <c r="ES36" i="1" s="1"/>
  <c r="FD19" i="1"/>
  <c r="FC19" i="1"/>
  <c r="EY19" i="1"/>
  <c r="EY20" i="1"/>
  <c r="FB29" i="1"/>
  <c r="FD31" i="1"/>
  <c r="FB31" i="1"/>
  <c r="FC31" i="1"/>
  <c r="EY31" i="1"/>
  <c r="FD32" i="1"/>
  <c r="EZ33" i="1"/>
  <c r="EP40" i="1"/>
  <c r="ET40" i="1" s="1"/>
  <c r="EO40" i="1"/>
  <c r="ES40" i="1" s="1"/>
  <c r="EQ40" i="1"/>
  <c r="EU40" i="1" s="1"/>
  <c r="FC45" i="1"/>
  <c r="EY49" i="1"/>
  <c r="EP56" i="1"/>
  <c r="ET56" i="1" s="1"/>
  <c r="EO56" i="1"/>
  <c r="ES56" i="1" s="1"/>
  <c r="EQ56" i="1"/>
  <c r="EU56" i="1" s="1"/>
  <c r="FC61" i="1"/>
  <c r="FA65" i="1"/>
  <c r="FB69" i="1"/>
  <c r="EQ64" i="1"/>
  <c r="EU64" i="1" s="1"/>
  <c r="EP48" i="1"/>
  <c r="ET48" i="1" s="1"/>
  <c r="EO48" i="1"/>
  <c r="ES48" i="1" s="1"/>
  <c r="EY13" i="1"/>
  <c r="EX13" i="1"/>
  <c r="EW13" i="1"/>
  <c r="EY45" i="1"/>
  <c r="EZ45" i="1"/>
  <c r="EZ61" i="1"/>
  <c r="EY69" i="1"/>
  <c r="EZ20" i="1"/>
  <c r="FC29" i="1"/>
  <c r="FA33" i="1"/>
  <c r="EZ49" i="1"/>
  <c r="FB65" i="1"/>
  <c r="EP68" i="1"/>
  <c r="ET68" i="1" s="1"/>
  <c r="EO68" i="1"/>
  <c r="ES68" i="1" s="1"/>
  <c r="EQ32" i="1"/>
  <c r="EU32" i="1" s="1"/>
  <c r="EP32" i="1"/>
  <c r="ET32" i="1" s="1"/>
  <c r="EO32" i="1"/>
  <c r="ES32" i="1" s="1"/>
  <c r="EW61" i="1"/>
  <c r="EY21" i="1"/>
  <c r="EX21" i="1"/>
  <c r="EW21" i="1"/>
  <c r="EY32" i="1"/>
  <c r="FD29" i="1"/>
  <c r="FB33" i="1"/>
  <c r="FD35" i="1"/>
  <c r="FC35" i="1"/>
  <c r="FB35" i="1"/>
  <c r="FA35" i="1"/>
  <c r="EZ35" i="1"/>
  <c r="EY35" i="1"/>
  <c r="FA49" i="1"/>
  <c r="EW53" i="1"/>
  <c r="FC65" i="1"/>
  <c r="EO72" i="1"/>
  <c r="ES72" i="1" s="1"/>
  <c r="EP44" i="1"/>
  <c r="ET44" i="1" s="1"/>
  <c r="EO44" i="1"/>
  <c r="ES44" i="1" s="1"/>
  <c r="EP60" i="1"/>
  <c r="ET60" i="1" s="1"/>
  <c r="EO60" i="1"/>
  <c r="ES60" i="1" s="1"/>
  <c r="EQ68" i="1"/>
  <c r="EU68" i="1" s="1"/>
  <c r="EQ48" i="1"/>
  <c r="EU48" i="1" s="1"/>
  <c r="EQ28" i="1"/>
  <c r="EU28" i="1" s="1"/>
  <c r="EP28" i="1"/>
  <c r="ET28" i="1" s="1"/>
  <c r="EO28" i="1"/>
  <c r="ES28" i="1" s="1"/>
  <c r="EX28" i="1"/>
  <c r="EQ52" i="1"/>
  <c r="EU52" i="1" s="1"/>
  <c r="EQ36" i="1"/>
  <c r="EU36" i="1" s="1"/>
  <c r="FA20" i="1"/>
  <c r="EW23" i="1"/>
  <c r="EY25" i="1"/>
  <c r="EX25" i="1"/>
  <c r="EW25" i="1"/>
  <c r="EW15" i="1"/>
  <c r="EY17" i="1"/>
  <c r="EX17" i="1"/>
  <c r="EW17" i="1"/>
  <c r="FB20" i="1"/>
  <c r="EX23" i="1"/>
  <c r="FC33" i="1"/>
  <c r="EW37" i="1"/>
  <c r="FB49" i="1"/>
  <c r="EX53" i="1"/>
  <c r="FC73" i="1"/>
  <c r="FD73" i="1"/>
  <c r="EZ73" i="1"/>
  <c r="EY73" i="1"/>
  <c r="EZ36" i="1"/>
  <c r="EZ40" i="1"/>
  <c r="EZ44" i="1"/>
  <c r="EZ48" i="1"/>
  <c r="EZ52" i="1"/>
  <c r="EZ56" i="1"/>
  <c r="EZ60" i="1"/>
  <c r="EZ64" i="1"/>
  <c r="EZ68" i="1"/>
  <c r="EX72" i="1"/>
  <c r="EY22" i="1"/>
  <c r="EY26" i="1"/>
  <c r="EY30" i="1"/>
  <c r="EY34" i="1"/>
  <c r="EZ39" i="1"/>
  <c r="EZ43" i="1"/>
  <c r="EZ47" i="1"/>
  <c r="EZ51" i="1"/>
  <c r="EZ55" i="1"/>
  <c r="EZ59" i="1"/>
  <c r="EZ63" i="1"/>
  <c r="EZ67" i="1"/>
  <c r="EZ71" i="1"/>
  <c r="FB72" i="1"/>
  <c r="EZ14" i="1"/>
  <c r="EZ18" i="1"/>
  <c r="EZ22" i="1"/>
  <c r="EZ26" i="1"/>
  <c r="EZ30" i="1"/>
  <c r="EZ34" i="1"/>
  <c r="FA39" i="1"/>
  <c r="FA63" i="1"/>
  <c r="EW66" i="1"/>
  <c r="FA67" i="1"/>
  <c r="EW70" i="1"/>
  <c r="FA71" i="1"/>
  <c r="FC72" i="1"/>
  <c r="FA26" i="1"/>
  <c r="FA30" i="1"/>
  <c r="FA34" i="1"/>
  <c r="EX38" i="1"/>
  <c r="FB39" i="1"/>
  <c r="EX42" i="1"/>
  <c r="FB43" i="1"/>
  <c r="EX46" i="1"/>
  <c r="FB47" i="1"/>
  <c r="EX50" i="1"/>
  <c r="FB51" i="1"/>
  <c r="EX54" i="1"/>
  <c r="FB55" i="1"/>
  <c r="EX58" i="1"/>
  <c r="FB59" i="1"/>
  <c r="EX62" i="1"/>
  <c r="FB63" i="1"/>
  <c r="EX66" i="1"/>
  <c r="FB67" i="1"/>
  <c r="EX70" i="1"/>
  <c r="FB71" i="1"/>
  <c r="FC63" i="1"/>
  <c r="EY66" i="1"/>
  <c r="FC67" i="1"/>
  <c r="EY70" i="1"/>
  <c r="FC71" i="1"/>
  <c r="CS10" i="1"/>
  <c r="CR10" i="1"/>
  <c r="CQ10" i="1"/>
  <c r="CP10" i="1"/>
  <c r="CO10" i="1"/>
  <c r="CN10" i="1"/>
  <c r="CT10" i="1"/>
  <c r="J10" i="1"/>
  <c r="EO10" i="1"/>
  <c r="ES10" i="1" s="1"/>
  <c r="N10" i="1" s="1"/>
  <c r="EQ10" i="1"/>
  <c r="EU10" i="1" s="1"/>
  <c r="B11" i="1"/>
  <c r="A12" i="1"/>
  <c r="B12" i="1" s="1"/>
  <c r="B10" i="1"/>
  <c r="F77" i="1"/>
  <c r="H12" i="1"/>
  <c r="I9" i="1"/>
  <c r="AZ9" i="1"/>
  <c r="BC9" i="1" s="1"/>
  <c r="H9" i="1"/>
  <c r="DR9" i="1"/>
  <c r="DQ9" i="1"/>
  <c r="DP9" i="1" s="1"/>
  <c r="DS9" i="1"/>
  <c r="I12" i="1"/>
  <c r="L12" i="1" s="1"/>
  <c r="BD12" i="1" s="1"/>
  <c r="AZ12" i="1"/>
  <c r="BC12" i="1" s="1"/>
  <c r="DR12" i="1" s="1"/>
  <c r="I11" i="1"/>
  <c r="H11" i="1"/>
  <c r="AZ11" i="1"/>
  <c r="BC11" i="1" s="1"/>
  <c r="DQ11" i="1" s="1"/>
  <c r="EZ10" i="1" l="1"/>
  <c r="EX10" i="1"/>
  <c r="EY10" i="1"/>
  <c r="EW10" i="1"/>
  <c r="FD10" i="1"/>
  <c r="FC10" i="1"/>
  <c r="FB10" i="1"/>
  <c r="FA10" i="1"/>
  <c r="DQ12" i="1"/>
  <c r="DS12" i="1"/>
  <c r="EN12" i="1"/>
  <c r="EP12" i="1" s="1"/>
  <c r="ET12" i="1" s="1"/>
  <c r="BH12" i="1"/>
  <c r="BG12" i="1"/>
  <c r="BF12" i="1"/>
  <c r="BE12" i="1"/>
  <c r="BJ12" i="1" s="1"/>
  <c r="BF9" i="1"/>
  <c r="EN9" i="1"/>
  <c r="EQ9" i="1" s="1"/>
  <c r="EU9" i="1" s="1"/>
  <c r="BE9" i="1"/>
  <c r="BG9" i="1"/>
  <c r="BJ1" i="1"/>
  <c r="BH9" i="1"/>
  <c r="L9" i="1"/>
  <c r="BD9" i="1" s="1"/>
  <c r="BJ9" i="1" s="1"/>
  <c r="M9" i="1" s="1"/>
  <c r="CK9" i="1" s="1"/>
  <c r="K9" i="1"/>
  <c r="J9" i="1"/>
  <c r="J12" i="1"/>
  <c r="K12" i="1"/>
  <c r="L11" i="1"/>
  <c r="BD11" i="1" s="1"/>
  <c r="BJ11" i="1" s="1"/>
  <c r="K11" i="1"/>
  <c r="J11" i="1"/>
  <c r="EN11" i="1"/>
  <c r="BH11" i="1"/>
  <c r="BG11" i="1"/>
  <c r="BF11" i="1"/>
  <c r="BE11" i="1"/>
  <c r="DR11" i="1"/>
  <c r="DP11" i="1" s="1"/>
  <c r="DS11" i="1"/>
  <c r="EQ12" i="1" l="1"/>
  <c r="EU12" i="1" s="1"/>
  <c r="CL9" i="1"/>
  <c r="EP9" i="1"/>
  <c r="ET9" i="1" s="1"/>
  <c r="CG9" i="1"/>
  <c r="CI9" i="1"/>
  <c r="CM9" i="1"/>
  <c r="EO9" i="1"/>
  <c r="ES9" i="1" s="1"/>
  <c r="N9" i="1" s="1"/>
  <c r="DP12" i="1"/>
  <c r="M12" i="1" s="1"/>
  <c r="CR12" i="1"/>
  <c r="CO12" i="1"/>
  <c r="CS12" i="1"/>
  <c r="CN12" i="1"/>
  <c r="CT12" i="1"/>
  <c r="CP12" i="1"/>
  <c r="EO12" i="1"/>
  <c r="ES12" i="1" s="1"/>
  <c r="N12" i="1" s="1"/>
  <c r="M11" i="1"/>
  <c r="CP11" i="1" s="1"/>
  <c r="EQ11" i="1"/>
  <c r="EU11" i="1" s="1"/>
  <c r="EP11" i="1"/>
  <c r="ET11" i="1" s="1"/>
  <c r="EO11" i="1"/>
  <c r="ES11" i="1" s="1"/>
  <c r="N11" i="1" s="1"/>
  <c r="EZ11" i="1" l="1"/>
  <c r="EW11" i="1"/>
  <c r="EY11" i="1"/>
  <c r="EX11" i="1"/>
  <c r="EZ9" i="1"/>
  <c r="FA9" i="1"/>
  <c r="FD9" i="1"/>
  <c r="FC9" i="1"/>
  <c r="FB9" i="1"/>
  <c r="CQ11" i="1"/>
  <c r="CR11" i="1"/>
  <c r="CR74" i="1" s="1"/>
  <c r="E80" i="1" s="1"/>
  <c r="F80" i="1" s="1"/>
  <c r="CT11" i="1"/>
  <c r="CT74" i="1" s="1"/>
  <c r="E82" i="1" s="1"/>
  <c r="F82" i="1" s="1"/>
  <c r="CS11" i="1"/>
  <c r="CS74" i="1" s="1"/>
  <c r="E81" i="1" s="1"/>
  <c r="CN11" i="1"/>
  <c r="CN74" i="1" s="1"/>
  <c r="E78" i="1" s="1"/>
  <c r="F78" i="1" s="1"/>
  <c r="CO11" i="1"/>
  <c r="CQ12" i="1"/>
  <c r="CM12" i="1"/>
  <c r="CK12" i="1"/>
  <c r="CK74" i="1" s="1"/>
  <c r="D80" i="1" s="1"/>
  <c r="CI12" i="1"/>
  <c r="CG12" i="1"/>
  <c r="CL12" i="1"/>
  <c r="CL74" i="1" s="1"/>
  <c r="D81" i="1" s="1"/>
  <c r="CM74" i="1"/>
  <c r="D82" i="1" s="1"/>
  <c r="CG74" i="1"/>
  <c r="D78" i="1" s="1"/>
  <c r="CI74" i="1"/>
  <c r="D79" i="1" s="1"/>
  <c r="EX9" i="1"/>
  <c r="EW9" i="1"/>
  <c r="EY9" i="1"/>
  <c r="FC12" i="1"/>
  <c r="EX12" i="1"/>
  <c r="EX77" i="1" s="1"/>
  <c r="I79" i="1" s="1"/>
  <c r="EW12" i="1"/>
  <c r="EY12" i="1"/>
  <c r="EZ12" i="1"/>
  <c r="FB12" i="1"/>
  <c r="FD12" i="1"/>
  <c r="FA12" i="1"/>
  <c r="CP74" i="1"/>
  <c r="E79" i="1" s="1"/>
  <c r="F79" i="1" s="1"/>
  <c r="Q9" i="1"/>
  <c r="L77" i="1" s="1"/>
  <c r="FD11" i="1"/>
  <c r="P9" i="1"/>
  <c r="I77" i="1" s="1"/>
  <c r="FC11" i="1"/>
  <c r="FB11" i="1"/>
  <c r="FA11" i="1"/>
  <c r="EW77" i="1" l="1"/>
  <c r="I78" i="1" s="1"/>
  <c r="EY77" i="1"/>
  <c r="I80" i="1" s="1"/>
  <c r="EZ77" i="1"/>
  <c r="I81" i="1" s="1"/>
  <c r="F81" i="1"/>
  <c r="FC77" i="1"/>
  <c r="L80" i="1" s="1"/>
  <c r="M80" i="1" s="1"/>
  <c r="FA77" i="1"/>
  <c r="L78" i="1" s="1"/>
  <c r="M78" i="1" s="1"/>
  <c r="FB77" i="1"/>
  <c r="L79" i="1" s="1"/>
  <c r="M79" i="1" s="1"/>
  <c r="FD77" i="1"/>
  <c r="L81" i="1" s="1"/>
  <c r="M81" i="1" s="1"/>
  <c r="M7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00000000-0006-0000-0000-000001000000}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Name of yout School</t>
        </r>
      </text>
    </comment>
    <comment ref="A3" authorId="0" shapeId="0" xr:uid="{00000000-0006-0000-0000-000002000000}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Address or Division</t>
        </r>
      </text>
    </comment>
    <comment ref="A4" authorId="0" shapeId="0" xr:uid="{00000000-0006-0000-0000-000003000000}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Baseline or Endline &amp; School Year</t>
        </r>
      </text>
    </comment>
    <comment ref="D6" authorId="0" shapeId="0" xr:uid="{00000000-0006-0000-0000-000004000000}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Date of Weighing! Age is based here!</t>
        </r>
      </text>
    </comment>
    <comment ref="M6" authorId="0" shapeId="0" xr:uid="{00000000-0006-0000-0000-000005000000}">
      <text>
        <r>
          <rPr>
            <b/>
            <sz val="9"/>
            <rFont val="Tahoma"/>
            <charset val="134"/>
          </rPr>
          <t xml:space="preserve">IMPORTANT: Choose the correct Grade Level, 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<sst xmlns="http://schemas.openxmlformats.org/spreadsheetml/2006/main" count="1061" uniqueCount="416">
  <si>
    <t xml:space="preserve">NUTRITIONAL STATUS REPORT </t>
  </si>
  <si>
    <t>sirronnie69@yahoo.com</t>
  </si>
  <si>
    <t>wasted</t>
  </si>
  <si>
    <t>`</t>
  </si>
  <si>
    <t>ronnie d. caringal</t>
  </si>
  <si>
    <t>Date of Weighing:</t>
  </si>
  <si>
    <t>Underweight</t>
  </si>
  <si>
    <t>m</t>
  </si>
  <si>
    <t>f</t>
  </si>
  <si>
    <t xml:space="preserve">Names   </t>
  </si>
  <si>
    <t>Birthday    mm/dd/yyyy</t>
  </si>
  <si>
    <t>Weight             (kg)</t>
  </si>
  <si>
    <t>Height             ( meters)</t>
  </si>
  <si>
    <t>Sex</t>
  </si>
  <si>
    <r>
      <rPr>
        <sz val="8"/>
        <rFont val="Calibri"/>
        <charset val="134"/>
        <scheme val="minor"/>
      </rPr>
      <t>Height</t>
    </r>
    <r>
      <rPr>
        <vertAlign val="superscript"/>
        <sz val="8"/>
        <rFont val="Calibri"/>
        <charset val="134"/>
      </rPr>
      <t>2</t>
    </r>
    <r>
      <rPr>
        <sz val="8"/>
        <rFont val="Calibri"/>
        <charset val="134"/>
      </rPr>
      <t xml:space="preserve">    (m</t>
    </r>
    <r>
      <rPr>
        <vertAlign val="superscript"/>
        <sz val="8"/>
        <rFont val="Calibri"/>
        <charset val="134"/>
      </rPr>
      <t>2</t>
    </r>
    <r>
      <rPr>
        <sz val="8"/>
        <rFont val="Calibri"/>
        <charset val="134"/>
      </rPr>
      <t xml:space="preserve">)      </t>
    </r>
  </si>
  <si>
    <t xml:space="preserve">Age </t>
  </si>
  <si>
    <t>Body Mass Index</t>
  </si>
  <si>
    <t>Nutritional Status</t>
  </si>
  <si>
    <t>Height-For-Age</t>
  </si>
  <si>
    <t>Severely  Wasted</t>
  </si>
  <si>
    <t>Wasted</t>
  </si>
  <si>
    <t xml:space="preserve">Normal </t>
  </si>
  <si>
    <t>Overweight</t>
  </si>
  <si>
    <t>Obese</t>
  </si>
  <si>
    <t>BMI for AGE - Boys</t>
  </si>
  <si>
    <t>BMI for AGE - Girls</t>
  </si>
  <si>
    <t>Severely  Underweight</t>
  </si>
  <si>
    <t>Weight for AGE for Boys</t>
  </si>
  <si>
    <t>Weight for AGE for Girls</t>
  </si>
  <si>
    <t>Height for Age - BOYS</t>
  </si>
  <si>
    <t>Height for Age - GIRLS</t>
  </si>
  <si>
    <t>M</t>
  </si>
  <si>
    <t>/100</t>
  </si>
  <si>
    <t>F</t>
  </si>
  <si>
    <t>y</t>
  </si>
  <si>
    <t>,</t>
  </si>
  <si>
    <t>SU</t>
  </si>
  <si>
    <t>u</t>
  </si>
  <si>
    <t>n</t>
  </si>
  <si>
    <t xml:space="preserve">Severely Stunted </t>
  </si>
  <si>
    <t xml:space="preserve">Stunted           </t>
  </si>
  <si>
    <t>Normal</t>
  </si>
  <si>
    <t>Tall</t>
  </si>
  <si>
    <t>Stunted</t>
  </si>
  <si>
    <t xml:space="preserve">Severely Wasted          </t>
  </si>
  <si>
    <t xml:space="preserve">Wasted                                                            </t>
  </si>
  <si>
    <t xml:space="preserve">Normal                                </t>
  </si>
  <si>
    <t xml:space="preserve">Overweight                                 </t>
  </si>
  <si>
    <t xml:space="preserve">Obese                    </t>
  </si>
  <si>
    <t xml:space="preserve">Stunted                                                          </t>
  </si>
  <si>
    <t>Year-Month</t>
  </si>
  <si>
    <t>Months</t>
  </si>
  <si>
    <t>&lt; -3SD</t>
  </si>
  <si>
    <t>from                -3SD</t>
  </si>
  <si>
    <t>to                                &lt; -2SD</t>
  </si>
  <si>
    <t>from                          -2SD</t>
  </si>
  <si>
    <t>to                                    +2SD</t>
  </si>
  <si>
    <t>&gt; +2SD</t>
  </si>
  <si>
    <t>from</t>
  </si>
  <si>
    <t>to</t>
  </si>
  <si>
    <t>Year : Month</t>
  </si>
  <si>
    <t xml:space="preserve">to </t>
  </si>
  <si>
    <t>3-0</t>
  </si>
  <si>
    <t>84.9</t>
  </si>
  <si>
    <t>6-0</t>
  </si>
  <si>
    <t>22.2≥</t>
  </si>
  <si>
    <t>3-1</t>
  </si>
  <si>
    <t>85.4</t>
  </si>
  <si>
    <t>6-1</t>
  </si>
  <si>
    <t>22.3≥</t>
  </si>
  <si>
    <t>3-2</t>
  </si>
  <si>
    <t>85.9</t>
  </si>
  <si>
    <t>6-2</t>
  </si>
  <si>
    <t>22.4≥</t>
  </si>
  <si>
    <t>3-3</t>
  </si>
  <si>
    <t>86.4</t>
  </si>
  <si>
    <t>6-3</t>
  </si>
  <si>
    <t>22.5≥</t>
  </si>
  <si>
    <t>3-4</t>
  </si>
  <si>
    <t>86.9</t>
  </si>
  <si>
    <t>6-4</t>
  </si>
  <si>
    <t>22.6≥</t>
  </si>
  <si>
    <t>3-5</t>
  </si>
  <si>
    <t>87.4</t>
  </si>
  <si>
    <t>6-5</t>
  </si>
  <si>
    <t>22.7≥</t>
  </si>
  <si>
    <t>3-6</t>
  </si>
  <si>
    <t>87.9</t>
  </si>
  <si>
    <t>6-6</t>
  </si>
  <si>
    <t>22.8≥</t>
  </si>
  <si>
    <t>3-7</t>
  </si>
  <si>
    <t>88.3</t>
  </si>
  <si>
    <t>6-7</t>
  </si>
  <si>
    <t>22.9≥</t>
  </si>
  <si>
    <t>3-8</t>
  </si>
  <si>
    <t>88.8</t>
  </si>
  <si>
    <t>6-8</t>
  </si>
  <si>
    <t>23.0≥</t>
  </si>
  <si>
    <t>3-9</t>
  </si>
  <si>
    <t>89.3</t>
  </si>
  <si>
    <t>6-9</t>
  </si>
  <si>
    <t>23.1≥</t>
  </si>
  <si>
    <t>3-10</t>
  </si>
  <si>
    <t>89.7</t>
  </si>
  <si>
    <t>6-10</t>
  </si>
  <si>
    <t>23.2≥</t>
  </si>
  <si>
    <t>3-11</t>
  </si>
  <si>
    <t>90.2</t>
  </si>
  <si>
    <t>6-11</t>
  </si>
  <si>
    <t>23.3≥</t>
  </si>
  <si>
    <t>4-0</t>
  </si>
  <si>
    <t>90.6</t>
  </si>
  <si>
    <t>7-0</t>
  </si>
  <si>
    <t>23.4≥</t>
  </si>
  <si>
    <t>4-1</t>
  </si>
  <si>
    <t>91.1</t>
  </si>
  <si>
    <t>7-1</t>
  </si>
  <si>
    <t>23.5≥</t>
  </si>
  <si>
    <t>4-2</t>
  </si>
  <si>
    <t>91.5</t>
  </si>
  <si>
    <t>7-2</t>
  </si>
  <si>
    <t>23.6≥</t>
  </si>
  <si>
    <t>4-3</t>
  </si>
  <si>
    <t>7-3</t>
  </si>
  <si>
    <t>23.7≥</t>
  </si>
  <si>
    <t>4-4</t>
  </si>
  <si>
    <t>92.4</t>
  </si>
  <si>
    <t>7-4</t>
  </si>
  <si>
    <t>23.8≥</t>
  </si>
  <si>
    <t>4-5</t>
  </si>
  <si>
    <t>92.9</t>
  </si>
  <si>
    <t>7-5</t>
  </si>
  <si>
    <t>24.0≥</t>
  </si>
  <si>
    <t>4-6</t>
  </si>
  <si>
    <t>93.3</t>
  </si>
  <si>
    <t>7-6</t>
  </si>
  <si>
    <t>24.1≥</t>
  </si>
  <si>
    <t>4-7</t>
  </si>
  <si>
    <t>93.8</t>
  </si>
  <si>
    <t>7-7</t>
  </si>
  <si>
    <t>24.2≥</t>
  </si>
  <si>
    <t>4-8</t>
  </si>
  <si>
    <t>94.2</t>
  </si>
  <si>
    <t>7-8</t>
  </si>
  <si>
    <t>24.3≥</t>
  </si>
  <si>
    <t>4-9</t>
  </si>
  <si>
    <t>94.6</t>
  </si>
  <si>
    <t>7-9</t>
  </si>
  <si>
    <t>24.5≥</t>
  </si>
  <si>
    <t>4-10</t>
  </si>
  <si>
    <t>95.1</t>
  </si>
  <si>
    <t>7-10</t>
  </si>
  <si>
    <t>24.6≥</t>
  </si>
  <si>
    <t>4-11</t>
  </si>
  <si>
    <t>95.5</t>
  </si>
  <si>
    <t>7-11</t>
  </si>
  <si>
    <t>24.7≥</t>
  </si>
  <si>
    <t>5-0</t>
  </si>
  <si>
    <t>8-0</t>
  </si>
  <si>
    <t>24.9≥</t>
  </si>
  <si>
    <t>5-1</t>
  </si>
  <si>
    <t>101.1</t>
  </si>
  <si>
    <t>119.4</t>
  </si>
  <si>
    <t>8-1</t>
  </si>
  <si>
    <t>25.0≥</t>
  </si>
  <si>
    <t>5-2</t>
  </si>
  <si>
    <t>101.6</t>
  </si>
  <si>
    <t>8-2</t>
  </si>
  <si>
    <t>25.2≥</t>
  </si>
  <si>
    <t>5-3</t>
  </si>
  <si>
    <t>102.0</t>
  </si>
  <si>
    <t>8-3</t>
  </si>
  <si>
    <t>25.3≥</t>
  </si>
  <si>
    <t>5-4</t>
  </si>
  <si>
    <t>102.5</t>
  </si>
  <si>
    <t>8-4</t>
  </si>
  <si>
    <t>25.4≥</t>
  </si>
  <si>
    <t>5-5</t>
  </si>
  <si>
    <t>103.0</t>
  </si>
  <si>
    <t>8-5</t>
  </si>
  <si>
    <t>25.6≥</t>
  </si>
  <si>
    <t>5-6</t>
  </si>
  <si>
    <t>103.4</t>
  </si>
  <si>
    <t>8-6</t>
  </si>
  <si>
    <t>25.7≥</t>
  </si>
  <si>
    <t>5-7</t>
  </si>
  <si>
    <t>103.9</t>
  </si>
  <si>
    <t>8-7</t>
  </si>
  <si>
    <t>25.9≥</t>
  </si>
  <si>
    <t>5-8</t>
  </si>
  <si>
    <t>104.3</t>
  </si>
  <si>
    <t>8-8</t>
  </si>
  <si>
    <t>26.0≥</t>
  </si>
  <si>
    <t>5-9</t>
  </si>
  <si>
    <t>104.8</t>
  </si>
  <si>
    <t>8-9</t>
  </si>
  <si>
    <t>26.2≥</t>
  </si>
  <si>
    <t>5-10</t>
  </si>
  <si>
    <t>105.2</t>
  </si>
  <si>
    <t>8-10</t>
  </si>
  <si>
    <t>26.3≥</t>
  </si>
  <si>
    <t>5-11</t>
  </si>
  <si>
    <t>105.7</t>
  </si>
  <si>
    <t>8-11</t>
  </si>
  <si>
    <t>26.5≥</t>
  </si>
  <si>
    <t>9-0</t>
  </si>
  <si>
    <t>26.6≥</t>
  </si>
  <si>
    <t>9-1</t>
  </si>
  <si>
    <t>26.8≥</t>
  </si>
  <si>
    <t>9-2</t>
  </si>
  <si>
    <t>26.9≥</t>
  </si>
  <si>
    <t>9-3</t>
  </si>
  <si>
    <t>27.1≥</t>
  </si>
  <si>
    <t>9-4</t>
  </si>
  <si>
    <t>27.3≥</t>
  </si>
  <si>
    <t>9-5</t>
  </si>
  <si>
    <t>27.4≥</t>
  </si>
  <si>
    <t>9-6</t>
  </si>
  <si>
    <t>27.6≥</t>
  </si>
  <si>
    <t>9-7</t>
  </si>
  <si>
    <t>27.7≥</t>
  </si>
  <si>
    <t>9-8</t>
  </si>
  <si>
    <t>27.9≥</t>
  </si>
  <si>
    <t>9-9</t>
  </si>
  <si>
    <t>28.0≥</t>
  </si>
  <si>
    <t>9-10</t>
  </si>
  <si>
    <t>28.2≥</t>
  </si>
  <si>
    <t>9-11</t>
  </si>
  <si>
    <t>28.3≥</t>
  </si>
  <si>
    <t>10-0</t>
  </si>
  <si>
    <t>28.5≥</t>
  </si>
  <si>
    <t>10-1</t>
  </si>
  <si>
    <t>28.6≥</t>
  </si>
  <si>
    <t>10-2</t>
  </si>
  <si>
    <t>28.8≥</t>
  </si>
  <si>
    <t>10-3</t>
  </si>
  <si>
    <t>28.9≥</t>
  </si>
  <si>
    <t>10-4</t>
  </si>
  <si>
    <t>29.1≥</t>
  </si>
  <si>
    <t>10-5</t>
  </si>
  <si>
    <t>29.2≥</t>
  </si>
  <si>
    <t>10-6</t>
  </si>
  <si>
    <t>29.4≥</t>
  </si>
  <si>
    <t>10-7</t>
  </si>
  <si>
    <t>29.5≥</t>
  </si>
  <si>
    <t>10-8</t>
  </si>
  <si>
    <t>29.7≥</t>
  </si>
  <si>
    <t>10-9</t>
  </si>
  <si>
    <t>29.8≥</t>
  </si>
  <si>
    <t>10-10</t>
  </si>
  <si>
    <t>30.0≥</t>
  </si>
  <si>
    <t>10-11</t>
  </si>
  <si>
    <t>30.1≥</t>
  </si>
  <si>
    <t>11-0</t>
  </si>
  <si>
    <t>30.3≥</t>
  </si>
  <si>
    <t>11-1</t>
  </si>
  <si>
    <t>30.4≥</t>
  </si>
  <si>
    <t>11-2</t>
  </si>
  <si>
    <t>30.6≥</t>
  </si>
  <si>
    <t xml:space="preserve">             </t>
  </si>
  <si>
    <t>11-3</t>
  </si>
  <si>
    <t>30.7≥</t>
  </si>
  <si>
    <t>T</t>
  </si>
  <si>
    <t>HFA</t>
  </si>
  <si>
    <t>TOTAL</t>
  </si>
  <si>
    <t>Body Mass Index =</t>
  </si>
  <si>
    <t>11-4</t>
  </si>
  <si>
    <t>30.9≥</t>
  </si>
  <si>
    <t xml:space="preserve">No. of Cases </t>
  </si>
  <si>
    <t>No. of Cases</t>
  </si>
  <si>
    <t>Weight (kgs)</t>
  </si>
  <si>
    <t>11-5</t>
  </si>
  <si>
    <t>31.0≥</t>
  </si>
  <si>
    <t>Severely Wasted</t>
  </si>
  <si>
    <t>Sev. Stunted</t>
  </si>
  <si>
    <r>
      <rPr>
        <b/>
        <sz val="9"/>
        <rFont val="Calibri"/>
        <charset val="134"/>
        <scheme val="minor"/>
      </rPr>
      <t>Height squred(m</t>
    </r>
    <r>
      <rPr>
        <b/>
        <vertAlign val="superscript"/>
        <sz val="9"/>
        <rFont val="Calibri"/>
        <charset val="134"/>
        <scheme val="minor"/>
      </rPr>
      <t>2</t>
    </r>
    <r>
      <rPr>
        <b/>
        <sz val="9"/>
        <rFont val="Calibri"/>
        <charset val="134"/>
        <scheme val="minor"/>
      </rPr>
      <t>)</t>
    </r>
  </si>
  <si>
    <t>11-6</t>
  </si>
  <si>
    <t>31.2≥</t>
  </si>
  <si>
    <t>11-7</t>
  </si>
  <si>
    <t>31.3≥</t>
  </si>
  <si>
    <t>11-8</t>
  </si>
  <si>
    <t>31.5≥</t>
  </si>
  <si>
    <t>11-9</t>
  </si>
  <si>
    <t>31.6≥</t>
  </si>
  <si>
    <t>Prepared by:</t>
  </si>
  <si>
    <t>11-10</t>
  </si>
  <si>
    <t>31.7≥</t>
  </si>
  <si>
    <t>11-11</t>
  </si>
  <si>
    <t>31.9≥</t>
  </si>
  <si>
    <t>12-0</t>
  </si>
  <si>
    <t>32.0≥</t>
  </si>
  <si>
    <t>12-1</t>
  </si>
  <si>
    <t>32.1≥</t>
  </si>
  <si>
    <t>12-2</t>
  </si>
  <si>
    <t>32.3≥</t>
  </si>
  <si>
    <t>12-3</t>
  </si>
  <si>
    <t>32.4≥</t>
  </si>
  <si>
    <t>12-4</t>
  </si>
  <si>
    <t>32.5≥</t>
  </si>
  <si>
    <t>12-5</t>
  </si>
  <si>
    <t>32.7≥</t>
  </si>
  <si>
    <t>12-6</t>
  </si>
  <si>
    <t>32.8≥</t>
  </si>
  <si>
    <t>12-7</t>
  </si>
  <si>
    <t>32.9≥</t>
  </si>
  <si>
    <t>12-8</t>
  </si>
  <si>
    <t>33.1≥</t>
  </si>
  <si>
    <t>12-9</t>
  </si>
  <si>
    <t>33.2≥</t>
  </si>
  <si>
    <t>12-10</t>
  </si>
  <si>
    <t>33.3≥</t>
  </si>
  <si>
    <t>12-11</t>
  </si>
  <si>
    <t>33.4≥</t>
  </si>
  <si>
    <t>13-0</t>
  </si>
  <si>
    <t>33.5≥</t>
  </si>
  <si>
    <t>13-1</t>
  </si>
  <si>
    <t>33.7≥</t>
  </si>
  <si>
    <t>13-2</t>
  </si>
  <si>
    <t>33.8≥</t>
  </si>
  <si>
    <t>13-3</t>
  </si>
  <si>
    <t>33.9≥</t>
  </si>
  <si>
    <t>13-4</t>
  </si>
  <si>
    <t>34.0≥</t>
  </si>
  <si>
    <t>13-5</t>
  </si>
  <si>
    <t>34.1≥</t>
  </si>
  <si>
    <t>13-6</t>
  </si>
  <si>
    <t>34.2≥</t>
  </si>
  <si>
    <t>13-7</t>
  </si>
  <si>
    <t>34.3≥</t>
  </si>
  <si>
    <t>13-8</t>
  </si>
  <si>
    <t>34.4≥</t>
  </si>
  <si>
    <t>13-9</t>
  </si>
  <si>
    <t>34.5≥</t>
  </si>
  <si>
    <t>13-10</t>
  </si>
  <si>
    <t>34.6≥</t>
  </si>
  <si>
    <t>13-11</t>
  </si>
  <si>
    <t>34.7≥</t>
  </si>
  <si>
    <t>14-0</t>
  </si>
  <si>
    <t>34.8≥</t>
  </si>
  <si>
    <t>14-1</t>
  </si>
  <si>
    <t>14-2</t>
  </si>
  <si>
    <t>34.9≥</t>
  </si>
  <si>
    <t>14-3</t>
  </si>
  <si>
    <t>35.0≥</t>
  </si>
  <si>
    <t>14-4</t>
  </si>
  <si>
    <t>35.1≥</t>
  </si>
  <si>
    <t>14-5</t>
  </si>
  <si>
    <t>35.2≥</t>
  </si>
  <si>
    <t>14-6</t>
  </si>
  <si>
    <t>14-7</t>
  </si>
  <si>
    <t>35.3≥</t>
  </si>
  <si>
    <t>14-8</t>
  </si>
  <si>
    <t>35.4≥</t>
  </si>
  <si>
    <t>14-9</t>
  </si>
  <si>
    <t>35.5≥</t>
  </si>
  <si>
    <t>14-10</t>
  </si>
  <si>
    <t>14-11</t>
  </si>
  <si>
    <t>35.6≥</t>
  </si>
  <si>
    <t>15-0</t>
  </si>
  <si>
    <t>15-1</t>
  </si>
  <si>
    <t>35.7≥</t>
  </si>
  <si>
    <t>15-2</t>
  </si>
  <si>
    <t>35.8≥</t>
  </si>
  <si>
    <t>15-3</t>
  </si>
  <si>
    <t>15-4</t>
  </si>
  <si>
    <t>35.9≥</t>
  </si>
  <si>
    <t>15-5</t>
  </si>
  <si>
    <t>15-6</t>
  </si>
  <si>
    <t>15-7</t>
  </si>
  <si>
    <t>36.0≥</t>
  </si>
  <si>
    <t>15-8</t>
  </si>
  <si>
    <t>15-9</t>
  </si>
  <si>
    <t>36.1≥</t>
  </si>
  <si>
    <t>15-10</t>
  </si>
  <si>
    <t>15-11</t>
  </si>
  <si>
    <t>16-0</t>
  </si>
  <si>
    <t>36.2≥</t>
  </si>
  <si>
    <t>16-1</t>
  </si>
  <si>
    <t>16-2</t>
  </si>
  <si>
    <t>16-3</t>
  </si>
  <si>
    <t>16-4</t>
  </si>
  <si>
    <t>36.3≥</t>
  </si>
  <si>
    <t>16-5</t>
  </si>
  <si>
    <t>16-6</t>
  </si>
  <si>
    <t>16-7</t>
  </si>
  <si>
    <t>16-8</t>
  </si>
  <si>
    <t>16-9</t>
  </si>
  <si>
    <t>36.4≥</t>
  </si>
  <si>
    <t>16-10</t>
  </si>
  <si>
    <t>16-11</t>
  </si>
  <si>
    <t>17-0</t>
  </si>
  <si>
    <t>17-1</t>
  </si>
  <si>
    <t>17-2</t>
  </si>
  <si>
    <t>17-3</t>
  </si>
  <si>
    <t>17-4</t>
  </si>
  <si>
    <t>17-5</t>
  </si>
  <si>
    <t>17-6</t>
  </si>
  <si>
    <t>17-7</t>
  </si>
  <si>
    <t>17-8</t>
  </si>
  <si>
    <t>17-9</t>
  </si>
  <si>
    <t>17-10</t>
  </si>
  <si>
    <t>17-11</t>
  </si>
  <si>
    <t>18-0</t>
  </si>
  <si>
    <t>18-1</t>
  </si>
  <si>
    <t>18-2</t>
  </si>
  <si>
    <t>18-3</t>
  </si>
  <si>
    <t>18-4</t>
  </si>
  <si>
    <t>18-5</t>
  </si>
  <si>
    <t>18-6</t>
  </si>
  <si>
    <t>18-7</t>
  </si>
  <si>
    <t>18-8</t>
  </si>
  <si>
    <t>18-9</t>
  </si>
  <si>
    <t>18-10</t>
  </si>
  <si>
    <t>18-11</t>
  </si>
  <si>
    <t>19-0</t>
  </si>
  <si>
    <t xml:space="preserve">Baseline SY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</si>
</sst>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[$-3409]mmmm\ dd\,\ yyyy;@"/>
    <numFmt numFmtId="165" formatCode="[$-409]d\-mmm\-yy;@"/>
    <numFmt numFmtId="166" formatCode="0.0000"/>
    <numFmt numFmtId="167" formatCode="[$-409]mmmm\ d\,\ yyyy;@"/>
    <numFmt numFmtId="168" formatCode="0.0"/>
  </numFmts>
  <fonts count="46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sz val="8"/>
      <name val="Calibri"/>
      <charset val="134"/>
      <scheme val="minor"/>
    </font>
    <font>
      <sz val="7"/>
      <name val="Calibri"/>
      <charset val="134"/>
      <scheme val="minor"/>
    </font>
    <font>
      <sz val="9"/>
      <name val="Calibri"/>
      <charset val="134"/>
      <scheme val="minor"/>
    </font>
    <font>
      <sz val="9"/>
      <color theme="1"/>
      <name val="Calibri"/>
      <charset val="134"/>
      <scheme val="minor"/>
    </font>
    <font>
      <sz val="9"/>
      <color indexed="8"/>
      <name val="Calibri"/>
      <charset val="134"/>
    </font>
    <font>
      <sz val="10"/>
      <color indexed="8"/>
      <name val="Calibri"/>
      <charset val="134"/>
    </font>
    <font>
      <b/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1"/>
      <name val="Calibri"/>
      <charset val="134"/>
      <scheme val="minor"/>
    </font>
    <font>
      <sz val="9"/>
      <color theme="0"/>
      <name val="Calibri"/>
      <charset val="134"/>
      <scheme val="minor"/>
    </font>
    <font>
      <u/>
      <sz val="11"/>
      <color theme="0"/>
      <name val="Calibri"/>
      <charset val="134"/>
    </font>
    <font>
      <b/>
      <sz val="11"/>
      <color theme="0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sz val="14"/>
      <color theme="0"/>
      <name val="Calibri"/>
      <charset val="134"/>
      <scheme val="minor"/>
    </font>
    <font>
      <sz val="7"/>
      <color theme="0"/>
      <name val="Calibri"/>
      <charset val="134"/>
      <scheme val="minor"/>
    </font>
    <font>
      <sz val="8"/>
      <color theme="0"/>
      <name val="Calibri"/>
      <charset val="134"/>
      <scheme val="minor"/>
    </font>
    <font>
      <sz val="8"/>
      <color theme="0"/>
      <name val="Arial"/>
      <charset val="134"/>
    </font>
    <font>
      <i/>
      <sz val="10"/>
      <color theme="0"/>
      <name val="Arial Narrow"/>
      <charset val="134"/>
    </font>
    <font>
      <sz val="12"/>
      <color theme="0"/>
      <name val="Arial"/>
      <charset val="134"/>
    </font>
    <font>
      <i/>
      <sz val="11"/>
      <color theme="0"/>
      <name val="Calibri"/>
      <charset val="134"/>
    </font>
    <font>
      <sz val="11"/>
      <color theme="0"/>
      <name val="Calibri"/>
      <charset val="134"/>
    </font>
    <font>
      <sz val="12"/>
      <color theme="0"/>
      <name val="Calibri"/>
      <charset val="134"/>
    </font>
    <font>
      <sz val="10"/>
      <color theme="0"/>
      <name val="Arial"/>
      <charset val="134"/>
    </font>
    <font>
      <sz val="9"/>
      <name val="Comic Sans MS"/>
      <charset val="134"/>
    </font>
    <font>
      <b/>
      <sz val="9"/>
      <name val="Calibri"/>
      <charset val="134"/>
      <scheme val="minor"/>
    </font>
    <font>
      <sz val="10"/>
      <name val="Calibri"/>
      <charset val="134"/>
    </font>
    <font>
      <u/>
      <sz val="7"/>
      <name val="Calibri"/>
      <charset val="134"/>
    </font>
    <font>
      <u/>
      <sz val="11"/>
      <name val="Calibri"/>
      <charset val="134"/>
    </font>
    <font>
      <sz val="6"/>
      <name val="Calibri"/>
      <charset val="134"/>
      <scheme val="minor"/>
    </font>
    <font>
      <b/>
      <sz val="9"/>
      <color theme="0"/>
      <name val="Calibri"/>
      <charset val="134"/>
      <scheme val="minor"/>
    </font>
    <font>
      <sz val="10"/>
      <color theme="0"/>
      <name val="Times New Roman"/>
      <charset val="134"/>
    </font>
    <font>
      <u/>
      <sz val="11"/>
      <color theme="10"/>
      <name val="Calibri"/>
      <charset val="134"/>
    </font>
    <font>
      <vertAlign val="superscript"/>
      <sz val="8"/>
      <name val="Calibri"/>
      <charset val="134"/>
    </font>
    <font>
      <sz val="8"/>
      <name val="Calibri"/>
      <charset val="134"/>
    </font>
    <font>
      <b/>
      <vertAlign val="superscript"/>
      <sz val="9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double">
        <color indexed="8"/>
      </right>
      <top style="hair">
        <color indexed="8"/>
      </top>
      <bottom style="hair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indexed="8"/>
      </top>
      <bottom style="hair">
        <color indexed="8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indexed="8"/>
      </right>
      <top/>
      <bottom style="hair">
        <color indexed="8"/>
      </bottom>
      <diagonal/>
    </border>
    <border>
      <left/>
      <right style="double">
        <color indexed="8"/>
      </right>
      <top/>
      <bottom style="hair">
        <color indexed="8"/>
      </bottom>
      <diagonal/>
    </border>
    <border>
      <left style="double">
        <color indexed="8"/>
      </left>
      <right/>
      <top/>
      <bottom style="hair">
        <color indexed="8"/>
      </bottom>
      <diagonal/>
    </border>
    <border>
      <left style="double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ck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n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n">
        <color auto="1"/>
      </right>
      <top/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/>
      <bottom style="hair">
        <color indexed="8"/>
      </bottom>
      <diagonal/>
    </border>
    <border>
      <left style="thick">
        <color auto="1"/>
      </left>
      <right style="thin">
        <color auto="1"/>
      </right>
      <top style="hair">
        <color indexed="8"/>
      </top>
      <bottom style="hair">
        <color indexed="8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indexed="8"/>
      </right>
      <top style="hair">
        <color indexed="8"/>
      </top>
      <bottom style="thin">
        <color auto="1"/>
      </bottom>
      <diagonal/>
    </border>
    <border>
      <left/>
      <right style="double">
        <color indexed="8"/>
      </right>
      <top style="hair">
        <color indexed="8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indexed="8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double">
        <color indexed="8"/>
      </left>
      <right/>
      <top style="hair">
        <color indexed="8"/>
      </top>
      <bottom style="thin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hair">
        <color indexed="8"/>
      </top>
      <bottom style="thin">
        <color auto="1"/>
      </bottom>
      <diagonal/>
    </border>
    <border>
      <left/>
      <right style="double">
        <color indexed="8"/>
      </right>
      <top/>
      <bottom/>
      <diagonal/>
    </border>
  </borders>
  <cellStyleXfs count="2">
    <xf numFmtId="0" fontId="0" fillId="0" borderId="0"/>
    <xf numFmtId="0" fontId="40" fillId="0" borderId="0" applyNumberFormat="0" applyFill="0" applyBorder="0" applyAlignment="0" applyProtection="0">
      <alignment vertical="top"/>
      <protection locked="0"/>
    </xf>
  </cellStyleXfs>
  <cellXfs count="400">
    <xf numFmtId="0" fontId="0" fillId="0" borderId="0" xfId="0"/>
    <xf numFmtId="0" fontId="1" fillId="0" borderId="0" xfId="0" applyFont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" fillId="0" borderId="0" xfId="0" applyFont="1" applyProtection="1">
      <protection locked="0"/>
    </xf>
    <xf numFmtId="0" fontId="5" fillId="2" borderId="1" xfId="0" applyFont="1" applyFill="1" applyBorder="1" applyAlignment="1" applyProtection="1">
      <alignment horizontal="left" vertical="center"/>
      <protection locked="0"/>
    </xf>
    <xf numFmtId="0" fontId="9" fillId="0" borderId="9" xfId="0" applyFont="1" applyBorder="1" applyAlignment="1" applyProtection="1">
      <alignment horizontal="right" vertical="center"/>
      <protection hidden="1"/>
    </xf>
    <xf numFmtId="0" fontId="9" fillId="0" borderId="10" xfId="0" applyFont="1" applyBorder="1" applyAlignment="1" applyProtection="1">
      <alignment horizontal="center" vertical="center"/>
      <protection hidden="1"/>
    </xf>
    <xf numFmtId="0" fontId="10" fillId="2" borderId="11" xfId="0" applyFont="1" applyFill="1" applyBorder="1" applyAlignment="1" applyProtection="1">
      <alignment horizontal="left" vertical="center"/>
      <protection locked="0"/>
    </xf>
    <xf numFmtId="165" fontId="11" fillId="0" borderId="12" xfId="0" applyNumberFormat="1" applyFont="1" applyBorder="1" applyAlignment="1" applyProtection="1">
      <alignment horizontal="center" vertical="center"/>
      <protection locked="0"/>
    </xf>
    <xf numFmtId="0" fontId="12" fillId="0" borderId="12" xfId="0" applyFont="1" applyBorder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166" fontId="9" fillId="0" borderId="12" xfId="0" applyNumberFormat="1" applyFont="1" applyBorder="1" applyAlignment="1" applyProtection="1">
      <alignment horizontal="center" vertical="center"/>
      <protection hidden="1"/>
    </xf>
    <xf numFmtId="0" fontId="13" fillId="2" borderId="11" xfId="0" applyFont="1" applyFill="1" applyBorder="1" applyAlignment="1" applyProtection="1">
      <alignment horizontal="left" vertical="center"/>
      <protection locked="0"/>
    </xf>
    <xf numFmtId="165" fontId="10" fillId="0" borderId="12" xfId="0" applyNumberFormat="1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3" fillId="2" borderId="11" xfId="0" applyFont="1" applyFill="1" applyBorder="1" applyAlignment="1" applyProtection="1">
      <alignment vertical="center"/>
      <protection locked="0"/>
    </xf>
    <xf numFmtId="0" fontId="13" fillId="2" borderId="7" xfId="0" applyFont="1" applyFill="1" applyBorder="1" applyAlignment="1" applyProtection="1">
      <alignment vertical="center"/>
      <protection locked="0"/>
    </xf>
    <xf numFmtId="0" fontId="15" fillId="2" borderId="0" xfId="0" applyFont="1" applyFill="1" applyAlignment="1" applyProtection="1">
      <alignment horizontal="center"/>
      <protection locked="0"/>
    </xf>
    <xf numFmtId="0" fontId="16" fillId="2" borderId="0" xfId="0" applyFont="1" applyFill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167" fontId="16" fillId="2" borderId="0" xfId="0" applyNumberFormat="1" applyFont="1" applyFill="1" applyAlignment="1" applyProtection="1">
      <alignment horizontal="left" vertical="top"/>
      <protection locked="0"/>
    </xf>
    <xf numFmtId="0" fontId="5" fillId="2" borderId="1" xfId="0" applyFont="1" applyFill="1" applyBorder="1" applyAlignment="1" applyProtection="1">
      <alignment vertical="center"/>
      <protection locked="0"/>
    </xf>
    <xf numFmtId="0" fontId="5" fillId="3" borderId="1" xfId="0" applyFont="1" applyFill="1" applyBorder="1" applyAlignment="1" applyProtection="1">
      <alignment horizontal="right" vertical="center"/>
      <protection locked="0"/>
    </xf>
    <xf numFmtId="167" fontId="5" fillId="3" borderId="0" xfId="0" applyNumberFormat="1" applyFont="1" applyFill="1" applyAlignment="1" applyProtection="1">
      <alignment horizontal="left" vertical="top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right" vertical="center" wrapText="1"/>
      <protection locked="0"/>
    </xf>
    <xf numFmtId="0" fontId="9" fillId="0" borderId="10" xfId="0" applyFont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 applyProtection="1">
      <alignment horizontal="left" vertical="center" wrapText="1"/>
      <protection locked="0"/>
    </xf>
    <xf numFmtId="0" fontId="9" fillId="0" borderId="11" xfId="0" applyFont="1" applyBorder="1" applyAlignment="1" applyProtection="1">
      <alignment horizontal="left" vertical="center"/>
      <protection hidden="1"/>
    </xf>
    <xf numFmtId="2" fontId="9" fillId="0" borderId="12" xfId="0" applyNumberFormat="1" applyFont="1" applyBorder="1" applyAlignment="1" applyProtection="1">
      <alignment horizontal="center" vertical="center"/>
      <protection hidden="1"/>
    </xf>
    <xf numFmtId="0" fontId="9" fillId="0" borderId="12" xfId="0" applyFont="1" applyBorder="1" applyAlignment="1" applyProtection="1">
      <alignment horizontal="center" vertical="center"/>
      <protection hidden="1"/>
    </xf>
    <xf numFmtId="0" fontId="9" fillId="2" borderId="12" xfId="0" applyFont="1" applyFill="1" applyBorder="1" applyAlignment="1" applyProtection="1">
      <alignment horizontal="center" vertical="center"/>
      <protection hidden="1"/>
    </xf>
    <xf numFmtId="0" fontId="18" fillId="2" borderId="0" xfId="0" applyFont="1" applyFill="1" applyAlignment="1" applyProtection="1">
      <alignment horizontal="center" vertical="center"/>
      <protection locked="0"/>
    </xf>
    <xf numFmtId="0" fontId="19" fillId="2" borderId="0" xfId="1" applyFont="1" applyFill="1" applyAlignment="1" applyProtection="1">
      <alignment horizontal="center"/>
      <protection locked="0"/>
    </xf>
    <xf numFmtId="0" fontId="15" fillId="0" borderId="0" xfId="0" applyFont="1" applyAlignment="1" applyProtection="1">
      <alignment horizontal="center"/>
      <protection locked="0"/>
    </xf>
    <xf numFmtId="0" fontId="15" fillId="2" borderId="0" xfId="0" applyFont="1" applyFill="1" applyAlignment="1" applyProtection="1">
      <alignment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167" fontId="16" fillId="0" borderId="0" xfId="0" applyNumberFormat="1" applyFont="1" applyAlignment="1" applyProtection="1">
      <alignment horizontal="left" vertical="top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20" fillId="0" borderId="0" xfId="0" applyFont="1" applyAlignment="1" applyProtection="1">
      <alignment vertical="top"/>
      <protection locked="0"/>
    </xf>
    <xf numFmtId="0" fontId="20" fillId="0" borderId="0" xfId="0" applyFont="1" applyAlignment="1" applyProtection="1">
      <alignment horizontal="left" vertical="top"/>
      <protection locked="0"/>
    </xf>
    <xf numFmtId="0" fontId="21" fillId="0" borderId="0" xfId="0" applyFont="1" applyAlignment="1" applyProtection="1">
      <alignment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1" fillId="2" borderId="0" xfId="0" applyFont="1" applyFill="1" applyAlignment="1" applyProtection="1">
      <alignment vertical="center"/>
      <protection locked="0"/>
    </xf>
    <xf numFmtId="0" fontId="20" fillId="0" borderId="0" xfId="0" applyFont="1" applyAlignment="1" applyProtection="1">
      <alignment horizontal="center"/>
      <protection locked="0"/>
    </xf>
    <xf numFmtId="14" fontId="20" fillId="0" borderId="0" xfId="0" applyNumberFormat="1" applyFont="1" applyAlignment="1" applyProtection="1">
      <alignment vertical="top"/>
      <protection locked="0"/>
    </xf>
    <xf numFmtId="14" fontId="20" fillId="0" borderId="0" xfId="0" applyNumberFormat="1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vertical="top"/>
      <protection locked="0"/>
    </xf>
    <xf numFmtId="0" fontId="20" fillId="0" borderId="0" xfId="0" applyFont="1" applyAlignment="1" applyProtection="1">
      <alignment horizontal="center" vertical="top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/>
      <protection locked="0"/>
    </xf>
    <xf numFmtId="0" fontId="23" fillId="0" borderId="0" xfId="0" applyFont="1" applyAlignment="1" applyProtection="1">
      <alignment horizontal="center"/>
      <protection hidden="1"/>
    </xf>
    <xf numFmtId="0" fontId="23" fillId="0" borderId="0" xfId="0" applyFont="1" applyProtection="1">
      <protection locked="0"/>
    </xf>
    <xf numFmtId="0" fontId="3" fillId="0" borderId="0" xfId="0" applyFont="1" applyProtection="1">
      <protection hidden="1"/>
    </xf>
    <xf numFmtId="0" fontId="25" fillId="0" borderId="12" xfId="0" applyFont="1" applyBorder="1" applyAlignment="1" applyProtection="1">
      <alignment vertical="center"/>
      <protection locked="0"/>
    </xf>
    <xf numFmtId="0" fontId="25" fillId="0" borderId="13" xfId="0" applyFont="1" applyBorder="1" applyAlignment="1" applyProtection="1">
      <alignment horizontal="center" vertical="center"/>
      <protection locked="0"/>
    </xf>
    <xf numFmtId="1" fontId="26" fillId="0" borderId="14" xfId="0" applyNumberFormat="1" applyFont="1" applyBorder="1" applyAlignment="1" applyProtection="1">
      <alignment horizontal="left" vertical="center" wrapText="1"/>
      <protection locked="0"/>
    </xf>
    <xf numFmtId="0" fontId="26" fillId="0" borderId="15" xfId="0" applyFont="1" applyBorder="1" applyAlignment="1" applyProtection="1">
      <alignment horizontal="left" vertical="center" wrapText="1"/>
      <protection locked="0"/>
    </xf>
    <xf numFmtId="49" fontId="26" fillId="0" borderId="14" xfId="0" applyNumberFormat="1" applyFont="1" applyBorder="1" applyAlignment="1" applyProtection="1">
      <alignment horizontal="left" vertical="center" wrapText="1"/>
      <protection locked="0"/>
    </xf>
    <xf numFmtId="49" fontId="28" fillId="0" borderId="10" xfId="0" applyNumberFormat="1" applyFont="1" applyBorder="1" applyAlignment="1" applyProtection="1">
      <alignment horizontal="center" vertical="center"/>
      <protection locked="0"/>
    </xf>
    <xf numFmtId="49" fontId="28" fillId="0" borderId="22" xfId="0" applyNumberFormat="1" applyFont="1" applyBorder="1" applyAlignment="1" applyProtection="1">
      <alignment horizontal="center" vertical="center"/>
      <protection locked="0"/>
    </xf>
    <xf numFmtId="49" fontId="28" fillId="0" borderId="23" xfId="0" applyNumberFormat="1" applyFont="1" applyBorder="1" applyAlignment="1" applyProtection="1">
      <alignment horizontal="center" vertical="center"/>
      <protection locked="0"/>
    </xf>
    <xf numFmtId="49" fontId="28" fillId="0" borderId="11" xfId="0" applyNumberFormat="1" applyFont="1" applyBorder="1" applyAlignment="1" applyProtection="1">
      <alignment horizontal="center" vertical="center"/>
      <protection locked="0"/>
    </xf>
    <xf numFmtId="49" fontId="28" fillId="0" borderId="9" xfId="0" applyNumberFormat="1" applyFont="1" applyBorder="1" applyAlignment="1" applyProtection="1">
      <alignment horizontal="center" vertical="center"/>
      <protection locked="0"/>
    </xf>
    <xf numFmtId="168" fontId="29" fillId="0" borderId="24" xfId="0" applyNumberFormat="1" applyFont="1" applyBorder="1" applyAlignment="1" applyProtection="1">
      <alignment horizontal="center" vertical="center" wrapText="1"/>
      <protection locked="0"/>
    </xf>
    <xf numFmtId="168" fontId="29" fillId="0" borderId="25" xfId="0" applyNumberFormat="1" applyFont="1" applyBorder="1" applyAlignment="1" applyProtection="1">
      <alignment horizontal="center" vertical="center" wrapText="1"/>
      <protection hidden="1"/>
    </xf>
    <xf numFmtId="168" fontId="29" fillId="0" borderId="26" xfId="0" applyNumberFormat="1" applyFont="1" applyBorder="1" applyAlignment="1" applyProtection="1">
      <alignment horizontal="center" vertical="center" wrapText="1"/>
      <protection locked="0"/>
    </xf>
    <xf numFmtId="168" fontId="29" fillId="0" borderId="27" xfId="0" applyNumberFormat="1" applyFont="1" applyBorder="1" applyAlignment="1" applyProtection="1">
      <alignment horizontal="center" vertical="center" wrapText="1"/>
      <protection locked="0"/>
    </xf>
    <xf numFmtId="168" fontId="29" fillId="0" borderId="24" xfId="0" applyNumberFormat="1" applyFont="1" applyBorder="1" applyAlignment="1" applyProtection="1">
      <alignment horizontal="center" vertical="center"/>
      <protection hidden="1"/>
    </xf>
    <xf numFmtId="168" fontId="29" fillId="0" borderId="25" xfId="0" applyNumberFormat="1" applyFont="1" applyBorder="1" applyAlignment="1" applyProtection="1">
      <alignment horizontal="center" vertical="center" wrapText="1"/>
      <protection locked="0"/>
    </xf>
    <xf numFmtId="0" fontId="29" fillId="0" borderId="28" xfId="0" applyFont="1" applyBorder="1" applyAlignment="1" applyProtection="1">
      <alignment horizontal="center" vertical="center" wrapText="1"/>
      <protection locked="0"/>
    </xf>
    <xf numFmtId="0" fontId="25" fillId="0" borderId="12" xfId="0" applyFont="1" applyBorder="1" applyAlignment="1" applyProtection="1">
      <alignment horizontal="center" vertical="center"/>
      <protection locked="0"/>
    </xf>
    <xf numFmtId="1" fontId="26" fillId="0" borderId="14" xfId="0" applyNumberFormat="1" applyFont="1" applyBorder="1" applyAlignment="1" applyProtection="1">
      <alignment horizontal="center" vertical="center" wrapText="1"/>
      <protection locked="0"/>
    </xf>
    <xf numFmtId="0" fontId="26" fillId="0" borderId="15" xfId="0" applyFont="1" applyBorder="1" applyAlignment="1" applyProtection="1">
      <alignment horizontal="center" vertical="center" wrapText="1"/>
      <protection locked="0"/>
    </xf>
    <xf numFmtId="49" fontId="26" fillId="0" borderId="14" xfId="0" applyNumberFormat="1" applyFont="1" applyBorder="1" applyAlignment="1" applyProtection="1">
      <alignment horizontal="center" vertical="center" wrapText="1"/>
      <protection locked="0"/>
    </xf>
    <xf numFmtId="168" fontId="30" fillId="0" borderId="24" xfId="0" applyNumberFormat="1" applyFont="1" applyBorder="1" applyAlignment="1" applyProtection="1">
      <alignment horizontal="center" vertical="center" wrapText="1"/>
      <protection locked="0"/>
    </xf>
    <xf numFmtId="168" fontId="30" fillId="0" borderId="26" xfId="0" applyNumberFormat="1" applyFont="1" applyBorder="1" applyAlignment="1" applyProtection="1">
      <alignment horizontal="center" vertical="center" wrapText="1"/>
      <protection locked="0"/>
    </xf>
    <xf numFmtId="168" fontId="30" fillId="0" borderId="27" xfId="0" applyNumberFormat="1" applyFont="1" applyBorder="1" applyAlignment="1" applyProtection="1">
      <alignment horizontal="center" vertical="center" wrapText="1"/>
      <protection locked="0"/>
    </xf>
    <xf numFmtId="0" fontId="20" fillId="0" borderId="0" xfId="0" applyFont="1" applyAlignment="1" applyProtection="1">
      <alignment horizontal="center" vertical="center"/>
      <protection hidden="1"/>
    </xf>
    <xf numFmtId="168" fontId="29" fillId="0" borderId="29" xfId="0" applyNumberFormat="1" applyFont="1" applyBorder="1" applyAlignment="1" applyProtection="1">
      <alignment horizontal="center" vertical="center"/>
      <protection hidden="1"/>
    </xf>
    <xf numFmtId="168" fontId="30" fillId="0" borderId="25" xfId="0" applyNumberFormat="1" applyFont="1" applyBorder="1" applyAlignment="1" applyProtection="1">
      <alignment horizontal="center" vertical="center" wrapText="1"/>
      <protection locked="0"/>
    </xf>
    <xf numFmtId="20" fontId="15" fillId="0" borderId="0" xfId="0" applyNumberFormat="1" applyFont="1" applyAlignment="1" applyProtection="1">
      <alignment horizontal="center" vertical="center"/>
      <protection locked="0"/>
    </xf>
    <xf numFmtId="0" fontId="31" fillId="0" borderId="12" xfId="0" applyFont="1" applyBorder="1" applyAlignment="1" applyProtection="1">
      <alignment horizontal="center" vertical="center" wrapText="1"/>
      <protection locked="0"/>
    </xf>
    <xf numFmtId="168" fontId="31" fillId="0" borderId="12" xfId="0" applyNumberFormat="1" applyFont="1" applyBorder="1" applyAlignment="1" applyProtection="1">
      <alignment horizontal="center" vertical="center" wrapText="1"/>
      <protection hidden="1"/>
    </xf>
    <xf numFmtId="168" fontId="31" fillId="0" borderId="12" xfId="0" applyNumberFormat="1" applyFont="1" applyBorder="1" applyAlignment="1" applyProtection="1">
      <alignment horizontal="center" vertical="center" wrapText="1"/>
      <protection locked="0"/>
    </xf>
    <xf numFmtId="0" fontId="31" fillId="6" borderId="12" xfId="0" applyFont="1" applyFill="1" applyBorder="1" applyAlignment="1" applyProtection="1">
      <alignment horizontal="center" vertical="center" wrapText="1"/>
      <protection locked="0"/>
    </xf>
    <xf numFmtId="168" fontId="31" fillId="6" borderId="12" xfId="0" applyNumberFormat="1" applyFont="1" applyFill="1" applyBorder="1" applyAlignment="1" applyProtection="1">
      <alignment horizontal="center" vertical="center" wrapText="1"/>
      <protection hidden="1"/>
    </xf>
    <xf numFmtId="168" fontId="31" fillId="6" borderId="12" xfId="0" applyNumberFormat="1" applyFont="1" applyFill="1" applyBorder="1" applyAlignment="1" applyProtection="1">
      <alignment horizontal="center" vertical="center" wrapText="1"/>
      <protection locked="0"/>
    </xf>
    <xf numFmtId="0" fontId="31" fillId="0" borderId="8" xfId="0" applyFont="1" applyBorder="1" applyAlignment="1" applyProtection="1">
      <alignment horizontal="center" vertical="center" wrapText="1"/>
      <protection locked="0"/>
    </xf>
    <xf numFmtId="168" fontId="31" fillId="0" borderId="8" xfId="0" applyNumberFormat="1" applyFont="1" applyBorder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horizontal="center" vertical="top" wrapText="1"/>
      <protection locked="0"/>
    </xf>
    <xf numFmtId="0" fontId="24" fillId="0" borderId="0" xfId="0" applyFont="1" applyAlignment="1" applyProtection="1">
      <alignment horizontal="center" vertical="top"/>
      <protection locked="0"/>
    </xf>
    <xf numFmtId="168" fontId="31" fillId="0" borderId="8" xfId="0" applyNumberFormat="1" applyFont="1" applyBorder="1" applyAlignment="1" applyProtection="1">
      <alignment horizontal="center" vertical="center" wrapText="1"/>
      <protection hidden="1"/>
    </xf>
    <xf numFmtId="0" fontId="3" fillId="0" borderId="12" xfId="0" applyFont="1" applyBorder="1" applyAlignment="1" applyProtection="1">
      <alignment horizontal="center" vertical="center"/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49" fontId="26" fillId="0" borderId="30" xfId="0" applyNumberFormat="1" applyFont="1" applyBorder="1" applyAlignment="1">
      <alignment vertical="center"/>
    </xf>
    <xf numFmtId="0" fontId="26" fillId="0" borderId="31" xfId="0" applyFont="1" applyBorder="1" applyAlignment="1">
      <alignment horizontal="left" vertical="center"/>
    </xf>
    <xf numFmtId="168" fontId="29" fillId="0" borderId="32" xfId="0" applyNumberFormat="1" applyFont="1" applyBorder="1" applyAlignment="1">
      <alignment horizontal="center" vertical="center" wrapText="1"/>
    </xf>
    <xf numFmtId="49" fontId="26" fillId="0" borderId="33" xfId="0" applyNumberFormat="1" applyFont="1" applyBorder="1" applyAlignment="1">
      <alignment vertical="center"/>
    </xf>
    <xf numFmtId="0" fontId="26" fillId="0" borderId="34" xfId="0" applyFont="1" applyBorder="1" applyAlignment="1">
      <alignment horizontal="left" vertical="center"/>
    </xf>
    <xf numFmtId="168" fontId="29" fillId="0" borderId="35" xfId="0" applyNumberFormat="1" applyFont="1" applyBorder="1" applyAlignment="1">
      <alignment horizontal="center" vertical="center" wrapText="1"/>
    </xf>
    <xf numFmtId="49" fontId="26" fillId="0" borderId="36" xfId="0" applyNumberFormat="1" applyFont="1" applyBorder="1" applyAlignment="1">
      <alignment vertical="center"/>
    </xf>
    <xf numFmtId="49" fontId="26" fillId="0" borderId="37" xfId="0" applyNumberFormat="1" applyFont="1" applyBorder="1" applyAlignment="1">
      <alignment vertical="center"/>
    </xf>
    <xf numFmtId="49" fontId="26" fillId="0" borderId="38" xfId="0" applyNumberFormat="1" applyFont="1" applyBorder="1" applyAlignment="1">
      <alignment horizontal="left" vertical="center" wrapText="1"/>
    </xf>
    <xf numFmtId="0" fontId="26" fillId="0" borderId="39" xfId="0" applyFont="1" applyBorder="1" applyAlignment="1">
      <alignment horizontal="left" vertical="center" wrapText="1"/>
    </xf>
    <xf numFmtId="168" fontId="29" fillId="0" borderId="40" xfId="0" applyNumberFormat="1" applyFont="1" applyBorder="1" applyAlignment="1">
      <alignment horizontal="center" vertical="center" wrapText="1"/>
    </xf>
    <xf numFmtId="49" fontId="26" fillId="0" borderId="14" xfId="0" applyNumberFormat="1" applyFont="1" applyBorder="1" applyAlignment="1">
      <alignment horizontal="left" vertical="center" wrapText="1"/>
    </xf>
    <xf numFmtId="0" fontId="26" fillId="0" borderId="15" xfId="0" applyFont="1" applyBorder="1" applyAlignment="1">
      <alignment horizontal="left" vertical="center" wrapText="1"/>
    </xf>
    <xf numFmtId="168" fontId="29" fillId="0" borderId="41" xfId="0" applyNumberFormat="1" applyFont="1" applyBorder="1" applyAlignment="1">
      <alignment horizontal="center" vertical="center" wrapText="1"/>
    </xf>
    <xf numFmtId="1" fontId="26" fillId="0" borderId="14" xfId="0" applyNumberFormat="1" applyFont="1" applyBorder="1" applyAlignment="1">
      <alignment horizontal="left" vertical="center" wrapText="1"/>
    </xf>
    <xf numFmtId="168" fontId="29" fillId="0" borderId="43" xfId="0" applyNumberFormat="1" applyFont="1" applyBorder="1" applyAlignment="1">
      <alignment horizontal="center" vertical="center" wrapText="1"/>
    </xf>
    <xf numFmtId="168" fontId="29" fillId="0" borderId="44" xfId="0" applyNumberFormat="1" applyFont="1" applyBorder="1" applyAlignment="1">
      <alignment horizontal="center" vertical="center" wrapText="1"/>
    </xf>
    <xf numFmtId="168" fontId="29" fillId="0" borderId="45" xfId="0" applyNumberFormat="1" applyFont="1" applyBorder="1" applyAlignment="1">
      <alignment horizontal="center" vertical="center" wrapText="1"/>
    </xf>
    <xf numFmtId="168" fontId="29" fillId="0" borderId="46" xfId="0" applyNumberFormat="1" applyFont="1" applyBorder="1" applyAlignment="1">
      <alignment horizontal="center" vertical="center" wrapText="1"/>
    </xf>
    <xf numFmtId="49" fontId="26" fillId="0" borderId="30" xfId="0" applyNumberFormat="1" applyFont="1" applyBorder="1"/>
    <xf numFmtId="0" fontId="26" fillId="0" borderId="31" xfId="0" applyFont="1" applyBorder="1" applyAlignment="1">
      <alignment horizontal="left"/>
    </xf>
    <xf numFmtId="168" fontId="29" fillId="0" borderId="47" xfId="0" applyNumberFormat="1" applyFont="1" applyBorder="1" applyAlignment="1">
      <alignment horizontal="center" vertical="center" wrapText="1"/>
    </xf>
    <xf numFmtId="168" fontId="29" fillId="0" borderId="48" xfId="0" applyNumberFormat="1" applyFont="1" applyBorder="1" applyAlignment="1">
      <alignment horizontal="center" vertical="center" wrapText="1"/>
    </xf>
    <xf numFmtId="168" fontId="29" fillId="0" borderId="49" xfId="0" applyNumberFormat="1" applyFont="1" applyBorder="1" applyAlignment="1">
      <alignment horizontal="center" vertical="center" wrapText="1"/>
    </xf>
    <xf numFmtId="168" fontId="29" fillId="0" borderId="50" xfId="0" applyNumberFormat="1" applyFont="1" applyBorder="1" applyAlignment="1">
      <alignment horizontal="center" vertical="center" wrapText="1"/>
    </xf>
    <xf numFmtId="49" fontId="26" fillId="0" borderId="33" xfId="0" applyNumberFormat="1" applyFont="1" applyBorder="1"/>
    <xf numFmtId="0" fontId="26" fillId="0" borderId="34" xfId="0" applyFont="1" applyBorder="1" applyAlignment="1">
      <alignment horizontal="left"/>
    </xf>
    <xf numFmtId="168" fontId="29" fillId="0" borderId="51" xfId="0" applyNumberFormat="1" applyFont="1" applyBorder="1" applyAlignment="1">
      <alignment horizontal="center" vertical="center" wrapText="1"/>
    </xf>
    <xf numFmtId="168" fontId="29" fillId="0" borderId="52" xfId="0" applyNumberFormat="1" applyFont="1" applyBorder="1" applyAlignment="1">
      <alignment horizontal="center" vertical="center" wrapText="1"/>
    </xf>
    <xf numFmtId="49" fontId="26" fillId="0" borderId="36" xfId="0" applyNumberFormat="1" applyFont="1" applyBorder="1"/>
    <xf numFmtId="49" fontId="26" fillId="0" borderId="37" xfId="0" applyNumberFormat="1" applyFont="1" applyBorder="1"/>
    <xf numFmtId="168" fontId="29" fillId="0" borderId="53" xfId="0" applyNumberFormat="1" applyFont="1" applyBorder="1" applyAlignment="1">
      <alignment horizontal="center" vertical="center"/>
    </xf>
    <xf numFmtId="168" fontId="29" fillId="0" borderId="48" xfId="0" applyNumberFormat="1" applyFont="1" applyBorder="1" applyAlignment="1">
      <alignment horizontal="center" vertical="center"/>
    </xf>
    <xf numFmtId="168" fontId="29" fillId="0" borderId="47" xfId="0" applyNumberFormat="1" applyFont="1" applyBorder="1" applyAlignment="1">
      <alignment horizontal="center" vertical="center"/>
    </xf>
    <xf numFmtId="168" fontId="29" fillId="0" borderId="54" xfId="0" applyNumberFormat="1" applyFont="1" applyBorder="1" applyAlignment="1">
      <alignment horizontal="center" vertical="center" wrapText="1"/>
    </xf>
    <xf numFmtId="49" fontId="26" fillId="0" borderId="14" xfId="0" applyNumberFormat="1" applyFont="1" applyBorder="1" applyAlignment="1">
      <alignment horizontal="left" wrapText="1"/>
    </xf>
    <xf numFmtId="0" fontId="26" fillId="0" borderId="15" xfId="0" applyFont="1" applyBorder="1" applyAlignment="1">
      <alignment horizontal="left" wrapText="1"/>
    </xf>
    <xf numFmtId="168" fontId="29" fillId="2" borderId="53" xfId="0" applyNumberFormat="1" applyFont="1" applyFill="1" applyBorder="1" applyAlignment="1">
      <alignment horizontal="center" vertical="center"/>
    </xf>
    <xf numFmtId="168" fontId="29" fillId="2" borderId="51" xfId="0" applyNumberFormat="1" applyFont="1" applyFill="1" applyBorder="1" applyAlignment="1">
      <alignment horizontal="center" vertical="center"/>
    </xf>
    <xf numFmtId="168" fontId="29" fillId="0" borderId="51" xfId="0" applyNumberFormat="1" applyFont="1" applyBorder="1" applyAlignment="1">
      <alignment horizontal="center" vertical="center"/>
    </xf>
    <xf numFmtId="168" fontId="29" fillId="0" borderId="55" xfId="0" applyNumberFormat="1" applyFont="1" applyBorder="1" applyAlignment="1">
      <alignment horizontal="center" vertical="center" wrapText="1"/>
    </xf>
    <xf numFmtId="168" fontId="29" fillId="0" borderId="26" xfId="0" applyNumberFormat="1" applyFont="1" applyBorder="1" applyAlignment="1">
      <alignment horizontal="center" vertical="center" wrapText="1"/>
    </xf>
    <xf numFmtId="168" fontId="29" fillId="0" borderId="27" xfId="0" applyNumberFormat="1" applyFont="1" applyBorder="1" applyAlignment="1">
      <alignment horizontal="center" vertical="center" wrapText="1"/>
    </xf>
    <xf numFmtId="1" fontId="26" fillId="0" borderId="14" xfId="0" applyNumberFormat="1" applyFont="1" applyBorder="1" applyAlignment="1">
      <alignment horizontal="left" wrapText="1"/>
    </xf>
    <xf numFmtId="0" fontId="27" fillId="0" borderId="10" xfId="0" applyFont="1" applyBorder="1" applyAlignment="1" applyProtection="1">
      <alignment horizontal="center" vertical="center" wrapText="1"/>
      <protection locked="0"/>
    </xf>
    <xf numFmtId="0" fontId="27" fillId="0" borderId="58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/>
      <protection hidden="1"/>
    </xf>
    <xf numFmtId="49" fontId="28" fillId="0" borderId="10" xfId="0" applyNumberFormat="1" applyFont="1" applyBorder="1" applyAlignment="1" applyProtection="1">
      <alignment horizontal="center" vertical="center" wrapText="1"/>
      <protection locked="0"/>
    </xf>
    <xf numFmtId="49" fontId="28" fillId="0" borderId="58" xfId="0" applyNumberFormat="1" applyFont="1" applyBorder="1" applyAlignment="1" applyProtection="1">
      <alignment horizontal="center" vertical="center" wrapText="1"/>
      <protection locked="0"/>
    </xf>
    <xf numFmtId="49" fontId="28" fillId="0" borderId="59" xfId="0" applyNumberFormat="1" applyFont="1" applyBorder="1" applyAlignment="1" applyProtection="1">
      <alignment horizontal="center" vertical="center" wrapText="1"/>
      <protection locked="0"/>
    </xf>
    <xf numFmtId="49" fontId="28" fillId="0" borderId="11" xfId="0" applyNumberFormat="1" applyFont="1" applyBorder="1" applyAlignment="1" applyProtection="1">
      <alignment horizontal="center" vertical="center" wrapText="1"/>
      <protection locked="0"/>
    </xf>
    <xf numFmtId="49" fontId="28" fillId="0" borderId="9" xfId="0" applyNumberFormat="1" applyFont="1" applyBorder="1" applyAlignment="1" applyProtection="1">
      <alignment horizontal="center" vertical="center" wrapText="1"/>
      <protection locked="0"/>
    </xf>
    <xf numFmtId="168" fontId="29" fillId="0" borderId="32" xfId="0" applyNumberFormat="1" applyFont="1" applyBorder="1" applyAlignment="1">
      <alignment horizontal="center" wrapText="1"/>
    </xf>
    <xf numFmtId="168" fontId="29" fillId="0" borderId="43" xfId="0" applyNumberFormat="1" applyFont="1" applyBorder="1" applyAlignment="1">
      <alignment horizontal="center" wrapText="1"/>
    </xf>
    <xf numFmtId="168" fontId="29" fillId="0" borderId="44" xfId="0" applyNumberFormat="1" applyFont="1" applyBorder="1" applyAlignment="1">
      <alignment horizontal="center" wrapText="1"/>
    </xf>
    <xf numFmtId="168" fontId="29" fillId="0" borderId="46" xfId="0" applyNumberFormat="1" applyFont="1" applyBorder="1" applyAlignment="1">
      <alignment horizontal="center" wrapText="1"/>
    </xf>
    <xf numFmtId="168" fontId="29" fillId="0" borderId="60" xfId="0" applyNumberFormat="1" applyFont="1" applyBorder="1" applyAlignment="1">
      <alignment horizontal="center" wrapText="1"/>
    </xf>
    <xf numFmtId="168" fontId="29" fillId="0" borderId="47" xfId="0" applyNumberFormat="1" applyFont="1" applyBorder="1" applyAlignment="1">
      <alignment horizontal="center" wrapText="1"/>
    </xf>
    <xf numFmtId="168" fontId="29" fillId="0" borderId="48" xfId="0" applyNumberFormat="1" applyFont="1" applyBorder="1" applyAlignment="1">
      <alignment horizontal="center" wrapText="1"/>
    </xf>
    <xf numFmtId="168" fontId="29" fillId="0" borderId="50" xfId="0" applyNumberFormat="1" applyFont="1" applyBorder="1" applyAlignment="1">
      <alignment horizontal="center" wrapText="1"/>
    </xf>
    <xf numFmtId="168" fontId="29" fillId="0" borderId="35" xfId="0" applyNumberFormat="1" applyFont="1" applyBorder="1" applyAlignment="1">
      <alignment horizontal="center" wrapText="1"/>
    </xf>
    <xf numFmtId="168" fontId="29" fillId="0" borderId="51" xfId="0" applyNumberFormat="1" applyFont="1" applyBorder="1" applyAlignment="1">
      <alignment horizontal="center" wrapText="1"/>
    </xf>
    <xf numFmtId="168" fontId="29" fillId="0" borderId="41" xfId="0" applyNumberFormat="1" applyFont="1" applyBorder="1" applyAlignment="1">
      <alignment horizontal="center" wrapText="1"/>
    </xf>
    <xf numFmtId="168" fontId="29" fillId="0" borderId="47" xfId="0" applyNumberFormat="1" applyFont="1" applyBorder="1" applyAlignment="1">
      <alignment horizontal="center"/>
    </xf>
    <xf numFmtId="168" fontId="29" fillId="0" borderId="48" xfId="0" applyNumberFormat="1" applyFont="1" applyBorder="1" applyAlignment="1">
      <alignment horizontal="center"/>
    </xf>
    <xf numFmtId="168" fontId="29" fillId="0" borderId="55" xfId="0" applyNumberFormat="1" applyFont="1" applyBorder="1" applyAlignment="1">
      <alignment horizontal="center" wrapText="1"/>
    </xf>
    <xf numFmtId="168" fontId="29" fillId="2" borderId="53" xfId="0" applyNumberFormat="1" applyFont="1" applyFill="1" applyBorder="1" applyAlignment="1">
      <alignment horizontal="center"/>
    </xf>
    <xf numFmtId="168" fontId="29" fillId="2" borderId="51" xfId="0" applyNumberFormat="1" applyFont="1" applyFill="1" applyBorder="1" applyAlignment="1">
      <alignment horizontal="center"/>
    </xf>
    <xf numFmtId="168" fontId="29" fillId="0" borderId="53" xfId="0" applyNumberFormat="1" applyFont="1" applyBorder="1" applyAlignment="1">
      <alignment horizontal="center"/>
    </xf>
    <xf numFmtId="168" fontId="29" fillId="0" borderId="51" xfId="0" applyNumberFormat="1" applyFont="1" applyBorder="1" applyAlignment="1">
      <alignment horizontal="center"/>
    </xf>
    <xf numFmtId="0" fontId="3" fillId="5" borderId="0" xfId="0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168" fontId="29" fillId="0" borderId="26" xfId="0" applyNumberFormat="1" applyFont="1" applyBorder="1" applyAlignment="1">
      <alignment horizontal="center" wrapText="1"/>
    </xf>
    <xf numFmtId="168" fontId="29" fillId="0" borderId="27" xfId="0" applyNumberFormat="1" applyFont="1" applyBorder="1" applyAlignment="1">
      <alignment horizontal="center" wrapText="1"/>
    </xf>
    <xf numFmtId="0" fontId="32" fillId="0" borderId="11" xfId="0" applyFont="1" applyBorder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right"/>
      <protection locked="0"/>
    </xf>
    <xf numFmtId="0" fontId="7" fillId="2" borderId="0" xfId="0" applyFont="1" applyFill="1" applyAlignment="1" applyProtection="1">
      <alignment horizontal="center" vertical="top" wrapText="1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33" fillId="2" borderId="0" xfId="0" applyFont="1" applyFill="1" applyAlignment="1" applyProtection="1">
      <alignment horizontal="center" vertical="center"/>
      <protection locked="0"/>
    </xf>
    <xf numFmtId="0" fontId="5" fillId="4" borderId="12" xfId="0" applyFont="1" applyFill="1" applyBorder="1" applyAlignment="1" applyProtection="1">
      <alignment horizontal="center" vertical="center"/>
      <protection locked="0"/>
    </xf>
    <xf numFmtId="0" fontId="5" fillId="5" borderId="12" xfId="0" applyFont="1" applyFill="1" applyBorder="1" applyAlignment="1" applyProtection="1">
      <alignment horizontal="center" vertical="center"/>
      <protection locked="0"/>
    </xf>
    <xf numFmtId="0" fontId="6" fillId="2" borderId="12" xfId="0" applyFont="1" applyFill="1" applyBorder="1" applyAlignment="1" applyProtection="1">
      <alignment horizontal="center" vertical="center"/>
      <protection locked="0"/>
    </xf>
    <xf numFmtId="0" fontId="6" fillId="2" borderId="12" xfId="0" applyFont="1" applyFill="1" applyBorder="1" applyAlignment="1" applyProtection="1">
      <alignment horizontal="center" vertical="center"/>
      <protection hidden="1"/>
    </xf>
    <xf numFmtId="0" fontId="5" fillId="2" borderId="12" xfId="0" applyFont="1" applyFill="1" applyBorder="1" applyAlignment="1" applyProtection="1">
      <alignment horizontal="center" vertical="center"/>
      <protection hidden="1"/>
    </xf>
    <xf numFmtId="0" fontId="34" fillId="2" borderId="12" xfId="1" applyFont="1" applyFill="1" applyBorder="1" applyAlignment="1" applyProtection="1">
      <alignment horizontal="center" vertical="center"/>
      <protection locked="0"/>
    </xf>
    <xf numFmtId="0" fontId="9" fillId="2" borderId="3" xfId="0" applyFont="1" applyFill="1" applyBorder="1" applyAlignment="1" applyProtection="1">
      <alignment vertical="center"/>
      <protection locked="0"/>
    </xf>
    <xf numFmtId="0" fontId="6" fillId="2" borderId="3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 vertical="center"/>
      <protection locked="0"/>
    </xf>
    <xf numFmtId="0" fontId="36" fillId="2" borderId="0" xfId="1" applyFont="1" applyFill="1" applyBorder="1" applyAlignment="1" applyProtection="1">
      <protection locked="0"/>
    </xf>
    <xf numFmtId="0" fontId="17" fillId="2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right"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vertical="center"/>
      <protection locked="0"/>
    </xf>
    <xf numFmtId="14" fontId="9" fillId="0" borderId="0" xfId="0" applyNumberFormat="1" applyFont="1" applyAlignment="1" applyProtection="1">
      <alignment horizontal="center" vertical="center"/>
      <protection locked="0"/>
    </xf>
    <xf numFmtId="166" fontId="9" fillId="0" borderId="0" xfId="0" applyNumberFormat="1" applyFont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33" fillId="2" borderId="12" xfId="0" applyFont="1" applyFill="1" applyBorder="1" applyAlignment="1" applyProtection="1">
      <alignment horizontal="center" vertical="center"/>
      <protection hidden="1"/>
    </xf>
    <xf numFmtId="0" fontId="38" fillId="2" borderId="0" xfId="0" applyFont="1" applyFill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Protection="1">
      <protection locked="0"/>
    </xf>
    <xf numFmtId="0" fontId="2" fillId="2" borderId="3" xfId="0" applyFont="1" applyFill="1" applyBorder="1" applyProtection="1">
      <protection locked="0"/>
    </xf>
    <xf numFmtId="0" fontId="33" fillId="2" borderId="0" xfId="0" applyFont="1" applyFill="1" applyAlignment="1" applyProtection="1">
      <alignment vertical="center"/>
      <protection locked="0"/>
    </xf>
    <xf numFmtId="0" fontId="20" fillId="2" borderId="0" xfId="0" applyFont="1" applyFill="1" applyAlignment="1" applyProtection="1">
      <alignment horizontal="center" vertical="center"/>
      <protection locked="0"/>
    </xf>
    <xf numFmtId="14" fontId="17" fillId="0" borderId="0" xfId="0" applyNumberFormat="1" applyFont="1" applyAlignment="1" applyProtection="1">
      <alignment horizontal="left" vertical="center"/>
      <protection locked="0"/>
    </xf>
    <xf numFmtId="14" fontId="17" fillId="2" borderId="0" xfId="0" applyNumberFormat="1" applyFont="1" applyFill="1" applyAlignment="1" applyProtection="1">
      <alignment horizontal="left" vertical="center"/>
      <protection locked="0"/>
    </xf>
    <xf numFmtId="14" fontId="20" fillId="2" borderId="0" xfId="0" applyNumberFormat="1" applyFont="1" applyFill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center" wrapText="1"/>
      <protection locked="0"/>
    </xf>
    <xf numFmtId="0" fontId="38" fillId="0" borderId="0" xfId="0" applyFont="1" applyAlignment="1" applyProtection="1">
      <alignment horizontal="center" vertical="center"/>
      <protection locked="0"/>
    </xf>
    <xf numFmtId="14" fontId="20" fillId="0" borderId="0" xfId="0" applyNumberFormat="1" applyFont="1" applyAlignment="1" applyProtection="1">
      <alignment horizontal="left" vertical="center"/>
      <protection locked="0"/>
    </xf>
    <xf numFmtId="0" fontId="19" fillId="0" borderId="0" xfId="1" applyFont="1" applyBorder="1" applyAlignment="1" applyProtection="1">
      <protection locked="0"/>
    </xf>
    <xf numFmtId="49" fontId="26" fillId="2" borderId="14" xfId="0" applyNumberFormat="1" applyFont="1" applyFill="1" applyBorder="1" applyAlignment="1" applyProtection="1">
      <alignment horizontal="left" vertical="center" wrapText="1"/>
      <protection locked="0"/>
    </xf>
    <xf numFmtId="0" fontId="26" fillId="2" borderId="15" xfId="0" applyFont="1" applyFill="1" applyBorder="1" applyAlignment="1" applyProtection="1">
      <alignment horizontal="left" vertical="center" wrapText="1"/>
      <protection locked="0"/>
    </xf>
    <xf numFmtId="168" fontId="29" fillId="2" borderId="24" xfId="0" applyNumberFormat="1" applyFont="1" applyFill="1" applyBorder="1" applyAlignment="1" applyProtection="1">
      <alignment horizontal="center" vertical="center" wrapText="1"/>
      <protection locked="0"/>
    </xf>
    <xf numFmtId="168" fontId="29" fillId="2" borderId="25" xfId="0" applyNumberFormat="1" applyFont="1" applyFill="1" applyBorder="1" applyAlignment="1" applyProtection="1">
      <alignment horizontal="center" vertical="center" wrapText="1"/>
      <protection hidden="1"/>
    </xf>
    <xf numFmtId="168" fontId="29" fillId="2" borderId="26" xfId="0" applyNumberFormat="1" applyFont="1" applyFill="1" applyBorder="1" applyAlignment="1" applyProtection="1">
      <alignment horizontal="center" vertical="center" wrapText="1"/>
      <protection locked="0"/>
    </xf>
    <xf numFmtId="168" fontId="29" fillId="2" borderId="27" xfId="0" applyNumberFormat="1" applyFont="1" applyFill="1" applyBorder="1" applyAlignment="1" applyProtection="1">
      <alignment horizontal="center" vertical="center" wrapText="1"/>
      <protection locked="0"/>
    </xf>
    <xf numFmtId="168" fontId="29" fillId="2" borderId="24" xfId="0" applyNumberFormat="1" applyFont="1" applyFill="1" applyBorder="1" applyAlignment="1" applyProtection="1">
      <alignment horizontal="center" vertical="center"/>
      <protection hidden="1"/>
    </xf>
    <xf numFmtId="168" fontId="29" fillId="2" borderId="25" xfId="0" applyNumberFormat="1" applyFont="1" applyFill="1" applyBorder="1" applyAlignment="1" applyProtection="1">
      <alignment horizontal="center" vertical="center" wrapText="1"/>
      <protection locked="0"/>
    </xf>
    <xf numFmtId="0" fontId="29" fillId="2" borderId="28" xfId="0" applyFont="1" applyFill="1" applyBorder="1" applyAlignment="1" applyProtection="1">
      <alignment horizontal="center" vertical="center" wrapText="1"/>
      <protection locked="0"/>
    </xf>
    <xf numFmtId="168" fontId="29" fillId="0" borderId="24" xfId="0" applyNumberFormat="1" applyFont="1" applyBorder="1" applyAlignment="1" applyProtection="1">
      <alignment horizontal="center" vertical="center"/>
      <protection locked="0"/>
    </xf>
    <xf numFmtId="49" fontId="26" fillId="2" borderId="14" xfId="0" applyNumberFormat="1" applyFont="1" applyFill="1" applyBorder="1" applyAlignment="1" applyProtection="1">
      <alignment horizontal="center" vertical="center" wrapText="1"/>
      <protection locked="0"/>
    </xf>
    <xf numFmtId="0" fontId="26" fillId="2" borderId="15" xfId="0" applyFont="1" applyFill="1" applyBorder="1" applyAlignment="1" applyProtection="1">
      <alignment horizontal="center" vertical="center" wrapText="1"/>
      <protection locked="0"/>
    </xf>
    <xf numFmtId="168" fontId="30" fillId="2" borderId="24" xfId="0" applyNumberFormat="1" applyFont="1" applyFill="1" applyBorder="1" applyAlignment="1" applyProtection="1">
      <alignment horizontal="center" vertical="center" wrapText="1"/>
      <protection locked="0"/>
    </xf>
    <xf numFmtId="168" fontId="30" fillId="2" borderId="26" xfId="0" applyNumberFormat="1" applyFont="1" applyFill="1" applyBorder="1" applyAlignment="1" applyProtection="1">
      <alignment horizontal="center" vertical="center" wrapText="1"/>
      <protection locked="0"/>
    </xf>
    <xf numFmtId="168" fontId="30" fillId="2" borderId="27" xfId="0" applyNumberFormat="1" applyFont="1" applyFill="1" applyBorder="1" applyAlignment="1" applyProtection="1">
      <alignment horizontal="center" vertical="center" wrapText="1"/>
      <protection locked="0"/>
    </xf>
    <xf numFmtId="168" fontId="29" fillId="2" borderId="29" xfId="0" applyNumberFormat="1" applyFont="1" applyFill="1" applyBorder="1" applyAlignment="1" applyProtection="1">
      <alignment horizontal="center" vertical="center"/>
      <protection hidden="1"/>
    </xf>
    <xf numFmtId="168" fontId="30" fillId="2" borderId="25" xfId="0" applyNumberFormat="1" applyFont="1" applyFill="1" applyBorder="1" applyAlignment="1" applyProtection="1">
      <alignment horizontal="center" vertical="center" wrapText="1"/>
      <protection locked="0"/>
    </xf>
    <xf numFmtId="168" fontId="29" fillId="0" borderId="29" xfId="0" applyNumberFormat="1" applyFont="1" applyBorder="1" applyAlignment="1" applyProtection="1">
      <alignment horizontal="center" vertical="center"/>
      <protection locked="0"/>
    </xf>
    <xf numFmtId="168" fontId="39" fillId="0" borderId="0" xfId="0" applyNumberFormat="1" applyFont="1" applyAlignment="1" applyProtection="1">
      <alignment horizontal="center" vertical="center"/>
      <protection locked="0"/>
    </xf>
    <xf numFmtId="20" fontId="39" fillId="0" borderId="0" xfId="0" applyNumberFormat="1" applyFont="1" applyAlignment="1" applyProtection="1">
      <alignment horizontal="center" vertical="center"/>
      <protection locked="0"/>
    </xf>
    <xf numFmtId="20" fontId="39" fillId="2" borderId="0" xfId="0" applyNumberFormat="1" applyFont="1" applyFill="1" applyAlignment="1" applyProtection="1">
      <alignment horizontal="center" vertical="center"/>
      <protection locked="0"/>
    </xf>
    <xf numFmtId="0" fontId="31" fillId="2" borderId="12" xfId="0" applyFont="1" applyFill="1" applyBorder="1" applyAlignment="1" applyProtection="1">
      <alignment horizontal="center" vertical="center" wrapText="1"/>
      <protection locked="0"/>
    </xf>
    <xf numFmtId="168" fontId="31" fillId="2" borderId="12" xfId="0" applyNumberFormat="1" applyFont="1" applyFill="1" applyBorder="1" applyAlignment="1" applyProtection="1">
      <alignment horizontal="center" vertical="center" wrapText="1"/>
      <protection hidden="1"/>
    </xf>
    <xf numFmtId="168" fontId="31" fillId="2" borderId="12" xfId="0" applyNumberFormat="1" applyFont="1" applyFill="1" applyBorder="1" applyAlignment="1" applyProtection="1">
      <alignment horizontal="center" vertical="center" wrapText="1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168" fontId="15" fillId="0" borderId="0" xfId="0" applyNumberFormat="1" applyFont="1" applyAlignment="1" applyProtection="1">
      <alignment horizontal="center" vertical="center"/>
      <protection locked="0"/>
    </xf>
    <xf numFmtId="168" fontId="31" fillId="7" borderId="12" xfId="0" applyNumberFormat="1" applyFont="1" applyFill="1" applyBorder="1" applyAlignment="1" applyProtection="1">
      <alignment horizontal="center" vertical="center" wrapText="1"/>
      <protection hidden="1"/>
    </xf>
    <xf numFmtId="168" fontId="15" fillId="2" borderId="0" xfId="0" applyNumberFormat="1" applyFont="1" applyFill="1" applyAlignment="1" applyProtection="1">
      <alignment horizontal="center" vertical="center"/>
      <protection locked="0"/>
    </xf>
    <xf numFmtId="0" fontId="3" fillId="2" borderId="22" xfId="0" applyFont="1" applyFill="1" applyBorder="1" applyAlignment="1" applyProtection="1">
      <alignment horizontal="center" vertical="center"/>
      <protection locked="0"/>
    </xf>
    <xf numFmtId="0" fontId="39" fillId="2" borderId="0" xfId="0" applyFont="1" applyFill="1" applyAlignment="1" applyProtection="1">
      <alignment horizontal="center" vertical="center"/>
      <protection locked="0"/>
    </xf>
    <xf numFmtId="168" fontId="39" fillId="2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right"/>
      <protection locked="0"/>
    </xf>
    <xf numFmtId="0" fontId="7" fillId="0" borderId="0" xfId="0" applyFont="1" applyAlignment="1" applyProtection="1">
      <alignment horizontal="center" vertical="top" wrapText="1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36" fillId="0" borderId="0" xfId="1" applyFont="1" applyBorder="1" applyAlignment="1" applyProtection="1"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49" fontId="26" fillId="0" borderId="61" xfId="0" applyNumberFormat="1" applyFont="1" applyBorder="1" applyAlignment="1" applyProtection="1">
      <alignment horizontal="left" vertical="center" wrapText="1"/>
      <protection locked="0"/>
    </xf>
    <xf numFmtId="0" fontId="26" fillId="0" borderId="62" xfId="0" applyFont="1" applyBorder="1" applyAlignment="1" applyProtection="1">
      <alignment horizontal="left" vertical="center" wrapText="1"/>
      <protection locked="0"/>
    </xf>
    <xf numFmtId="20" fontId="39" fillId="0" borderId="0" xfId="0" applyNumberFormat="1" applyFont="1" applyProtection="1">
      <protection locked="0"/>
    </xf>
    <xf numFmtId="0" fontId="39" fillId="0" borderId="0" xfId="0" applyFont="1" applyProtection="1">
      <protection locked="0"/>
    </xf>
    <xf numFmtId="168" fontId="29" fillId="0" borderId="63" xfId="0" applyNumberFormat="1" applyFont="1" applyBorder="1" applyAlignment="1" applyProtection="1">
      <alignment horizontal="center" vertical="center" wrapText="1"/>
      <protection locked="0"/>
    </xf>
    <xf numFmtId="168" fontId="29" fillId="0" borderId="64" xfId="0" applyNumberFormat="1" applyFont="1" applyBorder="1" applyAlignment="1" applyProtection="1">
      <alignment horizontal="center" vertical="center" wrapText="1"/>
      <protection hidden="1"/>
    </xf>
    <xf numFmtId="168" fontId="29" fillId="0" borderId="65" xfId="0" applyNumberFormat="1" applyFont="1" applyBorder="1" applyAlignment="1" applyProtection="1">
      <alignment horizontal="center" vertical="center" wrapText="1"/>
      <protection locked="0"/>
    </xf>
    <xf numFmtId="168" fontId="29" fillId="0" borderId="66" xfId="0" applyNumberFormat="1" applyFont="1" applyBorder="1" applyAlignment="1" applyProtection="1">
      <alignment horizontal="center" vertical="center" wrapText="1"/>
      <protection locked="0"/>
    </xf>
    <xf numFmtId="168" fontId="29" fillId="0" borderId="63" xfId="0" applyNumberFormat="1" applyFont="1" applyBorder="1" applyAlignment="1" applyProtection="1">
      <alignment horizontal="center" vertical="center"/>
      <protection hidden="1"/>
    </xf>
    <xf numFmtId="168" fontId="29" fillId="0" borderId="64" xfId="0" applyNumberFormat="1" applyFont="1" applyBorder="1" applyAlignment="1" applyProtection="1">
      <alignment horizontal="center" vertical="center" wrapText="1"/>
      <protection locked="0"/>
    </xf>
    <xf numFmtId="0" fontId="29" fillId="0" borderId="67" xfId="0" applyFont="1" applyBorder="1" applyAlignment="1" applyProtection="1">
      <alignment horizontal="center" vertical="center" wrapText="1"/>
      <protection locked="0"/>
    </xf>
    <xf numFmtId="168" fontId="15" fillId="0" borderId="0" xfId="0" applyNumberFormat="1" applyFont="1" applyProtection="1">
      <protection locked="0"/>
    </xf>
    <xf numFmtId="49" fontId="26" fillId="0" borderId="61" xfId="0" applyNumberFormat="1" applyFont="1" applyBorder="1" applyAlignment="1" applyProtection="1">
      <alignment horizontal="center" vertical="center" wrapText="1"/>
      <protection locked="0"/>
    </xf>
    <xf numFmtId="0" fontId="26" fillId="0" borderId="62" xfId="0" applyFont="1" applyBorder="1" applyAlignment="1" applyProtection="1">
      <alignment horizontal="center" vertical="center" wrapText="1"/>
      <protection locked="0"/>
    </xf>
    <xf numFmtId="168" fontId="29" fillId="0" borderId="68" xfId="0" applyNumberFormat="1" applyFont="1" applyBorder="1" applyAlignment="1" applyProtection="1">
      <alignment horizontal="center" vertical="center"/>
      <protection hidden="1"/>
    </xf>
    <xf numFmtId="49" fontId="26" fillId="0" borderId="61" xfId="0" applyNumberFormat="1" applyFont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68" fontId="29" fillId="0" borderId="69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168" fontId="29" fillId="2" borderId="70" xfId="0" applyNumberFormat="1" applyFont="1" applyFill="1" applyBorder="1" applyAlignment="1">
      <alignment horizontal="center" vertical="center"/>
    </xf>
    <xf numFmtId="168" fontId="29" fillId="2" borderId="71" xfId="0" applyNumberFormat="1" applyFont="1" applyFill="1" applyBorder="1" applyAlignment="1">
      <alignment horizontal="center" vertical="center"/>
    </xf>
    <xf numFmtId="168" fontId="29" fillId="0" borderId="65" xfId="0" applyNumberFormat="1" applyFont="1" applyBorder="1" applyAlignment="1">
      <alignment horizontal="center" vertical="center" wrapText="1"/>
    </xf>
    <xf numFmtId="168" fontId="29" fillId="0" borderId="66" xfId="0" applyNumberFormat="1" applyFont="1" applyBorder="1" applyAlignment="1">
      <alignment horizontal="center" vertical="center" wrapText="1"/>
    </xf>
    <xf numFmtId="168" fontId="29" fillId="0" borderId="72" xfId="0" applyNumberFormat="1" applyFont="1" applyBorder="1" applyAlignment="1">
      <alignment horizontal="center" vertical="center" wrapText="1"/>
    </xf>
    <xf numFmtId="49" fontId="26" fillId="0" borderId="61" xfId="0" applyNumberFormat="1" applyFont="1" applyBorder="1" applyAlignment="1">
      <alignment horizontal="left" wrapText="1"/>
    </xf>
    <xf numFmtId="0" fontId="26" fillId="0" borderId="62" xfId="0" applyFont="1" applyBorder="1" applyAlignment="1">
      <alignment horizontal="left" wrapText="1"/>
    </xf>
    <xf numFmtId="168" fontId="3" fillId="0" borderId="0" xfId="0" applyNumberFormat="1" applyFont="1" applyAlignment="1">
      <alignment vertical="center"/>
    </xf>
    <xf numFmtId="0" fontId="3" fillId="0" borderId="0" xfId="0" applyFont="1"/>
    <xf numFmtId="0" fontId="26" fillId="0" borderId="73" xfId="0" applyFont="1" applyBorder="1" applyAlignment="1">
      <alignment horizontal="left" wrapText="1"/>
    </xf>
    <xf numFmtId="168" fontId="29" fillId="0" borderId="69" xfId="0" applyNumberFormat="1" applyFont="1" applyBorder="1" applyAlignment="1">
      <alignment horizontal="center" wrapText="1"/>
    </xf>
    <xf numFmtId="168" fontId="29" fillId="2" borderId="70" xfId="0" applyNumberFormat="1" applyFont="1" applyFill="1" applyBorder="1" applyAlignment="1">
      <alignment horizontal="center"/>
    </xf>
    <xf numFmtId="168" fontId="29" fillId="2" borderId="71" xfId="0" applyNumberFormat="1" applyFont="1" applyFill="1" applyBorder="1" applyAlignment="1">
      <alignment horizontal="center"/>
    </xf>
    <xf numFmtId="168" fontId="29" fillId="0" borderId="65" xfId="0" applyNumberFormat="1" applyFont="1" applyBorder="1" applyAlignment="1">
      <alignment horizontal="center" wrapText="1"/>
    </xf>
    <xf numFmtId="168" fontId="29" fillId="0" borderId="66" xfId="0" applyNumberFormat="1" applyFont="1" applyBorder="1" applyAlignment="1">
      <alignment horizontal="center" wrapText="1"/>
    </xf>
    <xf numFmtId="168" fontId="29" fillId="0" borderId="72" xfId="0" applyNumberFormat="1" applyFont="1" applyBorder="1" applyAlignment="1">
      <alignment horizontal="center" wrapText="1"/>
    </xf>
    <xf numFmtId="168" fontId="3" fillId="0" borderId="0" xfId="0" applyNumberFormat="1" applyFont="1"/>
    <xf numFmtId="20" fontId="3" fillId="0" borderId="0" xfId="0" applyNumberFormat="1" applyFont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5" fillId="3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right" vertical="center"/>
      <protection locked="0"/>
    </xf>
    <xf numFmtId="164" fontId="5" fillId="3" borderId="1" xfId="0" applyNumberFormat="1" applyFont="1" applyFill="1" applyBorder="1" applyAlignment="1" applyProtection="1">
      <alignment horizontal="left" vertical="center"/>
      <protection locked="0"/>
    </xf>
    <xf numFmtId="0" fontId="3" fillId="4" borderId="0" xfId="0" applyFont="1" applyFill="1" applyAlignment="1" applyProtection="1">
      <alignment horizontal="center"/>
      <protection locked="0"/>
    </xf>
    <xf numFmtId="0" fontId="24" fillId="0" borderId="0" xfId="0" applyFont="1" applyAlignment="1" applyProtection="1">
      <alignment horizontal="center" vertical="center" wrapText="1"/>
      <protection locked="0"/>
    </xf>
    <xf numFmtId="0" fontId="6" fillId="0" borderId="9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25" fillId="0" borderId="9" xfId="0" applyFont="1" applyBorder="1" applyAlignment="1" applyProtection="1">
      <alignment horizontal="center" vertical="center"/>
      <protection locked="0"/>
    </xf>
    <xf numFmtId="0" fontId="25" fillId="0" borderId="42" xfId="0" applyFont="1" applyBorder="1" applyAlignment="1" applyProtection="1">
      <alignment horizontal="center" vertical="center"/>
      <protection locked="0"/>
    </xf>
    <xf numFmtId="0" fontId="27" fillId="0" borderId="56" xfId="0" applyFont="1" applyBorder="1" applyAlignment="1" applyProtection="1">
      <alignment horizontal="center" vertical="center" wrapText="1"/>
      <protection locked="0"/>
    </xf>
    <xf numFmtId="0" fontId="27" fillId="0" borderId="57" xfId="0" applyFont="1" applyBorder="1" applyAlignment="1" applyProtection="1">
      <alignment horizontal="center" vertical="center" wrapText="1"/>
      <protection locked="0"/>
    </xf>
    <xf numFmtId="168" fontId="27" fillId="0" borderId="10" xfId="0" applyNumberFormat="1" applyFont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7" fillId="0" borderId="8" xfId="0" applyFont="1" applyBorder="1" applyAlignment="1" applyProtection="1">
      <alignment horizontal="center" vertical="center" wrapText="1"/>
      <protection locked="0"/>
    </xf>
    <xf numFmtId="0" fontId="17" fillId="0" borderId="5" xfId="0" applyFont="1" applyBorder="1" applyAlignment="1" applyProtection="1">
      <alignment horizontal="center" vertical="center"/>
      <protection locked="0"/>
    </xf>
    <xf numFmtId="0" fontId="17" fillId="0" borderId="8" xfId="0" applyFont="1" applyBorder="1" applyAlignment="1" applyProtection="1">
      <alignment horizontal="center" vertical="center"/>
      <protection locked="0"/>
    </xf>
    <xf numFmtId="0" fontId="25" fillId="0" borderId="16" xfId="0" applyFont="1" applyBorder="1" applyAlignment="1" applyProtection="1">
      <alignment horizontal="center" vertical="center" wrapText="1"/>
      <protection locked="0"/>
    </xf>
    <xf numFmtId="0" fontId="25" fillId="0" borderId="19" xfId="0" applyFont="1" applyBorder="1" applyAlignment="1" applyProtection="1">
      <alignment horizontal="center" vertical="center" wrapText="1"/>
      <protection locked="0"/>
    </xf>
    <xf numFmtId="0" fontId="27" fillId="0" borderId="18" xfId="0" applyFont="1" applyBorder="1" applyAlignment="1" applyProtection="1">
      <alignment horizontal="center" vertical="center" wrapText="1"/>
      <protection locked="0"/>
    </xf>
    <xf numFmtId="0" fontId="27" fillId="0" borderId="21" xfId="0" applyFont="1" applyBorder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7" fillId="2" borderId="3" xfId="0" applyFont="1" applyFill="1" applyBorder="1" applyAlignment="1" applyProtection="1">
      <alignment horizontal="left" vertical="top"/>
      <protection locked="0"/>
    </xf>
    <xf numFmtId="0" fontId="7" fillId="2" borderId="0" xfId="0" applyFont="1" applyFill="1" applyAlignment="1" applyProtection="1">
      <alignment horizontal="left" vertical="top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5" fillId="5" borderId="12" xfId="0" applyFont="1" applyFill="1" applyBorder="1" applyAlignment="1" applyProtection="1">
      <alignment horizontal="center" vertical="center"/>
      <protection locked="0"/>
    </xf>
    <xf numFmtId="0" fontId="5" fillId="5" borderId="9" xfId="0" applyFont="1" applyFill="1" applyBorder="1" applyAlignment="1" applyProtection="1">
      <alignment horizontal="center" vertical="center"/>
      <protection locked="0"/>
    </xf>
    <xf numFmtId="0" fontId="5" fillId="5" borderId="10" xfId="0" applyFont="1" applyFill="1" applyBorder="1" applyAlignment="1" applyProtection="1">
      <alignment horizontal="center" vertical="center"/>
      <protection locked="0"/>
    </xf>
    <xf numFmtId="0" fontId="5" fillId="5" borderId="11" xfId="0" applyFont="1" applyFill="1" applyBorder="1" applyAlignment="1" applyProtection="1">
      <alignment horizontal="center" vertical="center"/>
      <protection locked="0"/>
    </xf>
    <xf numFmtId="0" fontId="33" fillId="2" borderId="9" xfId="0" applyFont="1" applyFill="1" applyBorder="1" applyAlignment="1" applyProtection="1">
      <alignment horizontal="center" vertical="center"/>
      <protection locked="0"/>
    </xf>
    <xf numFmtId="0" fontId="33" fillId="2" borderId="11" xfId="0" applyFont="1" applyFill="1" applyBorder="1" applyAlignment="1" applyProtection="1">
      <alignment horizontal="center" vertical="center"/>
      <protection locked="0"/>
    </xf>
    <xf numFmtId="0" fontId="33" fillId="2" borderId="9" xfId="0" applyFont="1" applyFill="1" applyBorder="1" applyAlignment="1" applyProtection="1">
      <alignment horizontal="center" vertical="center"/>
      <protection hidden="1"/>
    </xf>
    <xf numFmtId="0" fontId="33" fillId="2" borderId="10" xfId="0" applyFont="1" applyFill="1" applyBorder="1" applyAlignment="1" applyProtection="1">
      <alignment horizontal="center" vertical="center"/>
      <protection hidden="1"/>
    </xf>
    <xf numFmtId="0" fontId="33" fillId="2" borderId="11" xfId="0" applyFont="1" applyFill="1" applyBorder="1" applyAlignment="1" applyProtection="1">
      <alignment horizontal="center" vertic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2" fillId="2" borderId="10" xfId="0" applyFont="1" applyFill="1" applyBorder="1" applyAlignment="1" applyProtection="1">
      <alignment horizontal="center" vertical="center"/>
      <protection hidden="1"/>
    </xf>
    <xf numFmtId="0" fontId="2" fillId="2" borderId="11" xfId="0" applyFont="1" applyFill="1" applyBorder="1" applyAlignment="1" applyProtection="1">
      <alignment horizontal="center" vertical="center"/>
      <protection hidden="1"/>
    </xf>
    <xf numFmtId="0" fontId="35" fillId="2" borderId="0" xfId="1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9" fillId="2" borderId="3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7" fillId="0" borderId="0" xfId="0" applyFont="1" applyAlignment="1" applyProtection="1">
      <alignment horizontal="right" vertical="center"/>
      <protection locked="0"/>
    </xf>
    <xf numFmtId="0" fontId="37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0" fontId="8" fillId="0" borderId="8" xfId="0" applyFont="1" applyBorder="1" applyAlignment="1" applyProtection="1">
      <alignment horizontal="center" vertical="center" wrapText="1"/>
      <protection locked="0"/>
    </xf>
    <xf numFmtId="0" fontId="17" fillId="2" borderId="5" xfId="0" applyFont="1" applyFill="1" applyBorder="1" applyAlignment="1" applyProtection="1">
      <alignment horizontal="center" vertical="center"/>
      <protection locked="0"/>
    </xf>
    <xf numFmtId="0" fontId="17" fillId="2" borderId="8" xfId="0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27" fillId="0" borderId="17" xfId="0" applyFont="1" applyBorder="1" applyAlignment="1" applyProtection="1">
      <alignment horizontal="center" vertical="center"/>
      <protection locked="0"/>
    </xf>
    <xf numFmtId="0" fontId="27" fillId="0" borderId="16" xfId="0" applyFont="1" applyBorder="1" applyAlignment="1" applyProtection="1">
      <alignment horizontal="center" vertical="center"/>
      <protection locked="0"/>
    </xf>
    <xf numFmtId="0" fontId="27" fillId="0" borderId="20" xfId="0" applyFont="1" applyBorder="1" applyAlignment="1" applyProtection="1">
      <alignment horizontal="center" vertical="center"/>
      <protection locked="0"/>
    </xf>
    <xf numFmtId="0" fontId="27" fillId="0" borderId="19" xfId="0" applyFont="1" applyBorder="1" applyAlignment="1" applyProtection="1">
      <alignment horizontal="center" vertical="center"/>
      <protection locked="0"/>
    </xf>
    <xf numFmtId="168" fontId="27" fillId="0" borderId="17" xfId="0" applyNumberFormat="1" applyFont="1" applyBorder="1" applyAlignment="1" applyProtection="1">
      <alignment horizontal="center" vertical="center" wrapText="1"/>
      <protection locked="0"/>
    </xf>
    <xf numFmtId="168" fontId="27" fillId="0" borderId="16" xfId="0" applyNumberFormat="1" applyFont="1" applyBorder="1" applyAlignment="1" applyProtection="1">
      <alignment horizontal="center" vertical="center" wrapText="1"/>
      <protection locked="0"/>
    </xf>
    <xf numFmtId="168" fontId="27" fillId="0" borderId="20" xfId="0" applyNumberFormat="1" applyFont="1" applyBorder="1" applyAlignment="1" applyProtection="1">
      <alignment horizontal="center" vertical="center" wrapText="1"/>
      <protection locked="0"/>
    </xf>
    <xf numFmtId="168" fontId="27" fillId="0" borderId="19" xfId="0" applyNumberFormat="1" applyFont="1" applyBorder="1" applyAlignment="1" applyProtection="1">
      <alignment horizontal="center" vertical="center" wrapText="1"/>
      <protection locked="0"/>
    </xf>
    <xf numFmtId="0" fontId="3" fillId="5" borderId="0" xfId="0" applyFont="1" applyFill="1" applyAlignment="1" applyProtection="1">
      <alignment horizontal="center" vertical="top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</cellXfs>
  <cellStyles count="2">
    <cellStyle name="Hyperlink" xfId="1" builtinId="8"/>
    <cellStyle name="Normal" xfId="0" builtinId="0"/>
  </cellStyles>
  <dxfs count="20"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1554480</xdr:colOff>
      <xdr:row>534</xdr:row>
      <xdr:rowOff>0</xdr:rowOff>
    </xdr:from>
    <xdr:to>
      <xdr:col>11</xdr:col>
      <xdr:colOff>16937</xdr:colOff>
      <xdr:row>537</xdr:row>
      <xdr:rowOff>0</xdr:rowOff>
    </xdr:to>
    <xdr:grpSp>
      <xdr:nvGrpSpPr>
        <xdr:cNvPr id="3" name="Group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764306" y="70242043"/>
          <a:ext cx="2559588" cy="381000"/>
          <a:chOff x="1333600" y="0"/>
          <a:chExt cx="4196611" cy="577922"/>
        </a:xfrm>
      </xdr:grpSpPr>
      <xdr:pic>
        <xdr:nvPicPr>
          <xdr:cNvPr id="4" name="Picture 253" descr="logo deped city gawa ko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" name="Picture 254" descr="logo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623</xdr:row>
      <xdr:rowOff>0</xdr:rowOff>
    </xdr:from>
    <xdr:to>
      <xdr:col>11</xdr:col>
      <xdr:colOff>16937</xdr:colOff>
      <xdr:row>626</xdr:row>
      <xdr:rowOff>0</xdr:rowOff>
    </xdr:to>
    <xdr:grpSp>
      <xdr:nvGrpSpPr>
        <xdr:cNvPr id="6" name="Group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764306" y="81627870"/>
          <a:ext cx="2559588" cy="381000"/>
          <a:chOff x="1333600" y="0"/>
          <a:chExt cx="4196611" cy="577922"/>
        </a:xfrm>
      </xdr:grpSpPr>
      <xdr:pic>
        <xdr:nvPicPr>
          <xdr:cNvPr id="7" name="Picture 253" descr="logo deped city gawa ko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8" name="Picture 254" descr="logo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712</xdr:row>
      <xdr:rowOff>0</xdr:rowOff>
    </xdr:from>
    <xdr:to>
      <xdr:col>11</xdr:col>
      <xdr:colOff>16937</xdr:colOff>
      <xdr:row>715</xdr:row>
      <xdr:rowOff>0</xdr:rowOff>
    </xdr:to>
    <xdr:grpSp>
      <xdr:nvGrpSpPr>
        <xdr:cNvPr id="9" name="Group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1764306" y="93013696"/>
          <a:ext cx="2559588" cy="381000"/>
          <a:chOff x="1333600" y="0"/>
          <a:chExt cx="4196611" cy="577922"/>
        </a:xfrm>
      </xdr:grpSpPr>
      <xdr:pic>
        <xdr:nvPicPr>
          <xdr:cNvPr id="10" name="Picture 253" descr="logo deped city gawa ko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1" name="Picture 254" descr="logo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801</xdr:row>
      <xdr:rowOff>0</xdr:rowOff>
    </xdr:from>
    <xdr:to>
      <xdr:col>11</xdr:col>
      <xdr:colOff>16937</xdr:colOff>
      <xdr:row>804</xdr:row>
      <xdr:rowOff>0</xdr:rowOff>
    </xdr:to>
    <xdr:grpSp>
      <xdr:nvGrpSpPr>
        <xdr:cNvPr id="12" name="Group 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764306" y="104399522"/>
          <a:ext cx="2559588" cy="381000"/>
          <a:chOff x="1333600" y="0"/>
          <a:chExt cx="4196611" cy="577922"/>
        </a:xfrm>
      </xdr:grpSpPr>
      <xdr:pic>
        <xdr:nvPicPr>
          <xdr:cNvPr id="13" name="Picture 253" descr="logo deped city gawa ko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4" name="Picture 254" descr="logo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890</xdr:row>
      <xdr:rowOff>0</xdr:rowOff>
    </xdr:from>
    <xdr:to>
      <xdr:col>11</xdr:col>
      <xdr:colOff>16937</xdr:colOff>
      <xdr:row>893</xdr:row>
      <xdr:rowOff>0</xdr:rowOff>
    </xdr:to>
    <xdr:grpSp>
      <xdr:nvGrpSpPr>
        <xdr:cNvPr id="15" name="Group 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1764306" y="115785348"/>
          <a:ext cx="2559588" cy="381000"/>
          <a:chOff x="1333600" y="0"/>
          <a:chExt cx="4196611" cy="577922"/>
        </a:xfrm>
      </xdr:grpSpPr>
      <xdr:pic>
        <xdr:nvPicPr>
          <xdr:cNvPr id="16" name="Picture 253" descr="logo deped city gawa ko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7" name="Picture 254" descr="logo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979</xdr:row>
      <xdr:rowOff>0</xdr:rowOff>
    </xdr:from>
    <xdr:to>
      <xdr:col>11</xdr:col>
      <xdr:colOff>16937</xdr:colOff>
      <xdr:row>982</xdr:row>
      <xdr:rowOff>0</xdr:rowOff>
    </xdr:to>
    <xdr:grpSp>
      <xdr:nvGrpSpPr>
        <xdr:cNvPr id="18" name="Group 6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1764306" y="127171174"/>
          <a:ext cx="2559588" cy="381000"/>
          <a:chOff x="1333600" y="0"/>
          <a:chExt cx="4196611" cy="577922"/>
        </a:xfrm>
      </xdr:grpSpPr>
      <xdr:pic>
        <xdr:nvPicPr>
          <xdr:cNvPr id="19" name="Picture 253" descr="logo deped city gawa ko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0" name="Picture 254" descr="logo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1068</xdr:row>
      <xdr:rowOff>0</xdr:rowOff>
    </xdr:from>
    <xdr:to>
      <xdr:col>11</xdr:col>
      <xdr:colOff>16937</xdr:colOff>
      <xdr:row>1071</xdr:row>
      <xdr:rowOff>0</xdr:rowOff>
    </xdr:to>
    <xdr:grpSp>
      <xdr:nvGrpSpPr>
        <xdr:cNvPr id="21" name="Group 6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1764306" y="138557000"/>
          <a:ext cx="2559588" cy="381000"/>
          <a:chOff x="1333600" y="0"/>
          <a:chExt cx="4196611" cy="577922"/>
        </a:xfrm>
      </xdr:grpSpPr>
      <xdr:pic>
        <xdr:nvPicPr>
          <xdr:cNvPr id="22" name="Picture 253" descr="logo deped city gawa ko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3" name="Picture 254" descr="logo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1157</xdr:row>
      <xdr:rowOff>0</xdr:rowOff>
    </xdr:from>
    <xdr:to>
      <xdr:col>11</xdr:col>
      <xdr:colOff>16937</xdr:colOff>
      <xdr:row>1160</xdr:row>
      <xdr:rowOff>0</xdr:rowOff>
    </xdr:to>
    <xdr:grpSp>
      <xdr:nvGrpSpPr>
        <xdr:cNvPr id="24" name="Group 6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1764306" y="149942826"/>
          <a:ext cx="2559588" cy="381000"/>
          <a:chOff x="1333600" y="0"/>
          <a:chExt cx="4196611" cy="577922"/>
        </a:xfrm>
      </xdr:grpSpPr>
      <xdr:pic>
        <xdr:nvPicPr>
          <xdr:cNvPr id="25" name="Picture 253" descr="logo deped city gawa ko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6" name="Picture 254" descr="logo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1246</xdr:row>
      <xdr:rowOff>0</xdr:rowOff>
    </xdr:from>
    <xdr:to>
      <xdr:col>11</xdr:col>
      <xdr:colOff>16937</xdr:colOff>
      <xdr:row>1249</xdr:row>
      <xdr:rowOff>0</xdr:rowOff>
    </xdr:to>
    <xdr:grpSp>
      <xdr:nvGrpSpPr>
        <xdr:cNvPr id="27" name="Group 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/>
      </xdr:nvGrpSpPr>
      <xdr:grpSpPr>
        <a:xfrm>
          <a:off x="1764306" y="161328652"/>
          <a:ext cx="2559588" cy="381000"/>
          <a:chOff x="1333600" y="0"/>
          <a:chExt cx="4196611" cy="577922"/>
        </a:xfrm>
      </xdr:grpSpPr>
      <xdr:pic>
        <xdr:nvPicPr>
          <xdr:cNvPr id="28" name="Picture 253" descr="logo deped city gawa ko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9" name="Picture 254" descr="logo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1335</xdr:row>
      <xdr:rowOff>0</xdr:rowOff>
    </xdr:from>
    <xdr:to>
      <xdr:col>11</xdr:col>
      <xdr:colOff>16937</xdr:colOff>
      <xdr:row>1338</xdr:row>
      <xdr:rowOff>0</xdr:rowOff>
    </xdr:to>
    <xdr:grpSp>
      <xdr:nvGrpSpPr>
        <xdr:cNvPr id="30" name="Group 6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/>
      </xdr:nvGrpSpPr>
      <xdr:grpSpPr>
        <a:xfrm>
          <a:off x="1764306" y="172714478"/>
          <a:ext cx="2559588" cy="381000"/>
          <a:chOff x="1333600" y="0"/>
          <a:chExt cx="4196611" cy="577922"/>
        </a:xfrm>
      </xdr:grpSpPr>
      <xdr:pic>
        <xdr:nvPicPr>
          <xdr:cNvPr id="31" name="Picture 253" descr="logo deped city gawa ko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32" name="Picture 254" descr="logo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1424</xdr:row>
      <xdr:rowOff>0</xdr:rowOff>
    </xdr:from>
    <xdr:to>
      <xdr:col>11</xdr:col>
      <xdr:colOff>16937</xdr:colOff>
      <xdr:row>1427</xdr:row>
      <xdr:rowOff>0</xdr:rowOff>
    </xdr:to>
    <xdr:grpSp>
      <xdr:nvGrpSpPr>
        <xdr:cNvPr id="33" name="Group 6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pSpPr/>
      </xdr:nvGrpSpPr>
      <xdr:grpSpPr>
        <a:xfrm>
          <a:off x="1764306" y="184100304"/>
          <a:ext cx="2559588" cy="381000"/>
          <a:chOff x="1333600" y="0"/>
          <a:chExt cx="4196611" cy="577922"/>
        </a:xfrm>
      </xdr:grpSpPr>
      <xdr:pic>
        <xdr:nvPicPr>
          <xdr:cNvPr id="34" name="Picture 253" descr="logo deped city gawa ko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35" name="Picture 254" descr="logo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1513</xdr:row>
      <xdr:rowOff>0</xdr:rowOff>
    </xdr:from>
    <xdr:to>
      <xdr:col>11</xdr:col>
      <xdr:colOff>16937</xdr:colOff>
      <xdr:row>1516</xdr:row>
      <xdr:rowOff>0</xdr:rowOff>
    </xdr:to>
    <xdr:grpSp>
      <xdr:nvGrpSpPr>
        <xdr:cNvPr id="36" name="Group 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pSpPr/>
      </xdr:nvGrpSpPr>
      <xdr:grpSpPr>
        <a:xfrm>
          <a:off x="1764306" y="195486130"/>
          <a:ext cx="2559588" cy="381000"/>
          <a:chOff x="1333600" y="0"/>
          <a:chExt cx="4196611" cy="577922"/>
        </a:xfrm>
      </xdr:grpSpPr>
      <xdr:pic>
        <xdr:nvPicPr>
          <xdr:cNvPr id="37" name="Picture 253" descr="logo deped city gawa ko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38" name="Picture 254" descr="logo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1602</xdr:row>
      <xdr:rowOff>0</xdr:rowOff>
    </xdr:from>
    <xdr:to>
      <xdr:col>11</xdr:col>
      <xdr:colOff>16937</xdr:colOff>
      <xdr:row>1605</xdr:row>
      <xdr:rowOff>0</xdr:rowOff>
    </xdr:to>
    <xdr:grpSp>
      <xdr:nvGrpSpPr>
        <xdr:cNvPr id="39" name="Group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pSpPr/>
      </xdr:nvGrpSpPr>
      <xdr:grpSpPr>
        <a:xfrm>
          <a:off x="1764306" y="206871957"/>
          <a:ext cx="2559588" cy="381000"/>
          <a:chOff x="1333600" y="0"/>
          <a:chExt cx="4196611" cy="577922"/>
        </a:xfrm>
      </xdr:grpSpPr>
      <xdr:pic>
        <xdr:nvPicPr>
          <xdr:cNvPr id="40" name="Picture 253" descr="logo deped city gawa ko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41" name="Picture 254" descr="logo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1691</xdr:row>
      <xdr:rowOff>0</xdr:rowOff>
    </xdr:from>
    <xdr:to>
      <xdr:col>11</xdr:col>
      <xdr:colOff>16937</xdr:colOff>
      <xdr:row>1694</xdr:row>
      <xdr:rowOff>0</xdr:rowOff>
    </xdr:to>
    <xdr:grpSp>
      <xdr:nvGrpSpPr>
        <xdr:cNvPr id="42" name="Group 6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pSpPr/>
      </xdr:nvGrpSpPr>
      <xdr:grpSpPr>
        <a:xfrm>
          <a:off x="1764306" y="218257783"/>
          <a:ext cx="2559588" cy="381000"/>
          <a:chOff x="1333600" y="0"/>
          <a:chExt cx="4196611" cy="577922"/>
        </a:xfrm>
      </xdr:grpSpPr>
      <xdr:pic>
        <xdr:nvPicPr>
          <xdr:cNvPr id="43" name="Picture 253" descr="logo deped city gawa ko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44" name="Picture 254" descr="logo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1780</xdr:row>
      <xdr:rowOff>0</xdr:rowOff>
    </xdr:from>
    <xdr:to>
      <xdr:col>11</xdr:col>
      <xdr:colOff>16937</xdr:colOff>
      <xdr:row>1783</xdr:row>
      <xdr:rowOff>0</xdr:rowOff>
    </xdr:to>
    <xdr:grpSp>
      <xdr:nvGrpSpPr>
        <xdr:cNvPr id="45" name="Group 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GrpSpPr/>
      </xdr:nvGrpSpPr>
      <xdr:grpSpPr>
        <a:xfrm>
          <a:off x="1764306" y="229643609"/>
          <a:ext cx="2559588" cy="381000"/>
          <a:chOff x="1333600" y="0"/>
          <a:chExt cx="4196611" cy="577922"/>
        </a:xfrm>
      </xdr:grpSpPr>
      <xdr:pic>
        <xdr:nvPicPr>
          <xdr:cNvPr id="46" name="Picture 253" descr="logo deped city gawa ko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47" name="Picture 254" descr="logo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1869</xdr:row>
      <xdr:rowOff>0</xdr:rowOff>
    </xdr:from>
    <xdr:to>
      <xdr:col>11</xdr:col>
      <xdr:colOff>16937</xdr:colOff>
      <xdr:row>1872</xdr:row>
      <xdr:rowOff>0</xdr:rowOff>
    </xdr:to>
    <xdr:grpSp>
      <xdr:nvGrpSpPr>
        <xdr:cNvPr id="48" name="Group 6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pSpPr/>
      </xdr:nvGrpSpPr>
      <xdr:grpSpPr>
        <a:xfrm>
          <a:off x="1764306" y="241029435"/>
          <a:ext cx="2559588" cy="381000"/>
          <a:chOff x="1333600" y="0"/>
          <a:chExt cx="4196611" cy="577922"/>
        </a:xfrm>
      </xdr:grpSpPr>
      <xdr:pic>
        <xdr:nvPicPr>
          <xdr:cNvPr id="49" name="Picture 253" descr="logo deped city gawa ko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0" name="Picture 254" descr="logo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1958</xdr:row>
      <xdr:rowOff>0</xdr:rowOff>
    </xdr:from>
    <xdr:to>
      <xdr:col>11</xdr:col>
      <xdr:colOff>16937</xdr:colOff>
      <xdr:row>1961</xdr:row>
      <xdr:rowOff>0</xdr:rowOff>
    </xdr:to>
    <xdr:grpSp>
      <xdr:nvGrpSpPr>
        <xdr:cNvPr id="51" name="Group 6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GrpSpPr/>
      </xdr:nvGrpSpPr>
      <xdr:grpSpPr>
        <a:xfrm>
          <a:off x="1764306" y="252415261"/>
          <a:ext cx="2559588" cy="381000"/>
          <a:chOff x="1333600" y="0"/>
          <a:chExt cx="4196611" cy="577922"/>
        </a:xfrm>
      </xdr:grpSpPr>
      <xdr:pic>
        <xdr:nvPicPr>
          <xdr:cNvPr id="52" name="Picture 253" descr="logo deped city gawa ko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3" name="Picture 254" descr="logo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534</xdr:row>
      <xdr:rowOff>0</xdr:rowOff>
    </xdr:from>
    <xdr:to>
      <xdr:col>11</xdr:col>
      <xdr:colOff>16937</xdr:colOff>
      <xdr:row>537</xdr:row>
      <xdr:rowOff>0</xdr:rowOff>
    </xdr:to>
    <xdr:grpSp>
      <xdr:nvGrpSpPr>
        <xdr:cNvPr id="54" name="Group 6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GrpSpPr/>
      </xdr:nvGrpSpPr>
      <xdr:grpSpPr>
        <a:xfrm>
          <a:off x="1764306" y="70242043"/>
          <a:ext cx="2559588" cy="381000"/>
          <a:chOff x="1333600" y="0"/>
          <a:chExt cx="4196611" cy="577922"/>
        </a:xfrm>
      </xdr:grpSpPr>
      <xdr:pic>
        <xdr:nvPicPr>
          <xdr:cNvPr id="55" name="Picture 253" descr="logo deped city gawa ko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6" name="Picture 254" descr="logo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534</xdr:row>
      <xdr:rowOff>0</xdr:rowOff>
    </xdr:from>
    <xdr:to>
      <xdr:col>11</xdr:col>
      <xdr:colOff>16937</xdr:colOff>
      <xdr:row>537</xdr:row>
      <xdr:rowOff>0</xdr:rowOff>
    </xdr:to>
    <xdr:grpSp>
      <xdr:nvGrpSpPr>
        <xdr:cNvPr id="57" name="Group 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/>
      </xdr:nvGrpSpPr>
      <xdr:grpSpPr>
        <a:xfrm>
          <a:off x="1764306" y="70242043"/>
          <a:ext cx="2559588" cy="381000"/>
          <a:chOff x="1333600" y="0"/>
          <a:chExt cx="4196611" cy="577922"/>
        </a:xfrm>
      </xdr:grpSpPr>
      <xdr:pic>
        <xdr:nvPicPr>
          <xdr:cNvPr id="58" name="Picture 253" descr="logo deped city gawa ko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9" name="Picture 254" descr="logo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534</xdr:row>
      <xdr:rowOff>0</xdr:rowOff>
    </xdr:from>
    <xdr:to>
      <xdr:col>11</xdr:col>
      <xdr:colOff>16937</xdr:colOff>
      <xdr:row>537</xdr:row>
      <xdr:rowOff>0</xdr:rowOff>
    </xdr:to>
    <xdr:grpSp>
      <xdr:nvGrpSpPr>
        <xdr:cNvPr id="60" name="Group 6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pSpPr/>
      </xdr:nvGrpSpPr>
      <xdr:grpSpPr>
        <a:xfrm>
          <a:off x="1764306" y="70242043"/>
          <a:ext cx="2559588" cy="381000"/>
          <a:chOff x="1333600" y="0"/>
          <a:chExt cx="4196611" cy="577922"/>
        </a:xfrm>
      </xdr:grpSpPr>
      <xdr:pic>
        <xdr:nvPicPr>
          <xdr:cNvPr id="61" name="Picture 253" descr="logo deped city gawa ko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62" name="Picture 254" descr="logo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534</xdr:row>
      <xdr:rowOff>0</xdr:rowOff>
    </xdr:from>
    <xdr:to>
      <xdr:col>11</xdr:col>
      <xdr:colOff>16937</xdr:colOff>
      <xdr:row>537</xdr:row>
      <xdr:rowOff>0</xdr:rowOff>
    </xdr:to>
    <xdr:grpSp>
      <xdr:nvGrpSpPr>
        <xdr:cNvPr id="63" name="Group 6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pSpPr/>
      </xdr:nvGrpSpPr>
      <xdr:grpSpPr>
        <a:xfrm>
          <a:off x="1764306" y="70242043"/>
          <a:ext cx="2559588" cy="381000"/>
          <a:chOff x="1333600" y="0"/>
          <a:chExt cx="4196611" cy="577922"/>
        </a:xfrm>
      </xdr:grpSpPr>
      <xdr:pic>
        <xdr:nvPicPr>
          <xdr:cNvPr id="64" name="Picture 253" descr="logo deped city gawa ko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65" name="Picture 254" descr="logo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623</xdr:row>
      <xdr:rowOff>0</xdr:rowOff>
    </xdr:from>
    <xdr:to>
      <xdr:col>11</xdr:col>
      <xdr:colOff>16937</xdr:colOff>
      <xdr:row>626</xdr:row>
      <xdr:rowOff>0</xdr:rowOff>
    </xdr:to>
    <xdr:grpSp>
      <xdr:nvGrpSpPr>
        <xdr:cNvPr id="66" name="Group 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GrpSpPr/>
      </xdr:nvGrpSpPr>
      <xdr:grpSpPr>
        <a:xfrm>
          <a:off x="1764306" y="81627870"/>
          <a:ext cx="2559588" cy="381000"/>
          <a:chOff x="1333600" y="0"/>
          <a:chExt cx="4196611" cy="577922"/>
        </a:xfrm>
      </xdr:grpSpPr>
      <xdr:pic>
        <xdr:nvPicPr>
          <xdr:cNvPr id="67" name="Picture 253" descr="logo deped city gawa ko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68" name="Picture 254" descr="logo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623</xdr:row>
      <xdr:rowOff>0</xdr:rowOff>
    </xdr:from>
    <xdr:to>
      <xdr:col>11</xdr:col>
      <xdr:colOff>16937</xdr:colOff>
      <xdr:row>626</xdr:row>
      <xdr:rowOff>0</xdr:rowOff>
    </xdr:to>
    <xdr:grpSp>
      <xdr:nvGrpSpPr>
        <xdr:cNvPr id="69" name="Group 6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pSpPr/>
      </xdr:nvGrpSpPr>
      <xdr:grpSpPr>
        <a:xfrm>
          <a:off x="1764306" y="81627870"/>
          <a:ext cx="2559588" cy="381000"/>
          <a:chOff x="1333600" y="0"/>
          <a:chExt cx="4196611" cy="577922"/>
        </a:xfrm>
      </xdr:grpSpPr>
      <xdr:pic>
        <xdr:nvPicPr>
          <xdr:cNvPr id="70" name="Picture 253" descr="logo deped city gawa ko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71" name="Picture 254" descr="logo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623</xdr:row>
      <xdr:rowOff>0</xdr:rowOff>
    </xdr:from>
    <xdr:to>
      <xdr:col>11</xdr:col>
      <xdr:colOff>16937</xdr:colOff>
      <xdr:row>626</xdr:row>
      <xdr:rowOff>0</xdr:rowOff>
    </xdr:to>
    <xdr:grpSp>
      <xdr:nvGrpSpPr>
        <xdr:cNvPr id="72" name="Group 6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GrpSpPr/>
      </xdr:nvGrpSpPr>
      <xdr:grpSpPr>
        <a:xfrm>
          <a:off x="1764306" y="81627870"/>
          <a:ext cx="2559588" cy="381000"/>
          <a:chOff x="1333600" y="0"/>
          <a:chExt cx="4196611" cy="577922"/>
        </a:xfrm>
      </xdr:grpSpPr>
      <xdr:pic>
        <xdr:nvPicPr>
          <xdr:cNvPr id="73" name="Picture 253" descr="logo deped city gawa ko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74" name="Picture 254" descr="logo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8</xdr:col>
      <xdr:colOff>0</xdr:colOff>
      <xdr:row>623</xdr:row>
      <xdr:rowOff>0</xdr:rowOff>
    </xdr:from>
    <xdr:to>
      <xdr:col>11</xdr:col>
      <xdr:colOff>16937</xdr:colOff>
      <xdr:row>626</xdr:row>
      <xdr:rowOff>0</xdr:rowOff>
    </xdr:to>
    <xdr:pic>
      <xdr:nvPicPr>
        <xdr:cNvPr id="75" name="Picture 254" descr="log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919220" y="83101815"/>
          <a:ext cx="404495" cy="388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1554480</xdr:colOff>
      <xdr:row>712</xdr:row>
      <xdr:rowOff>0</xdr:rowOff>
    </xdr:from>
    <xdr:to>
      <xdr:col>11</xdr:col>
      <xdr:colOff>16937</xdr:colOff>
      <xdr:row>715</xdr:row>
      <xdr:rowOff>0</xdr:rowOff>
    </xdr:to>
    <xdr:grpSp>
      <xdr:nvGrpSpPr>
        <xdr:cNvPr id="76" name="Group 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GrpSpPr/>
      </xdr:nvGrpSpPr>
      <xdr:grpSpPr>
        <a:xfrm>
          <a:off x="1764306" y="93013696"/>
          <a:ext cx="2559588" cy="381000"/>
          <a:chOff x="1333600" y="0"/>
          <a:chExt cx="4196611" cy="577922"/>
        </a:xfrm>
      </xdr:grpSpPr>
      <xdr:pic>
        <xdr:nvPicPr>
          <xdr:cNvPr id="77" name="Picture 253" descr="logo deped city gawa ko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78" name="Picture 254" descr="logo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712</xdr:row>
      <xdr:rowOff>0</xdr:rowOff>
    </xdr:from>
    <xdr:to>
      <xdr:col>11</xdr:col>
      <xdr:colOff>16937</xdr:colOff>
      <xdr:row>715</xdr:row>
      <xdr:rowOff>0</xdr:rowOff>
    </xdr:to>
    <xdr:grpSp>
      <xdr:nvGrpSpPr>
        <xdr:cNvPr id="79" name="Group 6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GrpSpPr/>
      </xdr:nvGrpSpPr>
      <xdr:grpSpPr>
        <a:xfrm>
          <a:off x="1764306" y="93013696"/>
          <a:ext cx="2559588" cy="381000"/>
          <a:chOff x="1333600" y="0"/>
          <a:chExt cx="4196611" cy="577922"/>
        </a:xfrm>
      </xdr:grpSpPr>
      <xdr:pic>
        <xdr:nvPicPr>
          <xdr:cNvPr id="80" name="Picture 253" descr="logo deped city gawa ko">
            <a:extLst>
              <a:ext uri="{FF2B5EF4-FFF2-40B4-BE49-F238E27FC236}">
                <a16:creationId xmlns:a16="http://schemas.microsoft.com/office/drawing/2014/main" id="{00000000-0008-0000-0000-00005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81" name="Picture 254" descr="logo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712</xdr:row>
      <xdr:rowOff>0</xdr:rowOff>
    </xdr:from>
    <xdr:to>
      <xdr:col>11</xdr:col>
      <xdr:colOff>16937</xdr:colOff>
      <xdr:row>715</xdr:row>
      <xdr:rowOff>0</xdr:rowOff>
    </xdr:to>
    <xdr:grpSp>
      <xdr:nvGrpSpPr>
        <xdr:cNvPr id="82" name="Group 6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GrpSpPr/>
      </xdr:nvGrpSpPr>
      <xdr:grpSpPr>
        <a:xfrm>
          <a:off x="1764306" y="93013696"/>
          <a:ext cx="2559588" cy="381000"/>
          <a:chOff x="1333600" y="0"/>
          <a:chExt cx="4196611" cy="577922"/>
        </a:xfrm>
      </xdr:grpSpPr>
      <xdr:pic>
        <xdr:nvPicPr>
          <xdr:cNvPr id="83" name="Picture 253" descr="logo deped city gawa ko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84" name="Picture 254" descr="logo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712</xdr:row>
      <xdr:rowOff>0</xdr:rowOff>
    </xdr:from>
    <xdr:to>
      <xdr:col>11</xdr:col>
      <xdr:colOff>16937</xdr:colOff>
      <xdr:row>715</xdr:row>
      <xdr:rowOff>0</xdr:rowOff>
    </xdr:to>
    <xdr:grpSp>
      <xdr:nvGrpSpPr>
        <xdr:cNvPr id="85" name="Group 6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GrpSpPr/>
      </xdr:nvGrpSpPr>
      <xdr:grpSpPr>
        <a:xfrm>
          <a:off x="1764306" y="93013696"/>
          <a:ext cx="2559588" cy="381000"/>
          <a:chOff x="1333600" y="0"/>
          <a:chExt cx="4196611" cy="577922"/>
        </a:xfrm>
      </xdr:grpSpPr>
      <xdr:pic>
        <xdr:nvPicPr>
          <xdr:cNvPr id="86" name="Picture 253" descr="logo deped city gawa ko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87" name="Picture 254" descr="logo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801</xdr:row>
      <xdr:rowOff>0</xdr:rowOff>
    </xdr:from>
    <xdr:to>
      <xdr:col>11</xdr:col>
      <xdr:colOff>16937</xdr:colOff>
      <xdr:row>804</xdr:row>
      <xdr:rowOff>0</xdr:rowOff>
    </xdr:to>
    <xdr:grpSp>
      <xdr:nvGrpSpPr>
        <xdr:cNvPr id="88" name="Group 6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/>
      </xdr:nvGrpSpPr>
      <xdr:grpSpPr>
        <a:xfrm>
          <a:off x="1764306" y="104399522"/>
          <a:ext cx="2559588" cy="381000"/>
          <a:chOff x="1333600" y="0"/>
          <a:chExt cx="4196611" cy="577922"/>
        </a:xfrm>
      </xdr:grpSpPr>
      <xdr:pic>
        <xdr:nvPicPr>
          <xdr:cNvPr id="89" name="Picture 253" descr="logo deped city gawa ko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90" name="Picture 254" descr="logo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801</xdr:row>
      <xdr:rowOff>0</xdr:rowOff>
    </xdr:from>
    <xdr:to>
      <xdr:col>11</xdr:col>
      <xdr:colOff>16937</xdr:colOff>
      <xdr:row>804</xdr:row>
      <xdr:rowOff>0</xdr:rowOff>
    </xdr:to>
    <xdr:grpSp>
      <xdr:nvGrpSpPr>
        <xdr:cNvPr id="91" name="Group 6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GrpSpPr/>
      </xdr:nvGrpSpPr>
      <xdr:grpSpPr>
        <a:xfrm>
          <a:off x="1764306" y="104399522"/>
          <a:ext cx="2559588" cy="381000"/>
          <a:chOff x="1333600" y="0"/>
          <a:chExt cx="4196611" cy="577922"/>
        </a:xfrm>
      </xdr:grpSpPr>
      <xdr:pic>
        <xdr:nvPicPr>
          <xdr:cNvPr id="92" name="Picture 253" descr="logo deped city gawa ko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93" name="Picture 254" descr="logo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801</xdr:row>
      <xdr:rowOff>0</xdr:rowOff>
    </xdr:from>
    <xdr:to>
      <xdr:col>11</xdr:col>
      <xdr:colOff>16937</xdr:colOff>
      <xdr:row>804</xdr:row>
      <xdr:rowOff>0</xdr:rowOff>
    </xdr:to>
    <xdr:grpSp>
      <xdr:nvGrpSpPr>
        <xdr:cNvPr id="94" name="Group 6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GrpSpPr/>
      </xdr:nvGrpSpPr>
      <xdr:grpSpPr>
        <a:xfrm>
          <a:off x="1764306" y="104399522"/>
          <a:ext cx="2559588" cy="381000"/>
          <a:chOff x="1333600" y="0"/>
          <a:chExt cx="4196611" cy="577922"/>
        </a:xfrm>
      </xdr:grpSpPr>
      <xdr:pic>
        <xdr:nvPicPr>
          <xdr:cNvPr id="95" name="Picture 253" descr="logo deped city gawa ko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96" name="Picture 254" descr="logo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801</xdr:row>
      <xdr:rowOff>0</xdr:rowOff>
    </xdr:from>
    <xdr:to>
      <xdr:col>11</xdr:col>
      <xdr:colOff>16937</xdr:colOff>
      <xdr:row>804</xdr:row>
      <xdr:rowOff>0</xdr:rowOff>
    </xdr:to>
    <xdr:grpSp>
      <xdr:nvGrpSpPr>
        <xdr:cNvPr id="97" name="Group 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GrpSpPr/>
      </xdr:nvGrpSpPr>
      <xdr:grpSpPr>
        <a:xfrm>
          <a:off x="1764306" y="104399522"/>
          <a:ext cx="2559588" cy="381000"/>
          <a:chOff x="1333600" y="0"/>
          <a:chExt cx="4196611" cy="577922"/>
        </a:xfrm>
      </xdr:grpSpPr>
      <xdr:pic>
        <xdr:nvPicPr>
          <xdr:cNvPr id="98" name="Picture 253" descr="logo deped city gawa ko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99" name="Picture 254" descr="logo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890</xdr:row>
      <xdr:rowOff>0</xdr:rowOff>
    </xdr:from>
    <xdr:to>
      <xdr:col>11</xdr:col>
      <xdr:colOff>16937</xdr:colOff>
      <xdr:row>893</xdr:row>
      <xdr:rowOff>0</xdr:rowOff>
    </xdr:to>
    <xdr:grpSp>
      <xdr:nvGrpSpPr>
        <xdr:cNvPr id="100" name="Group 6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GrpSpPr/>
      </xdr:nvGrpSpPr>
      <xdr:grpSpPr>
        <a:xfrm>
          <a:off x="1764306" y="115785348"/>
          <a:ext cx="2559588" cy="381000"/>
          <a:chOff x="1333600" y="0"/>
          <a:chExt cx="4196611" cy="577922"/>
        </a:xfrm>
      </xdr:grpSpPr>
      <xdr:pic>
        <xdr:nvPicPr>
          <xdr:cNvPr id="101" name="Picture 253" descr="logo deped city gawa ko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2" name="Picture 254" descr="logo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890</xdr:row>
      <xdr:rowOff>0</xdr:rowOff>
    </xdr:from>
    <xdr:to>
      <xdr:col>11</xdr:col>
      <xdr:colOff>16937</xdr:colOff>
      <xdr:row>893</xdr:row>
      <xdr:rowOff>0</xdr:rowOff>
    </xdr:to>
    <xdr:grpSp>
      <xdr:nvGrpSpPr>
        <xdr:cNvPr id="103" name="Group 6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GrpSpPr/>
      </xdr:nvGrpSpPr>
      <xdr:grpSpPr>
        <a:xfrm>
          <a:off x="1764306" y="115785348"/>
          <a:ext cx="2559588" cy="381000"/>
          <a:chOff x="1333600" y="0"/>
          <a:chExt cx="4196611" cy="577922"/>
        </a:xfrm>
      </xdr:grpSpPr>
      <xdr:pic>
        <xdr:nvPicPr>
          <xdr:cNvPr id="104" name="Picture 253" descr="logo deped city gawa ko">
            <a:extLst>
              <a:ext uri="{FF2B5EF4-FFF2-40B4-BE49-F238E27FC236}">
                <a16:creationId xmlns:a16="http://schemas.microsoft.com/office/drawing/2014/main" id="{00000000-0008-0000-0000-00006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5" name="Picture 254" descr="logo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890</xdr:row>
      <xdr:rowOff>0</xdr:rowOff>
    </xdr:from>
    <xdr:to>
      <xdr:col>11</xdr:col>
      <xdr:colOff>16937</xdr:colOff>
      <xdr:row>893</xdr:row>
      <xdr:rowOff>0</xdr:rowOff>
    </xdr:to>
    <xdr:grpSp>
      <xdr:nvGrpSpPr>
        <xdr:cNvPr id="106" name="Group 6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GrpSpPr/>
      </xdr:nvGrpSpPr>
      <xdr:grpSpPr>
        <a:xfrm>
          <a:off x="1764306" y="115785348"/>
          <a:ext cx="2559588" cy="381000"/>
          <a:chOff x="1333600" y="0"/>
          <a:chExt cx="4196611" cy="577922"/>
        </a:xfrm>
      </xdr:grpSpPr>
      <xdr:pic>
        <xdr:nvPicPr>
          <xdr:cNvPr id="107" name="Picture 253" descr="logo deped city gawa ko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8" name="Picture 254" descr="logo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890</xdr:row>
      <xdr:rowOff>0</xdr:rowOff>
    </xdr:from>
    <xdr:to>
      <xdr:col>11</xdr:col>
      <xdr:colOff>16937</xdr:colOff>
      <xdr:row>893</xdr:row>
      <xdr:rowOff>0</xdr:rowOff>
    </xdr:to>
    <xdr:grpSp>
      <xdr:nvGrpSpPr>
        <xdr:cNvPr id="109" name="Group 6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GrpSpPr/>
      </xdr:nvGrpSpPr>
      <xdr:grpSpPr>
        <a:xfrm>
          <a:off x="1764306" y="115785348"/>
          <a:ext cx="2559588" cy="381000"/>
          <a:chOff x="1333600" y="0"/>
          <a:chExt cx="4196611" cy="577922"/>
        </a:xfrm>
      </xdr:grpSpPr>
      <xdr:pic>
        <xdr:nvPicPr>
          <xdr:cNvPr id="110" name="Picture 253" descr="logo deped city gawa ko">
            <a:extLst>
              <a:ext uri="{FF2B5EF4-FFF2-40B4-BE49-F238E27FC236}">
                <a16:creationId xmlns:a16="http://schemas.microsoft.com/office/drawing/2014/main" id="{00000000-0008-0000-0000-00006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11" name="Picture 254" descr="logo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979</xdr:row>
      <xdr:rowOff>0</xdr:rowOff>
    </xdr:from>
    <xdr:to>
      <xdr:col>11</xdr:col>
      <xdr:colOff>16937</xdr:colOff>
      <xdr:row>982</xdr:row>
      <xdr:rowOff>0</xdr:rowOff>
    </xdr:to>
    <xdr:grpSp>
      <xdr:nvGrpSpPr>
        <xdr:cNvPr id="112" name="Group 6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GrpSpPr/>
      </xdr:nvGrpSpPr>
      <xdr:grpSpPr>
        <a:xfrm>
          <a:off x="1764306" y="127171174"/>
          <a:ext cx="2559588" cy="381000"/>
          <a:chOff x="1333600" y="0"/>
          <a:chExt cx="4196611" cy="577922"/>
        </a:xfrm>
      </xdr:grpSpPr>
      <xdr:pic>
        <xdr:nvPicPr>
          <xdr:cNvPr id="113" name="Picture 253" descr="logo deped city gawa ko">
            <a:extLst>
              <a:ext uri="{FF2B5EF4-FFF2-40B4-BE49-F238E27FC236}">
                <a16:creationId xmlns:a16="http://schemas.microsoft.com/office/drawing/2014/main" id="{00000000-0008-0000-0000-00007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14" name="Picture 254" descr="logo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979</xdr:row>
      <xdr:rowOff>0</xdr:rowOff>
    </xdr:from>
    <xdr:to>
      <xdr:col>11</xdr:col>
      <xdr:colOff>16937</xdr:colOff>
      <xdr:row>982</xdr:row>
      <xdr:rowOff>0</xdr:rowOff>
    </xdr:to>
    <xdr:grpSp>
      <xdr:nvGrpSpPr>
        <xdr:cNvPr id="115" name="Group 6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GrpSpPr/>
      </xdr:nvGrpSpPr>
      <xdr:grpSpPr>
        <a:xfrm>
          <a:off x="1764306" y="127171174"/>
          <a:ext cx="2559588" cy="381000"/>
          <a:chOff x="1333600" y="0"/>
          <a:chExt cx="4196611" cy="577922"/>
        </a:xfrm>
      </xdr:grpSpPr>
      <xdr:pic>
        <xdr:nvPicPr>
          <xdr:cNvPr id="116" name="Picture 253" descr="logo deped city gawa ko">
            <a:extLst>
              <a:ext uri="{FF2B5EF4-FFF2-40B4-BE49-F238E27FC236}">
                <a16:creationId xmlns:a16="http://schemas.microsoft.com/office/drawing/2014/main" id="{00000000-0008-0000-0000-00007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17" name="Picture 254" descr="logo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979</xdr:row>
      <xdr:rowOff>0</xdr:rowOff>
    </xdr:from>
    <xdr:to>
      <xdr:col>11</xdr:col>
      <xdr:colOff>16937</xdr:colOff>
      <xdr:row>982</xdr:row>
      <xdr:rowOff>0</xdr:rowOff>
    </xdr:to>
    <xdr:grpSp>
      <xdr:nvGrpSpPr>
        <xdr:cNvPr id="118" name="Group 6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GrpSpPr/>
      </xdr:nvGrpSpPr>
      <xdr:grpSpPr>
        <a:xfrm>
          <a:off x="1764306" y="127171174"/>
          <a:ext cx="2559588" cy="381000"/>
          <a:chOff x="1333600" y="0"/>
          <a:chExt cx="4196611" cy="577922"/>
        </a:xfrm>
      </xdr:grpSpPr>
      <xdr:pic>
        <xdr:nvPicPr>
          <xdr:cNvPr id="119" name="Picture 253" descr="logo deped city gawa ko">
            <a:extLst>
              <a:ext uri="{FF2B5EF4-FFF2-40B4-BE49-F238E27FC236}">
                <a16:creationId xmlns:a16="http://schemas.microsoft.com/office/drawing/2014/main" id="{00000000-0008-0000-0000-00007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0" name="Picture 254" descr="logo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979</xdr:row>
      <xdr:rowOff>0</xdr:rowOff>
    </xdr:from>
    <xdr:to>
      <xdr:col>11</xdr:col>
      <xdr:colOff>16937</xdr:colOff>
      <xdr:row>982</xdr:row>
      <xdr:rowOff>0</xdr:rowOff>
    </xdr:to>
    <xdr:grpSp>
      <xdr:nvGrpSpPr>
        <xdr:cNvPr id="121" name="Group 6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GrpSpPr/>
      </xdr:nvGrpSpPr>
      <xdr:grpSpPr>
        <a:xfrm>
          <a:off x="1764306" y="127171174"/>
          <a:ext cx="2559588" cy="381000"/>
          <a:chOff x="1333600" y="0"/>
          <a:chExt cx="4196611" cy="577922"/>
        </a:xfrm>
      </xdr:grpSpPr>
      <xdr:pic>
        <xdr:nvPicPr>
          <xdr:cNvPr id="122" name="Picture 253" descr="logo deped city gawa ko">
            <a:extLst>
              <a:ext uri="{FF2B5EF4-FFF2-40B4-BE49-F238E27FC236}">
                <a16:creationId xmlns:a16="http://schemas.microsoft.com/office/drawing/2014/main" id="{00000000-0008-0000-0000-00007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3" name="Picture 254" descr="logo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1068</xdr:row>
      <xdr:rowOff>0</xdr:rowOff>
    </xdr:from>
    <xdr:to>
      <xdr:col>11</xdr:col>
      <xdr:colOff>16937</xdr:colOff>
      <xdr:row>1071</xdr:row>
      <xdr:rowOff>0</xdr:rowOff>
    </xdr:to>
    <xdr:grpSp>
      <xdr:nvGrpSpPr>
        <xdr:cNvPr id="124" name="Group 6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GrpSpPr/>
      </xdr:nvGrpSpPr>
      <xdr:grpSpPr>
        <a:xfrm>
          <a:off x="1764306" y="138557000"/>
          <a:ext cx="2559588" cy="381000"/>
          <a:chOff x="1333600" y="0"/>
          <a:chExt cx="4196611" cy="577922"/>
        </a:xfrm>
      </xdr:grpSpPr>
      <xdr:pic>
        <xdr:nvPicPr>
          <xdr:cNvPr id="125" name="Picture 253" descr="logo deped city gawa ko">
            <a:extLst>
              <a:ext uri="{FF2B5EF4-FFF2-40B4-BE49-F238E27FC236}">
                <a16:creationId xmlns:a16="http://schemas.microsoft.com/office/drawing/2014/main" id="{00000000-0008-0000-0000-00007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6" name="Picture 254" descr="logo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1068</xdr:row>
      <xdr:rowOff>0</xdr:rowOff>
    </xdr:from>
    <xdr:to>
      <xdr:col>11</xdr:col>
      <xdr:colOff>16937</xdr:colOff>
      <xdr:row>1071</xdr:row>
      <xdr:rowOff>0</xdr:rowOff>
    </xdr:to>
    <xdr:grpSp>
      <xdr:nvGrpSpPr>
        <xdr:cNvPr id="127" name="Group 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GrpSpPr/>
      </xdr:nvGrpSpPr>
      <xdr:grpSpPr>
        <a:xfrm>
          <a:off x="1764306" y="138557000"/>
          <a:ext cx="2559588" cy="381000"/>
          <a:chOff x="1333600" y="0"/>
          <a:chExt cx="4196611" cy="577922"/>
        </a:xfrm>
      </xdr:grpSpPr>
      <xdr:pic>
        <xdr:nvPicPr>
          <xdr:cNvPr id="128" name="Picture 253" descr="logo deped city gawa ko">
            <a:extLst>
              <a:ext uri="{FF2B5EF4-FFF2-40B4-BE49-F238E27FC236}">
                <a16:creationId xmlns:a16="http://schemas.microsoft.com/office/drawing/2014/main" id="{00000000-0008-0000-0000-00008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9" name="Picture 254" descr="logo">
            <a:extLst>
              <a:ext uri="{FF2B5EF4-FFF2-40B4-BE49-F238E27FC236}">
                <a16:creationId xmlns:a16="http://schemas.microsoft.com/office/drawing/2014/main" id="{00000000-0008-0000-0000-00008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1068</xdr:row>
      <xdr:rowOff>0</xdr:rowOff>
    </xdr:from>
    <xdr:to>
      <xdr:col>11</xdr:col>
      <xdr:colOff>16937</xdr:colOff>
      <xdr:row>1071</xdr:row>
      <xdr:rowOff>0</xdr:rowOff>
    </xdr:to>
    <xdr:grpSp>
      <xdr:nvGrpSpPr>
        <xdr:cNvPr id="130" name="Group 6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GrpSpPr/>
      </xdr:nvGrpSpPr>
      <xdr:grpSpPr>
        <a:xfrm>
          <a:off x="1764306" y="138557000"/>
          <a:ext cx="2559588" cy="381000"/>
          <a:chOff x="1333600" y="0"/>
          <a:chExt cx="4196611" cy="577922"/>
        </a:xfrm>
      </xdr:grpSpPr>
      <xdr:pic>
        <xdr:nvPicPr>
          <xdr:cNvPr id="131" name="Picture 253" descr="logo deped city gawa ko">
            <a:extLst>
              <a:ext uri="{FF2B5EF4-FFF2-40B4-BE49-F238E27FC236}">
                <a16:creationId xmlns:a16="http://schemas.microsoft.com/office/drawing/2014/main" id="{00000000-0008-0000-0000-00008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32" name="Picture 254" descr="logo">
            <a:extLst>
              <a:ext uri="{FF2B5EF4-FFF2-40B4-BE49-F238E27FC236}">
                <a16:creationId xmlns:a16="http://schemas.microsoft.com/office/drawing/2014/main" id="{00000000-0008-0000-0000-00008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1068</xdr:row>
      <xdr:rowOff>0</xdr:rowOff>
    </xdr:from>
    <xdr:to>
      <xdr:col>11</xdr:col>
      <xdr:colOff>16937</xdr:colOff>
      <xdr:row>1071</xdr:row>
      <xdr:rowOff>0</xdr:rowOff>
    </xdr:to>
    <xdr:grpSp>
      <xdr:nvGrpSpPr>
        <xdr:cNvPr id="133" name="Group 6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GrpSpPr/>
      </xdr:nvGrpSpPr>
      <xdr:grpSpPr>
        <a:xfrm>
          <a:off x="1764306" y="138557000"/>
          <a:ext cx="2559588" cy="381000"/>
          <a:chOff x="1333600" y="0"/>
          <a:chExt cx="4196611" cy="577922"/>
        </a:xfrm>
      </xdr:grpSpPr>
      <xdr:pic>
        <xdr:nvPicPr>
          <xdr:cNvPr id="134" name="Picture 253" descr="logo deped city gawa ko">
            <a:extLst>
              <a:ext uri="{FF2B5EF4-FFF2-40B4-BE49-F238E27FC236}">
                <a16:creationId xmlns:a16="http://schemas.microsoft.com/office/drawing/2014/main" id="{00000000-0008-0000-0000-00008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35" name="Picture 254" descr="logo">
            <a:extLst>
              <a:ext uri="{FF2B5EF4-FFF2-40B4-BE49-F238E27FC236}">
                <a16:creationId xmlns:a16="http://schemas.microsoft.com/office/drawing/2014/main" id="{00000000-0008-0000-0000-00008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1157</xdr:row>
      <xdr:rowOff>0</xdr:rowOff>
    </xdr:from>
    <xdr:to>
      <xdr:col>11</xdr:col>
      <xdr:colOff>16937</xdr:colOff>
      <xdr:row>1160</xdr:row>
      <xdr:rowOff>0</xdr:rowOff>
    </xdr:to>
    <xdr:grpSp>
      <xdr:nvGrpSpPr>
        <xdr:cNvPr id="136" name="Group 6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GrpSpPr/>
      </xdr:nvGrpSpPr>
      <xdr:grpSpPr>
        <a:xfrm>
          <a:off x="1764306" y="149942826"/>
          <a:ext cx="2559588" cy="381000"/>
          <a:chOff x="1333600" y="0"/>
          <a:chExt cx="4196611" cy="577922"/>
        </a:xfrm>
      </xdr:grpSpPr>
      <xdr:pic>
        <xdr:nvPicPr>
          <xdr:cNvPr id="137" name="Picture 253" descr="logo deped city gawa ko">
            <a:extLst>
              <a:ext uri="{FF2B5EF4-FFF2-40B4-BE49-F238E27FC236}">
                <a16:creationId xmlns:a16="http://schemas.microsoft.com/office/drawing/2014/main" id="{00000000-0008-0000-0000-00008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38" name="Picture 254" descr="logo">
            <a:extLst>
              <a:ext uri="{FF2B5EF4-FFF2-40B4-BE49-F238E27FC236}">
                <a16:creationId xmlns:a16="http://schemas.microsoft.com/office/drawing/2014/main" id="{00000000-0008-0000-0000-00008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1157</xdr:row>
      <xdr:rowOff>0</xdr:rowOff>
    </xdr:from>
    <xdr:to>
      <xdr:col>11</xdr:col>
      <xdr:colOff>16937</xdr:colOff>
      <xdr:row>1160</xdr:row>
      <xdr:rowOff>0</xdr:rowOff>
    </xdr:to>
    <xdr:grpSp>
      <xdr:nvGrpSpPr>
        <xdr:cNvPr id="139" name="Group 6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GrpSpPr/>
      </xdr:nvGrpSpPr>
      <xdr:grpSpPr>
        <a:xfrm>
          <a:off x="1764306" y="149942826"/>
          <a:ext cx="2559588" cy="381000"/>
          <a:chOff x="1333600" y="0"/>
          <a:chExt cx="4196611" cy="577922"/>
        </a:xfrm>
      </xdr:grpSpPr>
      <xdr:pic>
        <xdr:nvPicPr>
          <xdr:cNvPr id="140" name="Picture 253" descr="logo deped city gawa ko">
            <a:extLst>
              <a:ext uri="{FF2B5EF4-FFF2-40B4-BE49-F238E27FC236}">
                <a16:creationId xmlns:a16="http://schemas.microsoft.com/office/drawing/2014/main" id="{00000000-0008-0000-0000-00008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41" name="Picture 254" descr="logo">
            <a:extLst>
              <a:ext uri="{FF2B5EF4-FFF2-40B4-BE49-F238E27FC236}">
                <a16:creationId xmlns:a16="http://schemas.microsoft.com/office/drawing/2014/main" id="{00000000-0008-0000-0000-00008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1157</xdr:row>
      <xdr:rowOff>0</xdr:rowOff>
    </xdr:from>
    <xdr:to>
      <xdr:col>11</xdr:col>
      <xdr:colOff>16937</xdr:colOff>
      <xdr:row>1160</xdr:row>
      <xdr:rowOff>0</xdr:rowOff>
    </xdr:to>
    <xdr:grpSp>
      <xdr:nvGrpSpPr>
        <xdr:cNvPr id="142" name="Group 6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GrpSpPr/>
      </xdr:nvGrpSpPr>
      <xdr:grpSpPr>
        <a:xfrm>
          <a:off x="1764306" y="149942826"/>
          <a:ext cx="2559588" cy="381000"/>
          <a:chOff x="1333600" y="0"/>
          <a:chExt cx="4196611" cy="577922"/>
        </a:xfrm>
      </xdr:grpSpPr>
      <xdr:pic>
        <xdr:nvPicPr>
          <xdr:cNvPr id="143" name="Picture 253" descr="logo deped city gawa ko">
            <a:extLst>
              <a:ext uri="{FF2B5EF4-FFF2-40B4-BE49-F238E27FC236}">
                <a16:creationId xmlns:a16="http://schemas.microsoft.com/office/drawing/2014/main" id="{00000000-0008-0000-0000-00008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44" name="Picture 254" descr="logo">
            <a:extLst>
              <a:ext uri="{FF2B5EF4-FFF2-40B4-BE49-F238E27FC236}">
                <a16:creationId xmlns:a16="http://schemas.microsoft.com/office/drawing/2014/main" id="{00000000-0008-0000-0000-00009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1157</xdr:row>
      <xdr:rowOff>0</xdr:rowOff>
    </xdr:from>
    <xdr:to>
      <xdr:col>11</xdr:col>
      <xdr:colOff>16937</xdr:colOff>
      <xdr:row>1160</xdr:row>
      <xdr:rowOff>0</xdr:rowOff>
    </xdr:to>
    <xdr:grpSp>
      <xdr:nvGrpSpPr>
        <xdr:cNvPr id="145" name="Group 6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GrpSpPr/>
      </xdr:nvGrpSpPr>
      <xdr:grpSpPr>
        <a:xfrm>
          <a:off x="1764306" y="149942826"/>
          <a:ext cx="2559588" cy="381000"/>
          <a:chOff x="1333600" y="0"/>
          <a:chExt cx="4196611" cy="577922"/>
        </a:xfrm>
      </xdr:grpSpPr>
      <xdr:pic>
        <xdr:nvPicPr>
          <xdr:cNvPr id="146" name="Picture 253" descr="logo deped city gawa ko">
            <a:extLst>
              <a:ext uri="{FF2B5EF4-FFF2-40B4-BE49-F238E27FC236}">
                <a16:creationId xmlns:a16="http://schemas.microsoft.com/office/drawing/2014/main" id="{00000000-0008-0000-0000-00009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47" name="Picture 254" descr="logo">
            <a:extLst>
              <a:ext uri="{FF2B5EF4-FFF2-40B4-BE49-F238E27FC236}">
                <a16:creationId xmlns:a16="http://schemas.microsoft.com/office/drawing/2014/main" id="{00000000-0008-0000-0000-00009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1246</xdr:row>
      <xdr:rowOff>0</xdr:rowOff>
    </xdr:from>
    <xdr:to>
      <xdr:col>11</xdr:col>
      <xdr:colOff>16937</xdr:colOff>
      <xdr:row>1249</xdr:row>
      <xdr:rowOff>0</xdr:rowOff>
    </xdr:to>
    <xdr:grpSp>
      <xdr:nvGrpSpPr>
        <xdr:cNvPr id="148" name="Group 6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GrpSpPr/>
      </xdr:nvGrpSpPr>
      <xdr:grpSpPr>
        <a:xfrm>
          <a:off x="1764306" y="161328652"/>
          <a:ext cx="2559588" cy="381000"/>
          <a:chOff x="1333600" y="0"/>
          <a:chExt cx="4196611" cy="577922"/>
        </a:xfrm>
      </xdr:grpSpPr>
      <xdr:pic>
        <xdr:nvPicPr>
          <xdr:cNvPr id="149" name="Picture 253" descr="logo deped city gawa ko">
            <a:extLst>
              <a:ext uri="{FF2B5EF4-FFF2-40B4-BE49-F238E27FC236}">
                <a16:creationId xmlns:a16="http://schemas.microsoft.com/office/drawing/2014/main" id="{00000000-0008-0000-0000-00009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50" name="Picture 254" descr="logo">
            <a:extLst>
              <a:ext uri="{FF2B5EF4-FFF2-40B4-BE49-F238E27FC236}">
                <a16:creationId xmlns:a16="http://schemas.microsoft.com/office/drawing/2014/main" id="{00000000-0008-0000-0000-00009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1246</xdr:row>
      <xdr:rowOff>0</xdr:rowOff>
    </xdr:from>
    <xdr:to>
      <xdr:col>11</xdr:col>
      <xdr:colOff>16937</xdr:colOff>
      <xdr:row>1249</xdr:row>
      <xdr:rowOff>0</xdr:rowOff>
    </xdr:to>
    <xdr:grpSp>
      <xdr:nvGrpSpPr>
        <xdr:cNvPr id="151" name="Group 6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GrpSpPr/>
      </xdr:nvGrpSpPr>
      <xdr:grpSpPr>
        <a:xfrm>
          <a:off x="1764306" y="161328652"/>
          <a:ext cx="2559588" cy="381000"/>
          <a:chOff x="1333600" y="0"/>
          <a:chExt cx="4196611" cy="577922"/>
        </a:xfrm>
      </xdr:grpSpPr>
      <xdr:pic>
        <xdr:nvPicPr>
          <xdr:cNvPr id="152" name="Picture 253" descr="logo deped city gawa ko">
            <a:extLst>
              <a:ext uri="{FF2B5EF4-FFF2-40B4-BE49-F238E27FC236}">
                <a16:creationId xmlns:a16="http://schemas.microsoft.com/office/drawing/2014/main" id="{00000000-0008-0000-0000-00009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53" name="Picture 254" descr="logo">
            <a:extLst>
              <a:ext uri="{FF2B5EF4-FFF2-40B4-BE49-F238E27FC236}">
                <a16:creationId xmlns:a16="http://schemas.microsoft.com/office/drawing/2014/main" id="{00000000-0008-0000-0000-00009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1246</xdr:row>
      <xdr:rowOff>0</xdr:rowOff>
    </xdr:from>
    <xdr:to>
      <xdr:col>11</xdr:col>
      <xdr:colOff>16937</xdr:colOff>
      <xdr:row>1249</xdr:row>
      <xdr:rowOff>0</xdr:rowOff>
    </xdr:to>
    <xdr:grpSp>
      <xdr:nvGrpSpPr>
        <xdr:cNvPr id="154" name="Group 6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GrpSpPr/>
      </xdr:nvGrpSpPr>
      <xdr:grpSpPr>
        <a:xfrm>
          <a:off x="1764306" y="161328652"/>
          <a:ext cx="2559588" cy="381000"/>
          <a:chOff x="1333600" y="0"/>
          <a:chExt cx="4196611" cy="577922"/>
        </a:xfrm>
      </xdr:grpSpPr>
      <xdr:pic>
        <xdr:nvPicPr>
          <xdr:cNvPr id="155" name="Picture 253" descr="logo deped city gawa ko">
            <a:extLst>
              <a:ext uri="{FF2B5EF4-FFF2-40B4-BE49-F238E27FC236}">
                <a16:creationId xmlns:a16="http://schemas.microsoft.com/office/drawing/2014/main" id="{00000000-0008-0000-0000-00009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56" name="Picture 254" descr="logo">
            <a:extLst>
              <a:ext uri="{FF2B5EF4-FFF2-40B4-BE49-F238E27FC236}">
                <a16:creationId xmlns:a16="http://schemas.microsoft.com/office/drawing/2014/main" id="{00000000-0008-0000-0000-00009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1246</xdr:row>
      <xdr:rowOff>0</xdr:rowOff>
    </xdr:from>
    <xdr:to>
      <xdr:col>11</xdr:col>
      <xdr:colOff>16937</xdr:colOff>
      <xdr:row>1249</xdr:row>
      <xdr:rowOff>0</xdr:rowOff>
    </xdr:to>
    <xdr:grpSp>
      <xdr:nvGrpSpPr>
        <xdr:cNvPr id="157" name="Group 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GrpSpPr/>
      </xdr:nvGrpSpPr>
      <xdr:grpSpPr>
        <a:xfrm>
          <a:off x="1764306" y="161328652"/>
          <a:ext cx="2559588" cy="381000"/>
          <a:chOff x="1333600" y="0"/>
          <a:chExt cx="4196611" cy="577922"/>
        </a:xfrm>
      </xdr:grpSpPr>
      <xdr:pic>
        <xdr:nvPicPr>
          <xdr:cNvPr id="158" name="Picture 253" descr="logo deped city gawa ko">
            <a:extLst>
              <a:ext uri="{FF2B5EF4-FFF2-40B4-BE49-F238E27FC236}">
                <a16:creationId xmlns:a16="http://schemas.microsoft.com/office/drawing/2014/main" id="{00000000-0008-0000-0000-00009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59" name="Picture 254" descr="logo">
            <a:extLst>
              <a:ext uri="{FF2B5EF4-FFF2-40B4-BE49-F238E27FC236}">
                <a16:creationId xmlns:a16="http://schemas.microsoft.com/office/drawing/2014/main" id="{00000000-0008-0000-0000-00009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1335</xdr:row>
      <xdr:rowOff>0</xdr:rowOff>
    </xdr:from>
    <xdr:to>
      <xdr:col>11</xdr:col>
      <xdr:colOff>16937</xdr:colOff>
      <xdr:row>1338</xdr:row>
      <xdr:rowOff>0</xdr:rowOff>
    </xdr:to>
    <xdr:grpSp>
      <xdr:nvGrpSpPr>
        <xdr:cNvPr id="160" name="Group 6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GrpSpPr/>
      </xdr:nvGrpSpPr>
      <xdr:grpSpPr>
        <a:xfrm>
          <a:off x="1764306" y="172714478"/>
          <a:ext cx="2559588" cy="381000"/>
          <a:chOff x="1333600" y="0"/>
          <a:chExt cx="4196611" cy="577922"/>
        </a:xfrm>
      </xdr:grpSpPr>
      <xdr:pic>
        <xdr:nvPicPr>
          <xdr:cNvPr id="161" name="Picture 253" descr="logo deped city gawa ko">
            <a:extLst>
              <a:ext uri="{FF2B5EF4-FFF2-40B4-BE49-F238E27FC236}">
                <a16:creationId xmlns:a16="http://schemas.microsoft.com/office/drawing/2014/main" id="{00000000-0008-0000-0000-0000A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62" name="Picture 254" descr="logo">
            <a:extLst>
              <a:ext uri="{FF2B5EF4-FFF2-40B4-BE49-F238E27FC236}">
                <a16:creationId xmlns:a16="http://schemas.microsoft.com/office/drawing/2014/main" id="{00000000-0008-0000-0000-0000A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1335</xdr:row>
      <xdr:rowOff>0</xdr:rowOff>
    </xdr:from>
    <xdr:to>
      <xdr:col>11</xdr:col>
      <xdr:colOff>16937</xdr:colOff>
      <xdr:row>1338</xdr:row>
      <xdr:rowOff>0</xdr:rowOff>
    </xdr:to>
    <xdr:grpSp>
      <xdr:nvGrpSpPr>
        <xdr:cNvPr id="163" name="Group 6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GrpSpPr/>
      </xdr:nvGrpSpPr>
      <xdr:grpSpPr>
        <a:xfrm>
          <a:off x="1764306" y="172714478"/>
          <a:ext cx="2559588" cy="381000"/>
          <a:chOff x="1333600" y="0"/>
          <a:chExt cx="4196611" cy="577922"/>
        </a:xfrm>
      </xdr:grpSpPr>
      <xdr:pic>
        <xdr:nvPicPr>
          <xdr:cNvPr id="164" name="Picture 253" descr="logo deped city gawa ko">
            <a:extLst>
              <a:ext uri="{FF2B5EF4-FFF2-40B4-BE49-F238E27FC236}">
                <a16:creationId xmlns:a16="http://schemas.microsoft.com/office/drawing/2014/main" id="{00000000-0008-0000-0000-0000A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65" name="Picture 254" descr="logo">
            <a:extLst>
              <a:ext uri="{FF2B5EF4-FFF2-40B4-BE49-F238E27FC236}">
                <a16:creationId xmlns:a16="http://schemas.microsoft.com/office/drawing/2014/main" id="{00000000-0008-0000-0000-0000A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1335</xdr:row>
      <xdr:rowOff>0</xdr:rowOff>
    </xdr:from>
    <xdr:to>
      <xdr:col>11</xdr:col>
      <xdr:colOff>16937</xdr:colOff>
      <xdr:row>1338</xdr:row>
      <xdr:rowOff>0</xdr:rowOff>
    </xdr:to>
    <xdr:grpSp>
      <xdr:nvGrpSpPr>
        <xdr:cNvPr id="166" name="Group 6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GrpSpPr/>
      </xdr:nvGrpSpPr>
      <xdr:grpSpPr>
        <a:xfrm>
          <a:off x="1764306" y="172714478"/>
          <a:ext cx="2559588" cy="381000"/>
          <a:chOff x="1333600" y="0"/>
          <a:chExt cx="4196611" cy="577922"/>
        </a:xfrm>
      </xdr:grpSpPr>
      <xdr:pic>
        <xdr:nvPicPr>
          <xdr:cNvPr id="167" name="Picture 253" descr="logo deped city gawa ko">
            <a:extLst>
              <a:ext uri="{FF2B5EF4-FFF2-40B4-BE49-F238E27FC236}">
                <a16:creationId xmlns:a16="http://schemas.microsoft.com/office/drawing/2014/main" id="{00000000-0008-0000-0000-0000A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68" name="Picture 254" descr="logo">
            <a:extLst>
              <a:ext uri="{FF2B5EF4-FFF2-40B4-BE49-F238E27FC236}">
                <a16:creationId xmlns:a16="http://schemas.microsoft.com/office/drawing/2014/main" id="{00000000-0008-0000-0000-0000A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1335</xdr:row>
      <xdr:rowOff>0</xdr:rowOff>
    </xdr:from>
    <xdr:to>
      <xdr:col>11</xdr:col>
      <xdr:colOff>16937</xdr:colOff>
      <xdr:row>1338</xdr:row>
      <xdr:rowOff>0</xdr:rowOff>
    </xdr:to>
    <xdr:grpSp>
      <xdr:nvGrpSpPr>
        <xdr:cNvPr id="169" name="Group 6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GrpSpPr/>
      </xdr:nvGrpSpPr>
      <xdr:grpSpPr>
        <a:xfrm>
          <a:off x="1764306" y="172714478"/>
          <a:ext cx="2559588" cy="381000"/>
          <a:chOff x="1333600" y="0"/>
          <a:chExt cx="4196611" cy="577922"/>
        </a:xfrm>
      </xdr:grpSpPr>
      <xdr:pic>
        <xdr:nvPicPr>
          <xdr:cNvPr id="170" name="Picture 253" descr="logo deped city gawa ko">
            <a:extLst>
              <a:ext uri="{FF2B5EF4-FFF2-40B4-BE49-F238E27FC236}">
                <a16:creationId xmlns:a16="http://schemas.microsoft.com/office/drawing/2014/main" id="{00000000-0008-0000-0000-0000A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71" name="Picture 254" descr="logo">
            <a:extLst>
              <a:ext uri="{FF2B5EF4-FFF2-40B4-BE49-F238E27FC236}">
                <a16:creationId xmlns:a16="http://schemas.microsoft.com/office/drawing/2014/main" id="{00000000-0008-0000-0000-0000A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1424</xdr:row>
      <xdr:rowOff>0</xdr:rowOff>
    </xdr:from>
    <xdr:to>
      <xdr:col>11</xdr:col>
      <xdr:colOff>16937</xdr:colOff>
      <xdr:row>1427</xdr:row>
      <xdr:rowOff>0</xdr:rowOff>
    </xdr:to>
    <xdr:grpSp>
      <xdr:nvGrpSpPr>
        <xdr:cNvPr id="172" name="Group 6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GrpSpPr/>
      </xdr:nvGrpSpPr>
      <xdr:grpSpPr>
        <a:xfrm>
          <a:off x="1764306" y="184100304"/>
          <a:ext cx="2559588" cy="381000"/>
          <a:chOff x="1333600" y="0"/>
          <a:chExt cx="4196611" cy="577922"/>
        </a:xfrm>
      </xdr:grpSpPr>
      <xdr:pic>
        <xdr:nvPicPr>
          <xdr:cNvPr id="173" name="Picture 253" descr="logo deped city gawa ko">
            <a:extLst>
              <a:ext uri="{FF2B5EF4-FFF2-40B4-BE49-F238E27FC236}">
                <a16:creationId xmlns:a16="http://schemas.microsoft.com/office/drawing/2014/main" id="{00000000-0008-0000-0000-0000A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74" name="Picture 254" descr="logo">
            <a:extLst>
              <a:ext uri="{FF2B5EF4-FFF2-40B4-BE49-F238E27FC236}">
                <a16:creationId xmlns:a16="http://schemas.microsoft.com/office/drawing/2014/main" id="{00000000-0008-0000-0000-0000A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1424</xdr:row>
      <xdr:rowOff>0</xdr:rowOff>
    </xdr:from>
    <xdr:to>
      <xdr:col>11</xdr:col>
      <xdr:colOff>16937</xdr:colOff>
      <xdr:row>1427</xdr:row>
      <xdr:rowOff>0</xdr:rowOff>
    </xdr:to>
    <xdr:grpSp>
      <xdr:nvGrpSpPr>
        <xdr:cNvPr id="175" name="Group 6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GrpSpPr/>
      </xdr:nvGrpSpPr>
      <xdr:grpSpPr>
        <a:xfrm>
          <a:off x="1764306" y="184100304"/>
          <a:ext cx="2559588" cy="381000"/>
          <a:chOff x="1333600" y="0"/>
          <a:chExt cx="4196611" cy="577922"/>
        </a:xfrm>
      </xdr:grpSpPr>
      <xdr:pic>
        <xdr:nvPicPr>
          <xdr:cNvPr id="176" name="Picture 253" descr="logo deped city gawa ko">
            <a:extLst>
              <a:ext uri="{FF2B5EF4-FFF2-40B4-BE49-F238E27FC236}">
                <a16:creationId xmlns:a16="http://schemas.microsoft.com/office/drawing/2014/main" id="{00000000-0008-0000-0000-0000B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77" name="Picture 254" descr="logo">
            <a:extLst>
              <a:ext uri="{FF2B5EF4-FFF2-40B4-BE49-F238E27FC236}">
                <a16:creationId xmlns:a16="http://schemas.microsoft.com/office/drawing/2014/main" id="{00000000-0008-0000-0000-0000B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1424</xdr:row>
      <xdr:rowOff>0</xdr:rowOff>
    </xdr:from>
    <xdr:to>
      <xdr:col>11</xdr:col>
      <xdr:colOff>16937</xdr:colOff>
      <xdr:row>1427</xdr:row>
      <xdr:rowOff>0</xdr:rowOff>
    </xdr:to>
    <xdr:grpSp>
      <xdr:nvGrpSpPr>
        <xdr:cNvPr id="178" name="Group 6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GrpSpPr/>
      </xdr:nvGrpSpPr>
      <xdr:grpSpPr>
        <a:xfrm>
          <a:off x="1764306" y="184100304"/>
          <a:ext cx="2559588" cy="381000"/>
          <a:chOff x="1333600" y="0"/>
          <a:chExt cx="4196611" cy="577922"/>
        </a:xfrm>
      </xdr:grpSpPr>
      <xdr:pic>
        <xdr:nvPicPr>
          <xdr:cNvPr id="179" name="Picture 253" descr="logo deped city gawa ko">
            <a:extLst>
              <a:ext uri="{FF2B5EF4-FFF2-40B4-BE49-F238E27FC236}">
                <a16:creationId xmlns:a16="http://schemas.microsoft.com/office/drawing/2014/main" id="{00000000-0008-0000-0000-0000B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80" name="Picture 254" descr="logo">
            <a:extLst>
              <a:ext uri="{FF2B5EF4-FFF2-40B4-BE49-F238E27FC236}">
                <a16:creationId xmlns:a16="http://schemas.microsoft.com/office/drawing/2014/main" id="{00000000-0008-0000-0000-0000B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1424</xdr:row>
      <xdr:rowOff>0</xdr:rowOff>
    </xdr:from>
    <xdr:to>
      <xdr:col>11</xdr:col>
      <xdr:colOff>16937</xdr:colOff>
      <xdr:row>1427</xdr:row>
      <xdr:rowOff>0</xdr:rowOff>
    </xdr:to>
    <xdr:grpSp>
      <xdr:nvGrpSpPr>
        <xdr:cNvPr id="181" name="Group 6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GrpSpPr/>
      </xdr:nvGrpSpPr>
      <xdr:grpSpPr>
        <a:xfrm>
          <a:off x="1764306" y="184100304"/>
          <a:ext cx="2559588" cy="381000"/>
          <a:chOff x="1333600" y="0"/>
          <a:chExt cx="4196611" cy="577922"/>
        </a:xfrm>
      </xdr:grpSpPr>
      <xdr:pic>
        <xdr:nvPicPr>
          <xdr:cNvPr id="182" name="Picture 253" descr="logo deped city gawa ko">
            <a:extLst>
              <a:ext uri="{FF2B5EF4-FFF2-40B4-BE49-F238E27FC236}">
                <a16:creationId xmlns:a16="http://schemas.microsoft.com/office/drawing/2014/main" id="{00000000-0008-0000-0000-0000B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83" name="Picture 254" descr="logo">
            <a:extLst>
              <a:ext uri="{FF2B5EF4-FFF2-40B4-BE49-F238E27FC236}">
                <a16:creationId xmlns:a16="http://schemas.microsoft.com/office/drawing/2014/main" id="{00000000-0008-0000-0000-0000B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1513</xdr:row>
      <xdr:rowOff>0</xdr:rowOff>
    </xdr:from>
    <xdr:to>
      <xdr:col>11</xdr:col>
      <xdr:colOff>16937</xdr:colOff>
      <xdr:row>1516</xdr:row>
      <xdr:rowOff>0</xdr:rowOff>
    </xdr:to>
    <xdr:grpSp>
      <xdr:nvGrpSpPr>
        <xdr:cNvPr id="184" name="Group 6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GrpSpPr/>
      </xdr:nvGrpSpPr>
      <xdr:grpSpPr>
        <a:xfrm>
          <a:off x="1764306" y="195486130"/>
          <a:ext cx="2559588" cy="381000"/>
          <a:chOff x="1333600" y="0"/>
          <a:chExt cx="4196611" cy="577922"/>
        </a:xfrm>
      </xdr:grpSpPr>
      <xdr:pic>
        <xdr:nvPicPr>
          <xdr:cNvPr id="185" name="Picture 253" descr="logo deped city gawa ko">
            <a:extLst>
              <a:ext uri="{FF2B5EF4-FFF2-40B4-BE49-F238E27FC236}">
                <a16:creationId xmlns:a16="http://schemas.microsoft.com/office/drawing/2014/main" id="{00000000-0008-0000-0000-0000B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86" name="Picture 254" descr="logo">
            <a:extLst>
              <a:ext uri="{FF2B5EF4-FFF2-40B4-BE49-F238E27FC236}">
                <a16:creationId xmlns:a16="http://schemas.microsoft.com/office/drawing/2014/main" id="{00000000-0008-0000-0000-0000B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1513</xdr:row>
      <xdr:rowOff>0</xdr:rowOff>
    </xdr:from>
    <xdr:to>
      <xdr:col>11</xdr:col>
      <xdr:colOff>16937</xdr:colOff>
      <xdr:row>1516</xdr:row>
      <xdr:rowOff>0</xdr:rowOff>
    </xdr:to>
    <xdr:grpSp>
      <xdr:nvGrpSpPr>
        <xdr:cNvPr id="187" name="Group 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GrpSpPr/>
      </xdr:nvGrpSpPr>
      <xdr:grpSpPr>
        <a:xfrm>
          <a:off x="1764306" y="195486130"/>
          <a:ext cx="2559588" cy="381000"/>
          <a:chOff x="1333600" y="0"/>
          <a:chExt cx="4196611" cy="577922"/>
        </a:xfrm>
      </xdr:grpSpPr>
      <xdr:pic>
        <xdr:nvPicPr>
          <xdr:cNvPr id="188" name="Picture 253" descr="logo deped city gawa ko">
            <a:extLst>
              <a:ext uri="{FF2B5EF4-FFF2-40B4-BE49-F238E27FC236}">
                <a16:creationId xmlns:a16="http://schemas.microsoft.com/office/drawing/2014/main" id="{00000000-0008-0000-0000-0000B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89" name="Picture 254" descr="logo">
            <a:extLst>
              <a:ext uri="{FF2B5EF4-FFF2-40B4-BE49-F238E27FC236}">
                <a16:creationId xmlns:a16="http://schemas.microsoft.com/office/drawing/2014/main" id="{00000000-0008-0000-0000-0000B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1513</xdr:row>
      <xdr:rowOff>0</xdr:rowOff>
    </xdr:from>
    <xdr:to>
      <xdr:col>11</xdr:col>
      <xdr:colOff>16937</xdr:colOff>
      <xdr:row>1516</xdr:row>
      <xdr:rowOff>0</xdr:rowOff>
    </xdr:to>
    <xdr:grpSp>
      <xdr:nvGrpSpPr>
        <xdr:cNvPr id="190" name="Group 6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GrpSpPr/>
      </xdr:nvGrpSpPr>
      <xdr:grpSpPr>
        <a:xfrm>
          <a:off x="1764306" y="195486130"/>
          <a:ext cx="2559588" cy="381000"/>
          <a:chOff x="1333600" y="0"/>
          <a:chExt cx="4196611" cy="577922"/>
        </a:xfrm>
      </xdr:grpSpPr>
      <xdr:pic>
        <xdr:nvPicPr>
          <xdr:cNvPr id="191" name="Picture 253" descr="logo deped city gawa ko">
            <a:extLst>
              <a:ext uri="{FF2B5EF4-FFF2-40B4-BE49-F238E27FC236}">
                <a16:creationId xmlns:a16="http://schemas.microsoft.com/office/drawing/2014/main" id="{00000000-0008-0000-0000-0000B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92" name="Picture 254" descr="logo">
            <a:extLst>
              <a:ext uri="{FF2B5EF4-FFF2-40B4-BE49-F238E27FC236}">
                <a16:creationId xmlns:a16="http://schemas.microsoft.com/office/drawing/2014/main" id="{00000000-0008-0000-0000-0000C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1513</xdr:row>
      <xdr:rowOff>0</xdr:rowOff>
    </xdr:from>
    <xdr:to>
      <xdr:col>11</xdr:col>
      <xdr:colOff>16937</xdr:colOff>
      <xdr:row>1516</xdr:row>
      <xdr:rowOff>0</xdr:rowOff>
    </xdr:to>
    <xdr:grpSp>
      <xdr:nvGrpSpPr>
        <xdr:cNvPr id="193" name="Group 6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GrpSpPr/>
      </xdr:nvGrpSpPr>
      <xdr:grpSpPr>
        <a:xfrm>
          <a:off x="1764306" y="195486130"/>
          <a:ext cx="2559588" cy="381000"/>
          <a:chOff x="1333600" y="0"/>
          <a:chExt cx="4196611" cy="577922"/>
        </a:xfrm>
      </xdr:grpSpPr>
      <xdr:pic>
        <xdr:nvPicPr>
          <xdr:cNvPr id="194" name="Picture 253" descr="logo deped city gawa ko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95" name="Picture 254" descr="logo">
            <a:extLst>
              <a:ext uri="{FF2B5EF4-FFF2-40B4-BE49-F238E27FC236}">
                <a16:creationId xmlns:a16="http://schemas.microsoft.com/office/drawing/2014/main" id="{00000000-0008-0000-0000-0000C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1602</xdr:row>
      <xdr:rowOff>0</xdr:rowOff>
    </xdr:from>
    <xdr:to>
      <xdr:col>11</xdr:col>
      <xdr:colOff>16937</xdr:colOff>
      <xdr:row>1605</xdr:row>
      <xdr:rowOff>0</xdr:rowOff>
    </xdr:to>
    <xdr:grpSp>
      <xdr:nvGrpSpPr>
        <xdr:cNvPr id="196" name="Group 6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GrpSpPr/>
      </xdr:nvGrpSpPr>
      <xdr:grpSpPr>
        <a:xfrm>
          <a:off x="1764306" y="206871957"/>
          <a:ext cx="2559588" cy="381000"/>
          <a:chOff x="1333600" y="0"/>
          <a:chExt cx="4196611" cy="577922"/>
        </a:xfrm>
      </xdr:grpSpPr>
      <xdr:pic>
        <xdr:nvPicPr>
          <xdr:cNvPr id="197" name="Picture 253" descr="logo deped city gawa ko">
            <a:extLst>
              <a:ext uri="{FF2B5EF4-FFF2-40B4-BE49-F238E27FC236}">
                <a16:creationId xmlns:a16="http://schemas.microsoft.com/office/drawing/2014/main" id="{00000000-0008-0000-0000-0000C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98" name="Picture 254" descr="logo">
            <a:extLst>
              <a:ext uri="{FF2B5EF4-FFF2-40B4-BE49-F238E27FC236}">
                <a16:creationId xmlns:a16="http://schemas.microsoft.com/office/drawing/2014/main" id="{00000000-0008-0000-0000-0000C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1602</xdr:row>
      <xdr:rowOff>0</xdr:rowOff>
    </xdr:from>
    <xdr:to>
      <xdr:col>11</xdr:col>
      <xdr:colOff>16937</xdr:colOff>
      <xdr:row>1605</xdr:row>
      <xdr:rowOff>0</xdr:rowOff>
    </xdr:to>
    <xdr:grpSp>
      <xdr:nvGrpSpPr>
        <xdr:cNvPr id="199" name="Group 6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GrpSpPr/>
      </xdr:nvGrpSpPr>
      <xdr:grpSpPr>
        <a:xfrm>
          <a:off x="1764306" y="206871957"/>
          <a:ext cx="2559588" cy="381000"/>
          <a:chOff x="1333600" y="0"/>
          <a:chExt cx="4196611" cy="577922"/>
        </a:xfrm>
      </xdr:grpSpPr>
      <xdr:pic>
        <xdr:nvPicPr>
          <xdr:cNvPr id="200" name="Picture 253" descr="logo deped city gawa ko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01" name="Picture 254" descr="logo">
            <a:extLst>
              <a:ext uri="{FF2B5EF4-FFF2-40B4-BE49-F238E27FC236}">
                <a16:creationId xmlns:a16="http://schemas.microsoft.com/office/drawing/2014/main" id="{00000000-0008-0000-0000-0000C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1602</xdr:row>
      <xdr:rowOff>0</xdr:rowOff>
    </xdr:from>
    <xdr:to>
      <xdr:col>11</xdr:col>
      <xdr:colOff>16937</xdr:colOff>
      <xdr:row>1605</xdr:row>
      <xdr:rowOff>0</xdr:rowOff>
    </xdr:to>
    <xdr:grpSp>
      <xdr:nvGrpSpPr>
        <xdr:cNvPr id="202" name="Group 6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GrpSpPr/>
      </xdr:nvGrpSpPr>
      <xdr:grpSpPr>
        <a:xfrm>
          <a:off x="1764306" y="206871957"/>
          <a:ext cx="2559588" cy="381000"/>
          <a:chOff x="1333600" y="0"/>
          <a:chExt cx="4196611" cy="577922"/>
        </a:xfrm>
      </xdr:grpSpPr>
      <xdr:pic>
        <xdr:nvPicPr>
          <xdr:cNvPr id="203" name="Picture 253" descr="logo deped city gawa ko">
            <a:extLst>
              <a:ext uri="{FF2B5EF4-FFF2-40B4-BE49-F238E27FC236}">
                <a16:creationId xmlns:a16="http://schemas.microsoft.com/office/drawing/2014/main" id="{00000000-0008-0000-0000-0000C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04" name="Picture 254" descr="logo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1602</xdr:row>
      <xdr:rowOff>0</xdr:rowOff>
    </xdr:from>
    <xdr:to>
      <xdr:col>11</xdr:col>
      <xdr:colOff>16937</xdr:colOff>
      <xdr:row>1605</xdr:row>
      <xdr:rowOff>0</xdr:rowOff>
    </xdr:to>
    <xdr:grpSp>
      <xdr:nvGrpSpPr>
        <xdr:cNvPr id="205" name="Group 6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GrpSpPr/>
      </xdr:nvGrpSpPr>
      <xdr:grpSpPr>
        <a:xfrm>
          <a:off x="1764306" y="206871957"/>
          <a:ext cx="2559588" cy="381000"/>
          <a:chOff x="1333600" y="0"/>
          <a:chExt cx="4196611" cy="577922"/>
        </a:xfrm>
      </xdr:grpSpPr>
      <xdr:pic>
        <xdr:nvPicPr>
          <xdr:cNvPr id="206" name="Picture 253" descr="logo deped city gawa ko">
            <a:extLst>
              <a:ext uri="{FF2B5EF4-FFF2-40B4-BE49-F238E27FC236}">
                <a16:creationId xmlns:a16="http://schemas.microsoft.com/office/drawing/2014/main" id="{00000000-0008-0000-0000-0000C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07" name="Picture 254" descr="logo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1691</xdr:row>
      <xdr:rowOff>0</xdr:rowOff>
    </xdr:from>
    <xdr:to>
      <xdr:col>11</xdr:col>
      <xdr:colOff>16937</xdr:colOff>
      <xdr:row>1694</xdr:row>
      <xdr:rowOff>0</xdr:rowOff>
    </xdr:to>
    <xdr:grpSp>
      <xdr:nvGrpSpPr>
        <xdr:cNvPr id="208" name="Group 6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GrpSpPr/>
      </xdr:nvGrpSpPr>
      <xdr:grpSpPr>
        <a:xfrm>
          <a:off x="1764306" y="218257783"/>
          <a:ext cx="2559588" cy="381000"/>
          <a:chOff x="1333600" y="0"/>
          <a:chExt cx="4196611" cy="577922"/>
        </a:xfrm>
      </xdr:grpSpPr>
      <xdr:pic>
        <xdr:nvPicPr>
          <xdr:cNvPr id="209" name="Picture 253" descr="logo deped city gawa ko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10" name="Picture 254" descr="logo">
            <a:extLst>
              <a:ext uri="{FF2B5EF4-FFF2-40B4-BE49-F238E27FC236}">
                <a16:creationId xmlns:a16="http://schemas.microsoft.com/office/drawing/2014/main" id="{00000000-0008-0000-0000-0000D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1691</xdr:row>
      <xdr:rowOff>0</xdr:rowOff>
    </xdr:from>
    <xdr:to>
      <xdr:col>11</xdr:col>
      <xdr:colOff>16937</xdr:colOff>
      <xdr:row>1694</xdr:row>
      <xdr:rowOff>0</xdr:rowOff>
    </xdr:to>
    <xdr:grpSp>
      <xdr:nvGrpSpPr>
        <xdr:cNvPr id="211" name="Group 6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GrpSpPr/>
      </xdr:nvGrpSpPr>
      <xdr:grpSpPr>
        <a:xfrm>
          <a:off x="1764306" y="218257783"/>
          <a:ext cx="2559588" cy="381000"/>
          <a:chOff x="1333600" y="0"/>
          <a:chExt cx="4196611" cy="577922"/>
        </a:xfrm>
      </xdr:grpSpPr>
      <xdr:pic>
        <xdr:nvPicPr>
          <xdr:cNvPr id="212" name="Picture 253" descr="logo deped city gawa ko">
            <a:extLst>
              <a:ext uri="{FF2B5EF4-FFF2-40B4-BE49-F238E27FC236}">
                <a16:creationId xmlns:a16="http://schemas.microsoft.com/office/drawing/2014/main" id="{00000000-0008-0000-0000-0000D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13" name="Picture 254" descr="logo">
            <a:extLst>
              <a:ext uri="{FF2B5EF4-FFF2-40B4-BE49-F238E27FC236}">
                <a16:creationId xmlns:a16="http://schemas.microsoft.com/office/drawing/2014/main" id="{00000000-0008-0000-0000-0000D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1691</xdr:row>
      <xdr:rowOff>0</xdr:rowOff>
    </xdr:from>
    <xdr:to>
      <xdr:col>11</xdr:col>
      <xdr:colOff>16937</xdr:colOff>
      <xdr:row>1694</xdr:row>
      <xdr:rowOff>0</xdr:rowOff>
    </xdr:to>
    <xdr:grpSp>
      <xdr:nvGrpSpPr>
        <xdr:cNvPr id="214" name="Group 6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GrpSpPr/>
      </xdr:nvGrpSpPr>
      <xdr:grpSpPr>
        <a:xfrm>
          <a:off x="1764306" y="218257783"/>
          <a:ext cx="2559588" cy="381000"/>
          <a:chOff x="1333600" y="0"/>
          <a:chExt cx="4196611" cy="577922"/>
        </a:xfrm>
      </xdr:grpSpPr>
      <xdr:pic>
        <xdr:nvPicPr>
          <xdr:cNvPr id="215" name="Picture 253" descr="logo deped city gawa ko">
            <a:extLst>
              <a:ext uri="{FF2B5EF4-FFF2-40B4-BE49-F238E27FC236}">
                <a16:creationId xmlns:a16="http://schemas.microsoft.com/office/drawing/2014/main" id="{00000000-0008-0000-0000-0000D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16" name="Picture 254" descr="logo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1691</xdr:row>
      <xdr:rowOff>0</xdr:rowOff>
    </xdr:from>
    <xdr:to>
      <xdr:col>11</xdr:col>
      <xdr:colOff>16937</xdr:colOff>
      <xdr:row>1694</xdr:row>
      <xdr:rowOff>0</xdr:rowOff>
    </xdr:to>
    <xdr:grpSp>
      <xdr:nvGrpSpPr>
        <xdr:cNvPr id="217" name="Group 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GrpSpPr/>
      </xdr:nvGrpSpPr>
      <xdr:grpSpPr>
        <a:xfrm>
          <a:off x="1764306" y="218257783"/>
          <a:ext cx="2559588" cy="381000"/>
          <a:chOff x="1333600" y="0"/>
          <a:chExt cx="4196611" cy="577922"/>
        </a:xfrm>
      </xdr:grpSpPr>
      <xdr:pic>
        <xdr:nvPicPr>
          <xdr:cNvPr id="218" name="Picture 253" descr="logo deped city gawa ko">
            <a:extLst>
              <a:ext uri="{FF2B5EF4-FFF2-40B4-BE49-F238E27FC236}">
                <a16:creationId xmlns:a16="http://schemas.microsoft.com/office/drawing/2014/main" id="{00000000-0008-0000-0000-0000D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19" name="Picture 254" descr="logo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1780</xdr:row>
      <xdr:rowOff>0</xdr:rowOff>
    </xdr:from>
    <xdr:to>
      <xdr:col>11</xdr:col>
      <xdr:colOff>16937</xdr:colOff>
      <xdr:row>1783</xdr:row>
      <xdr:rowOff>0</xdr:rowOff>
    </xdr:to>
    <xdr:grpSp>
      <xdr:nvGrpSpPr>
        <xdr:cNvPr id="220" name="Group 6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GrpSpPr/>
      </xdr:nvGrpSpPr>
      <xdr:grpSpPr>
        <a:xfrm>
          <a:off x="1764306" y="229643609"/>
          <a:ext cx="2559588" cy="381000"/>
          <a:chOff x="1333600" y="0"/>
          <a:chExt cx="4196611" cy="577922"/>
        </a:xfrm>
      </xdr:grpSpPr>
      <xdr:pic>
        <xdr:nvPicPr>
          <xdr:cNvPr id="221" name="Picture 253" descr="logo deped city gawa ko">
            <a:extLst>
              <a:ext uri="{FF2B5EF4-FFF2-40B4-BE49-F238E27FC236}">
                <a16:creationId xmlns:a16="http://schemas.microsoft.com/office/drawing/2014/main" id="{00000000-0008-0000-0000-0000D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22" name="Picture 254" descr="logo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1780</xdr:row>
      <xdr:rowOff>0</xdr:rowOff>
    </xdr:from>
    <xdr:to>
      <xdr:col>11</xdr:col>
      <xdr:colOff>16937</xdr:colOff>
      <xdr:row>1783</xdr:row>
      <xdr:rowOff>0</xdr:rowOff>
    </xdr:to>
    <xdr:grpSp>
      <xdr:nvGrpSpPr>
        <xdr:cNvPr id="223" name="Group 6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GrpSpPr/>
      </xdr:nvGrpSpPr>
      <xdr:grpSpPr>
        <a:xfrm>
          <a:off x="1764306" y="229643609"/>
          <a:ext cx="2559588" cy="381000"/>
          <a:chOff x="1333600" y="0"/>
          <a:chExt cx="4196611" cy="577922"/>
        </a:xfrm>
      </xdr:grpSpPr>
      <xdr:pic>
        <xdr:nvPicPr>
          <xdr:cNvPr id="224" name="Picture 253" descr="logo deped city gawa ko">
            <a:extLst>
              <a:ext uri="{FF2B5EF4-FFF2-40B4-BE49-F238E27FC236}">
                <a16:creationId xmlns:a16="http://schemas.microsoft.com/office/drawing/2014/main" id="{00000000-0008-0000-0000-0000E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25" name="Picture 254" descr="logo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1780</xdr:row>
      <xdr:rowOff>0</xdr:rowOff>
    </xdr:from>
    <xdr:to>
      <xdr:col>11</xdr:col>
      <xdr:colOff>16937</xdr:colOff>
      <xdr:row>1783</xdr:row>
      <xdr:rowOff>0</xdr:rowOff>
    </xdr:to>
    <xdr:grpSp>
      <xdr:nvGrpSpPr>
        <xdr:cNvPr id="226" name="Group 6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GrpSpPr/>
      </xdr:nvGrpSpPr>
      <xdr:grpSpPr>
        <a:xfrm>
          <a:off x="1764306" y="229643609"/>
          <a:ext cx="2559588" cy="381000"/>
          <a:chOff x="1333600" y="0"/>
          <a:chExt cx="4196611" cy="577922"/>
        </a:xfrm>
      </xdr:grpSpPr>
      <xdr:pic>
        <xdr:nvPicPr>
          <xdr:cNvPr id="227" name="Picture 253" descr="logo deped city gawa ko">
            <a:extLst>
              <a:ext uri="{FF2B5EF4-FFF2-40B4-BE49-F238E27FC236}">
                <a16:creationId xmlns:a16="http://schemas.microsoft.com/office/drawing/2014/main" id="{00000000-0008-0000-0000-0000E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28" name="Picture 254" descr="logo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1780</xdr:row>
      <xdr:rowOff>0</xdr:rowOff>
    </xdr:from>
    <xdr:to>
      <xdr:col>11</xdr:col>
      <xdr:colOff>16937</xdr:colOff>
      <xdr:row>1783</xdr:row>
      <xdr:rowOff>0</xdr:rowOff>
    </xdr:to>
    <xdr:grpSp>
      <xdr:nvGrpSpPr>
        <xdr:cNvPr id="229" name="Group 6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GrpSpPr/>
      </xdr:nvGrpSpPr>
      <xdr:grpSpPr>
        <a:xfrm>
          <a:off x="1764306" y="229643609"/>
          <a:ext cx="2559588" cy="381000"/>
          <a:chOff x="1333600" y="0"/>
          <a:chExt cx="4196611" cy="577922"/>
        </a:xfrm>
      </xdr:grpSpPr>
      <xdr:pic>
        <xdr:nvPicPr>
          <xdr:cNvPr id="230" name="Picture 253" descr="logo deped city gawa ko">
            <a:extLst>
              <a:ext uri="{FF2B5EF4-FFF2-40B4-BE49-F238E27FC236}">
                <a16:creationId xmlns:a16="http://schemas.microsoft.com/office/drawing/2014/main" id="{00000000-0008-0000-0000-0000E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31" name="Picture 254" descr="logo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1869</xdr:row>
      <xdr:rowOff>0</xdr:rowOff>
    </xdr:from>
    <xdr:to>
      <xdr:col>11</xdr:col>
      <xdr:colOff>16937</xdr:colOff>
      <xdr:row>1872</xdr:row>
      <xdr:rowOff>0</xdr:rowOff>
    </xdr:to>
    <xdr:grpSp>
      <xdr:nvGrpSpPr>
        <xdr:cNvPr id="232" name="Group 6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GrpSpPr/>
      </xdr:nvGrpSpPr>
      <xdr:grpSpPr>
        <a:xfrm>
          <a:off x="1764306" y="241029435"/>
          <a:ext cx="2559588" cy="381000"/>
          <a:chOff x="1333600" y="0"/>
          <a:chExt cx="4196611" cy="577922"/>
        </a:xfrm>
      </xdr:grpSpPr>
      <xdr:pic>
        <xdr:nvPicPr>
          <xdr:cNvPr id="233" name="Picture 253" descr="logo deped city gawa ko">
            <a:extLst>
              <a:ext uri="{FF2B5EF4-FFF2-40B4-BE49-F238E27FC236}">
                <a16:creationId xmlns:a16="http://schemas.microsoft.com/office/drawing/2014/main" id="{00000000-0008-0000-0000-0000E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34" name="Picture 254" descr="logo">
            <a:extLst>
              <a:ext uri="{FF2B5EF4-FFF2-40B4-BE49-F238E27FC236}">
                <a16:creationId xmlns:a16="http://schemas.microsoft.com/office/drawing/2014/main" id="{00000000-0008-0000-0000-0000E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1869</xdr:row>
      <xdr:rowOff>0</xdr:rowOff>
    </xdr:from>
    <xdr:to>
      <xdr:col>11</xdr:col>
      <xdr:colOff>16937</xdr:colOff>
      <xdr:row>1872</xdr:row>
      <xdr:rowOff>0</xdr:rowOff>
    </xdr:to>
    <xdr:grpSp>
      <xdr:nvGrpSpPr>
        <xdr:cNvPr id="235" name="Group 6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GrpSpPr/>
      </xdr:nvGrpSpPr>
      <xdr:grpSpPr>
        <a:xfrm>
          <a:off x="1764306" y="241029435"/>
          <a:ext cx="2559588" cy="381000"/>
          <a:chOff x="1333600" y="0"/>
          <a:chExt cx="4196611" cy="577922"/>
        </a:xfrm>
      </xdr:grpSpPr>
      <xdr:pic>
        <xdr:nvPicPr>
          <xdr:cNvPr id="236" name="Picture 253" descr="logo deped city gawa ko">
            <a:extLst>
              <a:ext uri="{FF2B5EF4-FFF2-40B4-BE49-F238E27FC236}">
                <a16:creationId xmlns:a16="http://schemas.microsoft.com/office/drawing/2014/main" id="{00000000-0008-0000-0000-0000E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37" name="Picture 254" descr="logo">
            <a:extLst>
              <a:ext uri="{FF2B5EF4-FFF2-40B4-BE49-F238E27FC236}">
                <a16:creationId xmlns:a16="http://schemas.microsoft.com/office/drawing/2014/main" id="{00000000-0008-0000-0000-0000E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1869</xdr:row>
      <xdr:rowOff>0</xdr:rowOff>
    </xdr:from>
    <xdr:to>
      <xdr:col>11</xdr:col>
      <xdr:colOff>16937</xdr:colOff>
      <xdr:row>1872</xdr:row>
      <xdr:rowOff>0</xdr:rowOff>
    </xdr:to>
    <xdr:grpSp>
      <xdr:nvGrpSpPr>
        <xdr:cNvPr id="238" name="Group 6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GrpSpPr/>
      </xdr:nvGrpSpPr>
      <xdr:grpSpPr>
        <a:xfrm>
          <a:off x="1764306" y="241029435"/>
          <a:ext cx="2559588" cy="381000"/>
          <a:chOff x="1333600" y="0"/>
          <a:chExt cx="4196611" cy="577922"/>
        </a:xfrm>
      </xdr:grpSpPr>
      <xdr:pic>
        <xdr:nvPicPr>
          <xdr:cNvPr id="239" name="Picture 253" descr="logo deped city gawa ko">
            <a:extLst>
              <a:ext uri="{FF2B5EF4-FFF2-40B4-BE49-F238E27FC236}">
                <a16:creationId xmlns:a16="http://schemas.microsoft.com/office/drawing/2014/main" id="{00000000-0008-0000-0000-0000E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40" name="Picture 254" descr="logo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1869</xdr:row>
      <xdr:rowOff>0</xdr:rowOff>
    </xdr:from>
    <xdr:to>
      <xdr:col>11</xdr:col>
      <xdr:colOff>16937</xdr:colOff>
      <xdr:row>1872</xdr:row>
      <xdr:rowOff>0</xdr:rowOff>
    </xdr:to>
    <xdr:grpSp>
      <xdr:nvGrpSpPr>
        <xdr:cNvPr id="241" name="Group 6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GrpSpPr/>
      </xdr:nvGrpSpPr>
      <xdr:grpSpPr>
        <a:xfrm>
          <a:off x="1764306" y="241029435"/>
          <a:ext cx="2559588" cy="381000"/>
          <a:chOff x="1333600" y="0"/>
          <a:chExt cx="4196611" cy="577922"/>
        </a:xfrm>
      </xdr:grpSpPr>
      <xdr:pic>
        <xdr:nvPicPr>
          <xdr:cNvPr id="242" name="Picture 253" descr="logo deped city gawa ko">
            <a:extLst>
              <a:ext uri="{FF2B5EF4-FFF2-40B4-BE49-F238E27FC236}">
                <a16:creationId xmlns:a16="http://schemas.microsoft.com/office/drawing/2014/main" id="{00000000-0008-0000-0000-0000F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43" name="Picture 254" descr="logo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1958</xdr:row>
      <xdr:rowOff>0</xdr:rowOff>
    </xdr:from>
    <xdr:to>
      <xdr:col>11</xdr:col>
      <xdr:colOff>16937</xdr:colOff>
      <xdr:row>1961</xdr:row>
      <xdr:rowOff>0</xdr:rowOff>
    </xdr:to>
    <xdr:grpSp>
      <xdr:nvGrpSpPr>
        <xdr:cNvPr id="244" name="Group 6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GrpSpPr/>
      </xdr:nvGrpSpPr>
      <xdr:grpSpPr>
        <a:xfrm>
          <a:off x="1764306" y="252415261"/>
          <a:ext cx="2559588" cy="381000"/>
          <a:chOff x="1333600" y="0"/>
          <a:chExt cx="4196611" cy="577922"/>
        </a:xfrm>
      </xdr:grpSpPr>
      <xdr:pic>
        <xdr:nvPicPr>
          <xdr:cNvPr id="245" name="Picture 253" descr="logo deped city gawa ko">
            <a:extLst>
              <a:ext uri="{FF2B5EF4-FFF2-40B4-BE49-F238E27FC236}">
                <a16:creationId xmlns:a16="http://schemas.microsoft.com/office/drawing/2014/main" id="{00000000-0008-0000-0000-0000F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46" name="Picture 254" descr="logo">
            <a:extLst>
              <a:ext uri="{FF2B5EF4-FFF2-40B4-BE49-F238E27FC236}">
                <a16:creationId xmlns:a16="http://schemas.microsoft.com/office/drawing/2014/main" id="{00000000-0008-0000-0000-0000F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1958</xdr:row>
      <xdr:rowOff>0</xdr:rowOff>
    </xdr:from>
    <xdr:to>
      <xdr:col>11</xdr:col>
      <xdr:colOff>16937</xdr:colOff>
      <xdr:row>1961</xdr:row>
      <xdr:rowOff>0</xdr:rowOff>
    </xdr:to>
    <xdr:grpSp>
      <xdr:nvGrpSpPr>
        <xdr:cNvPr id="247" name="Group 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GrpSpPr/>
      </xdr:nvGrpSpPr>
      <xdr:grpSpPr>
        <a:xfrm>
          <a:off x="1764306" y="252415261"/>
          <a:ext cx="2559588" cy="381000"/>
          <a:chOff x="1333600" y="0"/>
          <a:chExt cx="4196611" cy="577922"/>
        </a:xfrm>
      </xdr:grpSpPr>
      <xdr:pic>
        <xdr:nvPicPr>
          <xdr:cNvPr id="248" name="Picture 253" descr="logo deped city gawa ko">
            <a:extLst>
              <a:ext uri="{FF2B5EF4-FFF2-40B4-BE49-F238E27FC236}">
                <a16:creationId xmlns:a16="http://schemas.microsoft.com/office/drawing/2014/main" id="{00000000-0008-0000-0000-0000F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49" name="Picture 254" descr="logo">
            <a:extLst>
              <a:ext uri="{FF2B5EF4-FFF2-40B4-BE49-F238E27FC236}">
                <a16:creationId xmlns:a16="http://schemas.microsoft.com/office/drawing/2014/main" id="{00000000-0008-0000-0000-0000F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1958</xdr:row>
      <xdr:rowOff>0</xdr:rowOff>
    </xdr:from>
    <xdr:to>
      <xdr:col>11</xdr:col>
      <xdr:colOff>16937</xdr:colOff>
      <xdr:row>1961</xdr:row>
      <xdr:rowOff>0</xdr:rowOff>
    </xdr:to>
    <xdr:grpSp>
      <xdr:nvGrpSpPr>
        <xdr:cNvPr id="250" name="Group 6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GrpSpPr/>
      </xdr:nvGrpSpPr>
      <xdr:grpSpPr>
        <a:xfrm>
          <a:off x="1764306" y="252415261"/>
          <a:ext cx="2559588" cy="381000"/>
          <a:chOff x="1333600" y="0"/>
          <a:chExt cx="4196611" cy="577922"/>
        </a:xfrm>
      </xdr:grpSpPr>
      <xdr:pic>
        <xdr:nvPicPr>
          <xdr:cNvPr id="251" name="Picture 253" descr="logo deped city gawa ko">
            <a:extLst>
              <a:ext uri="{FF2B5EF4-FFF2-40B4-BE49-F238E27FC236}">
                <a16:creationId xmlns:a16="http://schemas.microsoft.com/office/drawing/2014/main" id="{00000000-0008-0000-0000-0000F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52" name="Picture 254" descr="logo">
            <a:extLst>
              <a:ext uri="{FF2B5EF4-FFF2-40B4-BE49-F238E27FC236}">
                <a16:creationId xmlns:a16="http://schemas.microsoft.com/office/drawing/2014/main" id="{00000000-0008-0000-0000-0000F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1958</xdr:row>
      <xdr:rowOff>0</xdr:rowOff>
    </xdr:from>
    <xdr:to>
      <xdr:col>11</xdr:col>
      <xdr:colOff>16937</xdr:colOff>
      <xdr:row>1961</xdr:row>
      <xdr:rowOff>0</xdr:rowOff>
    </xdr:to>
    <xdr:grpSp>
      <xdr:nvGrpSpPr>
        <xdr:cNvPr id="253" name="Group 6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GrpSpPr/>
      </xdr:nvGrpSpPr>
      <xdr:grpSpPr>
        <a:xfrm>
          <a:off x="1764306" y="252415261"/>
          <a:ext cx="2559588" cy="381000"/>
          <a:chOff x="1333600" y="0"/>
          <a:chExt cx="4196611" cy="577922"/>
        </a:xfrm>
      </xdr:grpSpPr>
      <xdr:pic>
        <xdr:nvPicPr>
          <xdr:cNvPr id="254" name="Picture 253" descr="logo deped city gawa ko">
            <a:extLst>
              <a:ext uri="{FF2B5EF4-FFF2-40B4-BE49-F238E27FC236}">
                <a16:creationId xmlns:a16="http://schemas.microsoft.com/office/drawing/2014/main" id="{00000000-0008-0000-0000-0000F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55" name="Picture 254" descr="logo">
            <a:extLst>
              <a:ext uri="{FF2B5EF4-FFF2-40B4-BE49-F238E27FC236}">
                <a16:creationId xmlns:a16="http://schemas.microsoft.com/office/drawing/2014/main" id="{00000000-0008-0000-0000-0000F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13</xdr:col>
      <xdr:colOff>114300</xdr:colOff>
      <xdr:row>77</xdr:row>
      <xdr:rowOff>9525</xdr:rowOff>
    </xdr:from>
    <xdr:to>
      <xdr:col>13</xdr:col>
      <xdr:colOff>904875</xdr:colOff>
      <xdr:row>77</xdr:row>
      <xdr:rowOff>19050</xdr:rowOff>
    </xdr:to>
    <xdr:cxnSp macro="">
      <xdr:nvCxnSpPr>
        <xdr:cNvPr id="256" name="Straight Connector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CxnSpPr/>
      </xdr:nvCxnSpPr>
      <xdr:spPr>
        <a:xfrm flipV="1">
          <a:off x="6097905" y="10296525"/>
          <a:ext cx="7905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1064840</xdr:colOff>
      <xdr:row>0</xdr:row>
      <xdr:rowOff>47032</xdr:rowOff>
    </xdr:from>
    <xdr:to>
      <xdr:col>3</xdr:col>
      <xdr:colOff>139275</xdr:colOff>
      <xdr:row>4</xdr:row>
      <xdr:rowOff>59313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E43D2803-3D83-4DB6-8D87-0105BB595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297" y="47032"/>
          <a:ext cx="681892" cy="5819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mailto:sirronnie69@yahoo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FR2046"/>
  <sheetViews>
    <sheetView tabSelected="1" zoomScale="115" zoomScaleNormal="115" workbookViewId="0">
      <selection activeCell="FT22" sqref="FT22"/>
    </sheetView>
  </sheetViews>
  <sheetFormatPr defaultColWidth="9.08984375" defaultRowHeight="14.5"/>
  <cols>
    <col min="1" max="1" width="2.453125" style="3" customWidth="1"/>
    <col min="2" max="2" width="0.54296875" style="3" customWidth="1"/>
    <col min="3" max="3" width="23" style="3" customWidth="1"/>
    <col min="4" max="4" width="9" style="3" customWidth="1"/>
    <col min="5" max="5" width="5.6328125" style="3" customWidth="1"/>
    <col min="6" max="6" width="6" style="3" customWidth="1"/>
    <col min="7" max="7" width="3.08984375" style="3" customWidth="1"/>
    <col min="8" max="8" width="6.36328125" style="3" customWidth="1"/>
    <col min="9" max="9" width="2.453125" style="3" customWidth="1"/>
    <col min="10" max="10" width="0.6328125" style="3" customWidth="1"/>
    <col min="11" max="11" width="2.453125" style="3" customWidth="1"/>
    <col min="12" max="12" width="6" style="3" customWidth="1"/>
    <col min="13" max="13" width="18" style="3" customWidth="1"/>
    <col min="14" max="14" width="15.36328125" style="3" customWidth="1"/>
    <col min="15" max="43" width="20.6328125" style="4" hidden="1" customWidth="1"/>
    <col min="44" max="46" width="6.6328125" style="4" hidden="1" customWidth="1"/>
    <col min="47" max="47" width="28.6328125" style="4" hidden="1" customWidth="1"/>
    <col min="48" max="48" width="6.6328125" style="4" hidden="1" customWidth="1"/>
    <col min="49" max="49" width="9.90625" style="4" hidden="1" customWidth="1"/>
    <col min="50" max="51" width="9.6328125" style="4" hidden="1" customWidth="1"/>
    <col min="52" max="52" width="9.90625" style="4" hidden="1" customWidth="1"/>
    <col min="53" max="54" width="9.6328125" style="4" hidden="1" customWidth="1"/>
    <col min="55" max="55" width="4.6328125" style="4" hidden="1" customWidth="1"/>
    <col min="56" max="56" width="5.6328125" style="4" hidden="1" customWidth="1"/>
    <col min="57" max="73" width="9.08984375" style="4" hidden="1" customWidth="1"/>
    <col min="74" max="83" width="9.08984375" style="5" hidden="1" customWidth="1"/>
    <col min="84" max="85" width="9.08984375" style="4" hidden="1" customWidth="1"/>
    <col min="86" max="86" width="9.6328125" style="4" hidden="1" customWidth="1"/>
    <col min="87" max="92" width="9.08984375" style="4" hidden="1" customWidth="1"/>
    <col min="93" max="93" width="9.54296875" style="4" hidden="1" customWidth="1"/>
    <col min="94" max="109" width="9.08984375" style="4" hidden="1" customWidth="1"/>
    <col min="110" max="110" width="4.36328125" style="4" hidden="1" customWidth="1"/>
    <col min="111" max="111" width="5.6328125" style="4" hidden="1" customWidth="1"/>
    <col min="112" max="119" width="9.08984375" style="4" hidden="1" customWidth="1"/>
    <col min="120" max="120" width="16.90625" style="4" hidden="1" customWidth="1"/>
    <col min="121" max="125" width="9.08984375" style="4" hidden="1" customWidth="1"/>
    <col min="126" max="133" width="9.08984375" style="5" hidden="1" customWidth="1"/>
    <col min="134" max="144" width="9.08984375" style="4" hidden="1" customWidth="1"/>
    <col min="145" max="145" width="15.6328125" style="4" hidden="1" customWidth="1"/>
    <col min="146" max="148" width="9.08984375" style="4" hidden="1" customWidth="1"/>
    <col min="149" max="149" width="17" style="4" hidden="1" customWidth="1"/>
    <col min="150" max="150" width="14.90625" style="4" hidden="1" customWidth="1"/>
    <col min="151" max="151" width="11.08984375" style="4" hidden="1" customWidth="1"/>
    <col min="152" max="172" width="9.08984375" style="4" hidden="1" customWidth="1"/>
    <col min="173" max="174" width="9.08984375" style="4" customWidth="1"/>
    <col min="175" max="203" width="9.08984375" style="6" customWidth="1"/>
    <col min="204" max="16384" width="9.08984375" style="6"/>
  </cols>
  <sheetData>
    <row r="1" spans="1:174" ht="15.75" customHeight="1">
      <c r="A1" s="318" t="s">
        <v>0</v>
      </c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20"/>
      <c r="P1" s="20"/>
      <c r="Q1" s="20"/>
      <c r="R1" s="37" t="s">
        <v>1</v>
      </c>
      <c r="S1" s="20"/>
      <c r="T1" s="20"/>
      <c r="U1" s="20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BH1" s="4">
        <v>229</v>
      </c>
      <c r="BI1" s="4" t="s">
        <v>2</v>
      </c>
      <c r="BJ1" s="4" t="b">
        <f>AND(AX9=BI1,BC9=BH1)</f>
        <v>0</v>
      </c>
      <c r="BL1" s="4" t="s">
        <v>3</v>
      </c>
      <c r="DG1" s="4" t="s">
        <v>4</v>
      </c>
    </row>
    <row r="2" spans="1:174" ht="10.4" customHeight="1">
      <c r="A2" s="319"/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21"/>
      <c r="P2" s="21"/>
      <c r="Q2" s="21"/>
      <c r="R2" s="20"/>
      <c r="S2" s="21"/>
      <c r="T2" s="20"/>
      <c r="U2" s="39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</row>
    <row r="3" spans="1:174" ht="10.25" customHeight="1">
      <c r="A3" s="320"/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22"/>
      <c r="P3" s="22"/>
      <c r="Q3" s="22"/>
      <c r="R3" s="20"/>
      <c r="S3" s="22"/>
      <c r="T3" s="20"/>
      <c r="U3" s="22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</row>
    <row r="4" spans="1:174" ht="9.75" customHeight="1">
      <c r="A4" s="320" t="s">
        <v>415</v>
      </c>
      <c r="B4" s="320"/>
      <c r="C4" s="320"/>
      <c r="D4" s="320"/>
      <c r="E4" s="320"/>
      <c r="F4" s="320"/>
      <c r="G4" s="320"/>
      <c r="H4" s="320"/>
      <c r="I4" s="320"/>
      <c r="J4" s="320"/>
      <c r="K4" s="320"/>
      <c r="L4" s="320"/>
      <c r="M4" s="320"/>
      <c r="N4" s="320"/>
      <c r="O4" s="23"/>
      <c r="P4" s="23"/>
      <c r="Q4" s="23"/>
      <c r="R4" s="23"/>
      <c r="S4" s="23"/>
      <c r="T4" s="23"/>
      <c r="U4" s="23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5"/>
      <c r="AS4" s="46"/>
      <c r="AT4" s="46"/>
      <c r="AU4" s="46"/>
      <c r="AV4" s="46"/>
      <c r="AW4" s="46"/>
      <c r="AX4" s="46"/>
      <c r="AY4" s="42"/>
      <c r="AZ4" s="42"/>
      <c r="BA4" s="42"/>
      <c r="BB4" s="42"/>
      <c r="CA4" s="329"/>
      <c r="CB4" s="329"/>
      <c r="CC4" s="325"/>
      <c r="CD4" s="329"/>
      <c r="CE4" s="329"/>
      <c r="CF4" s="330"/>
      <c r="CG4" s="330"/>
      <c r="CH4" s="63"/>
      <c r="CI4" s="330"/>
      <c r="CJ4" s="330"/>
      <c r="CK4" s="330"/>
      <c r="CL4" s="330"/>
    </row>
    <row r="5" spans="1:174" s="1" customFormat="1" ht="9.75" customHeight="1">
      <c r="A5" s="321"/>
      <c r="B5" s="321"/>
      <c r="C5" s="321"/>
      <c r="D5" s="321"/>
      <c r="E5" s="321"/>
      <c r="F5" s="321"/>
      <c r="G5" s="321"/>
      <c r="H5" s="321"/>
      <c r="I5" s="321"/>
      <c r="J5" s="321"/>
      <c r="K5" s="321"/>
      <c r="L5" s="321"/>
      <c r="M5" s="321"/>
      <c r="N5" s="321"/>
      <c r="O5" s="24"/>
      <c r="P5" s="24"/>
      <c r="Q5" s="24"/>
      <c r="R5" s="24"/>
      <c r="S5" s="24"/>
      <c r="T5" s="24"/>
      <c r="U5" s="24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7"/>
      <c r="AS5" s="47"/>
      <c r="AT5" s="47"/>
      <c r="AU5" s="47"/>
      <c r="AV5" s="47"/>
      <c r="AW5" s="47"/>
      <c r="AX5" s="47"/>
      <c r="AY5" s="47"/>
      <c r="AZ5" s="54"/>
      <c r="BA5" s="47"/>
      <c r="BB5" s="55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"/>
      <c r="BW5" s="5"/>
      <c r="BX5" s="5"/>
      <c r="BY5" s="5"/>
      <c r="BZ5" s="5"/>
      <c r="CA5" s="329"/>
      <c r="CB5" s="329"/>
      <c r="CC5" s="325"/>
      <c r="CD5" s="329"/>
      <c r="CE5" s="329"/>
      <c r="CF5" s="330"/>
      <c r="CG5" s="330"/>
      <c r="CH5" s="63"/>
      <c r="CI5" s="330"/>
      <c r="CJ5" s="330"/>
      <c r="CK5" s="330"/>
      <c r="CL5" s="330"/>
      <c r="CM5" s="56"/>
      <c r="CN5" s="56"/>
      <c r="CO5" s="56"/>
      <c r="CP5" s="56"/>
      <c r="CQ5" s="56"/>
      <c r="CR5" s="56"/>
      <c r="CS5" s="56"/>
      <c r="CT5" s="56"/>
      <c r="CU5" s="56"/>
      <c r="CV5" s="56"/>
      <c r="CW5" s="56"/>
      <c r="CX5" s="56"/>
      <c r="CY5" s="56"/>
      <c r="CZ5" s="56"/>
      <c r="DA5" s="56"/>
      <c r="DB5" s="103"/>
      <c r="DC5" s="104"/>
      <c r="DD5" s="104"/>
      <c r="DE5" s="104"/>
      <c r="DF5" s="104"/>
      <c r="DG5" s="56"/>
      <c r="DH5" s="103"/>
      <c r="DI5" s="104"/>
      <c r="DJ5" s="104"/>
      <c r="DK5" s="104"/>
      <c r="DL5" s="56"/>
      <c r="DM5" s="56"/>
      <c r="DN5" s="56"/>
      <c r="DO5" s="56"/>
      <c r="DP5" s="56"/>
      <c r="DQ5" s="56"/>
      <c r="DR5" s="56"/>
      <c r="DS5" s="56"/>
      <c r="DT5" s="56"/>
      <c r="DU5" s="56"/>
      <c r="DV5" s="5"/>
      <c r="DW5" s="5"/>
      <c r="DX5" s="5"/>
      <c r="DY5" s="5"/>
      <c r="DZ5" s="5"/>
      <c r="EA5" s="5"/>
      <c r="EB5" s="5"/>
      <c r="EC5" s="5"/>
      <c r="ED5" s="56"/>
      <c r="EE5" s="56"/>
      <c r="EF5" s="56"/>
      <c r="EG5" s="56"/>
      <c r="EH5" s="56"/>
      <c r="EI5" s="56"/>
      <c r="EJ5" s="56"/>
      <c r="EK5" s="56"/>
      <c r="EL5" s="56"/>
      <c r="EM5" s="56"/>
      <c r="EN5" s="56"/>
      <c r="EO5" s="56"/>
      <c r="EP5" s="56"/>
      <c r="EQ5" s="56"/>
      <c r="ER5" s="56"/>
      <c r="ES5" s="56"/>
      <c r="ET5" s="56"/>
      <c r="EU5" s="56"/>
      <c r="EV5" s="56"/>
      <c r="EW5" s="56"/>
      <c r="EX5" s="56"/>
      <c r="EY5" s="56"/>
      <c r="EZ5" s="56"/>
      <c r="FA5" s="56"/>
      <c r="FB5" s="56"/>
      <c r="FC5" s="56"/>
      <c r="FD5" s="56"/>
      <c r="FE5" s="56"/>
      <c r="FF5" s="56"/>
      <c r="FG5" s="56"/>
      <c r="FH5" s="56"/>
      <c r="FI5" s="56"/>
      <c r="FJ5" s="56"/>
      <c r="FK5" s="56"/>
      <c r="FL5" s="56"/>
      <c r="FM5" s="56"/>
      <c r="FN5" s="56"/>
      <c r="FO5" s="56"/>
      <c r="FP5" s="56"/>
      <c r="FQ5" s="56"/>
      <c r="FR5" s="56"/>
    </row>
    <row r="6" spans="1:174" s="1" customFormat="1" ht="12.75" customHeight="1">
      <c r="A6" s="322" t="s">
        <v>5</v>
      </c>
      <c r="B6" s="322"/>
      <c r="C6" s="322"/>
      <c r="D6" s="323"/>
      <c r="E6" s="323"/>
      <c r="F6" s="323"/>
      <c r="G6" s="7"/>
      <c r="H6" s="7"/>
      <c r="I6" s="322"/>
      <c r="J6" s="322"/>
      <c r="K6" s="322"/>
      <c r="L6" s="25"/>
      <c r="M6" s="26"/>
      <c r="N6" s="27"/>
      <c r="O6" s="24"/>
      <c r="P6" s="24"/>
      <c r="Q6" s="24"/>
      <c r="R6" s="24"/>
      <c r="S6" s="24"/>
      <c r="T6" s="24"/>
      <c r="U6" s="24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8"/>
      <c r="AS6" s="48"/>
      <c r="AT6" s="48"/>
      <c r="AU6" s="48"/>
      <c r="AV6" s="48"/>
      <c r="AW6" s="48"/>
      <c r="AX6" s="57"/>
      <c r="AY6" s="57"/>
      <c r="AZ6" s="54"/>
      <c r="BA6" s="47"/>
      <c r="BB6" s="55"/>
      <c r="BC6" s="56"/>
      <c r="BD6" s="56"/>
      <c r="BE6" s="56"/>
      <c r="BF6" s="56" t="s">
        <v>6</v>
      </c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"/>
      <c r="BW6" s="5"/>
      <c r="BX6" s="5"/>
      <c r="BY6" s="5"/>
      <c r="BZ6" s="5"/>
      <c r="CA6" s="5"/>
      <c r="CB6" s="5"/>
      <c r="CC6" s="62"/>
      <c r="CD6" s="5"/>
      <c r="CE6" s="5"/>
      <c r="CF6" s="63"/>
      <c r="CG6" s="324" t="s">
        <v>7</v>
      </c>
      <c r="CH6" s="324"/>
      <c r="CI6" s="324"/>
      <c r="CJ6" s="324"/>
      <c r="CK6" s="324"/>
      <c r="CL6" s="324"/>
      <c r="CM6" s="324"/>
      <c r="CN6" s="392" t="s">
        <v>8</v>
      </c>
      <c r="CO6" s="392"/>
      <c r="CP6" s="392"/>
      <c r="CQ6" s="392"/>
      <c r="CR6" s="392"/>
      <c r="CS6" s="392"/>
      <c r="CT6" s="392"/>
      <c r="CU6" s="56"/>
      <c r="CV6" s="56"/>
      <c r="CW6" s="56"/>
      <c r="CX6" s="56"/>
      <c r="CY6" s="56"/>
      <c r="CZ6" s="56"/>
      <c r="DA6" s="56"/>
      <c r="DB6" s="103"/>
      <c r="DC6" s="104"/>
      <c r="DD6" s="104"/>
      <c r="DE6" s="104"/>
      <c r="DF6" s="104"/>
      <c r="DG6" s="56"/>
      <c r="DH6" s="103"/>
      <c r="DI6" s="104"/>
      <c r="DJ6" s="104"/>
      <c r="DK6" s="104"/>
      <c r="DL6" s="56"/>
      <c r="DM6" s="56"/>
      <c r="DN6" s="56"/>
      <c r="DO6" s="56"/>
      <c r="DP6" s="56"/>
      <c r="DQ6" s="56"/>
      <c r="DR6" s="56"/>
      <c r="DS6" s="56"/>
      <c r="DT6" s="56"/>
      <c r="DU6" s="56"/>
      <c r="DV6" s="5"/>
      <c r="DW6" s="5"/>
      <c r="DX6" s="5"/>
      <c r="DY6" s="5"/>
      <c r="DZ6" s="5"/>
      <c r="EA6" s="5"/>
      <c r="EB6" s="5"/>
      <c r="EC6" s="5"/>
      <c r="ED6" s="56"/>
      <c r="EE6" s="56"/>
      <c r="EF6" s="56"/>
      <c r="EG6" s="56"/>
      <c r="EH6" s="56"/>
      <c r="EI6" s="56"/>
      <c r="EJ6" s="56"/>
      <c r="EK6" s="56"/>
      <c r="EL6" s="56"/>
      <c r="EM6" s="56"/>
      <c r="EN6" s="56"/>
      <c r="EO6" s="56"/>
      <c r="EP6" s="56"/>
      <c r="EQ6" s="56"/>
      <c r="ER6" s="56"/>
      <c r="ES6" s="56"/>
      <c r="ET6" s="56"/>
      <c r="EU6" s="56"/>
      <c r="EV6" s="56"/>
      <c r="EW6" s="56"/>
      <c r="EX6" s="56"/>
      <c r="EY6" s="56"/>
      <c r="EZ6" s="56"/>
      <c r="FA6" s="56"/>
      <c r="FB6" s="56"/>
      <c r="FC6" s="56"/>
      <c r="FD6" s="56"/>
      <c r="FE6" s="56"/>
      <c r="FF6" s="56"/>
      <c r="FG6" s="56"/>
      <c r="FH6" s="56"/>
      <c r="FI6" s="56"/>
      <c r="FJ6" s="56"/>
      <c r="FK6" s="56"/>
      <c r="FL6" s="56"/>
      <c r="FM6" s="56"/>
      <c r="FN6" s="56"/>
      <c r="FO6" s="56"/>
      <c r="FP6" s="56"/>
      <c r="FQ6" s="56"/>
      <c r="FR6" s="56"/>
    </row>
    <row r="7" spans="1:174" ht="19.5" customHeight="1">
      <c r="A7" s="393" t="s">
        <v>9</v>
      </c>
      <c r="B7" s="394"/>
      <c r="C7" s="395"/>
      <c r="D7" s="338" t="s">
        <v>10</v>
      </c>
      <c r="E7" s="338" t="s">
        <v>11</v>
      </c>
      <c r="F7" s="378" t="s">
        <v>12</v>
      </c>
      <c r="G7" s="338" t="s">
        <v>13</v>
      </c>
      <c r="H7" s="338" t="s">
        <v>14</v>
      </c>
      <c r="I7" s="326" t="s">
        <v>15</v>
      </c>
      <c r="J7" s="327"/>
      <c r="K7" s="328"/>
      <c r="L7" s="338" t="s">
        <v>16</v>
      </c>
      <c r="M7" s="340" t="s">
        <v>17</v>
      </c>
      <c r="N7" s="380" t="s">
        <v>18</v>
      </c>
      <c r="O7" s="28"/>
      <c r="P7" s="28"/>
      <c r="Q7" s="28"/>
      <c r="R7" s="28"/>
      <c r="S7" s="28"/>
      <c r="T7" s="28"/>
      <c r="U7" s="28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49"/>
      <c r="AS7" s="49"/>
      <c r="AT7" s="49"/>
      <c r="AU7" s="49"/>
      <c r="AV7" s="5"/>
      <c r="AW7" s="58"/>
      <c r="AX7" s="58"/>
      <c r="AY7" s="59"/>
      <c r="AZ7" s="59"/>
      <c r="BA7" s="382"/>
      <c r="BB7" s="382"/>
      <c r="BE7" s="325" t="s">
        <v>19</v>
      </c>
      <c r="BF7" s="346" t="s">
        <v>20</v>
      </c>
      <c r="BG7" s="382" t="s">
        <v>21</v>
      </c>
      <c r="BH7" s="382" t="s">
        <v>22</v>
      </c>
      <c r="BI7" s="383" t="s">
        <v>23</v>
      </c>
      <c r="BJ7" s="330"/>
      <c r="BK7" s="399" t="s">
        <v>24</v>
      </c>
      <c r="BL7" s="399"/>
      <c r="BM7" s="399"/>
      <c r="BN7" s="399"/>
      <c r="BO7" s="399"/>
      <c r="BP7" s="399"/>
      <c r="BQ7" s="399"/>
      <c r="BR7" s="399"/>
      <c r="BS7" s="399"/>
      <c r="BT7" s="399"/>
      <c r="BV7" s="399" t="s">
        <v>25</v>
      </c>
      <c r="BW7" s="399"/>
      <c r="BX7" s="399"/>
      <c r="BY7" s="399"/>
      <c r="BZ7" s="399"/>
      <c r="CA7" s="399"/>
      <c r="CB7" s="399"/>
      <c r="CC7" s="399"/>
      <c r="CD7" s="399"/>
      <c r="CE7" s="399"/>
      <c r="CF7" s="63"/>
      <c r="CG7" s="325" t="s">
        <v>19</v>
      </c>
      <c r="CH7" s="325" t="s">
        <v>26</v>
      </c>
      <c r="CI7" s="346" t="s">
        <v>20</v>
      </c>
      <c r="CJ7" s="346" t="s">
        <v>6</v>
      </c>
      <c r="CK7" s="382" t="s">
        <v>21</v>
      </c>
      <c r="CL7" s="382" t="s">
        <v>22</v>
      </c>
      <c r="CM7" s="383" t="s">
        <v>23</v>
      </c>
      <c r="CN7" s="325" t="s">
        <v>19</v>
      </c>
      <c r="CO7" s="325" t="s">
        <v>26</v>
      </c>
      <c r="CP7" s="346" t="s">
        <v>20</v>
      </c>
      <c r="CQ7" s="346" t="s">
        <v>6</v>
      </c>
      <c r="CR7" s="382" t="s">
        <v>21</v>
      </c>
      <c r="CS7" s="382" t="s">
        <v>22</v>
      </c>
      <c r="CT7" s="383" t="s">
        <v>23</v>
      </c>
      <c r="CV7" s="399" t="s">
        <v>27</v>
      </c>
      <c r="CW7" s="399"/>
      <c r="CX7" s="399"/>
      <c r="CY7" s="399"/>
      <c r="CZ7" s="399"/>
      <c r="DA7" s="399"/>
      <c r="DB7" s="399"/>
      <c r="DC7" s="399"/>
      <c r="DD7" s="399"/>
      <c r="DE7" s="399"/>
      <c r="DG7" s="399" t="s">
        <v>28</v>
      </c>
      <c r="DH7" s="399"/>
      <c r="DI7" s="399"/>
      <c r="DJ7" s="399"/>
      <c r="DK7" s="399"/>
      <c r="DL7" s="399"/>
      <c r="DM7" s="399"/>
      <c r="DN7" s="399"/>
      <c r="DO7" s="399"/>
      <c r="DP7" s="399"/>
      <c r="DV7" s="329" t="s">
        <v>29</v>
      </c>
      <c r="DW7" s="329"/>
      <c r="DX7" s="329"/>
      <c r="DY7" s="329"/>
      <c r="DZ7" s="329"/>
      <c r="EA7" s="329"/>
      <c r="EB7" s="329"/>
      <c r="EC7" s="329"/>
      <c r="EE7" s="330" t="s">
        <v>30</v>
      </c>
      <c r="EF7" s="330"/>
      <c r="EG7" s="330"/>
      <c r="EH7" s="330"/>
      <c r="EI7" s="330"/>
      <c r="EJ7" s="330"/>
      <c r="EK7" s="330"/>
      <c r="EL7" s="330"/>
      <c r="EO7" s="330" t="s">
        <v>31</v>
      </c>
      <c r="EP7" s="330"/>
      <c r="EQ7" s="330"/>
      <c r="ER7" s="330"/>
      <c r="ES7" s="330" t="s">
        <v>32</v>
      </c>
      <c r="ET7" s="330"/>
      <c r="EU7" s="330"/>
      <c r="EV7" s="330"/>
      <c r="EW7" s="330" t="s">
        <v>31</v>
      </c>
      <c r="EX7" s="330"/>
      <c r="EY7" s="330"/>
      <c r="EZ7" s="330"/>
      <c r="FA7" s="330" t="s">
        <v>33</v>
      </c>
      <c r="FB7" s="330"/>
      <c r="FC7" s="330"/>
      <c r="FD7" s="330"/>
    </row>
    <row r="8" spans="1:174" ht="12" customHeight="1">
      <c r="A8" s="396"/>
      <c r="B8" s="397"/>
      <c r="C8" s="398"/>
      <c r="D8" s="339"/>
      <c r="E8" s="339"/>
      <c r="F8" s="379"/>
      <c r="G8" s="339"/>
      <c r="H8" s="339"/>
      <c r="I8" s="29" t="s">
        <v>34</v>
      </c>
      <c r="J8" s="30" t="s">
        <v>35</v>
      </c>
      <c r="K8" s="31" t="s">
        <v>7</v>
      </c>
      <c r="L8" s="339"/>
      <c r="M8" s="341"/>
      <c r="N8" s="381"/>
      <c r="O8" s="28"/>
      <c r="P8" s="28"/>
      <c r="Q8" s="28"/>
      <c r="R8" s="28"/>
      <c r="S8" s="28"/>
      <c r="T8" s="28"/>
      <c r="U8" s="28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49"/>
      <c r="AS8" s="49"/>
      <c r="AT8" s="49"/>
      <c r="AU8" s="49"/>
      <c r="AV8" s="50"/>
      <c r="AW8" s="58"/>
      <c r="AX8" s="58"/>
      <c r="AY8" s="59"/>
      <c r="AZ8" s="59"/>
      <c r="BA8" s="382"/>
      <c r="BB8" s="382"/>
      <c r="BE8" s="325"/>
      <c r="BF8" s="346"/>
      <c r="BG8" s="382"/>
      <c r="BH8" s="382"/>
      <c r="BI8" s="383"/>
      <c r="BJ8" s="330"/>
      <c r="BK8" s="399"/>
      <c r="BL8" s="399"/>
      <c r="BM8" s="399"/>
      <c r="BN8" s="399"/>
      <c r="BO8" s="399"/>
      <c r="BP8" s="399"/>
      <c r="BQ8" s="399"/>
      <c r="BR8" s="399"/>
      <c r="BS8" s="399"/>
      <c r="BT8" s="399"/>
      <c r="BV8" s="399"/>
      <c r="BW8" s="399"/>
      <c r="BX8" s="399"/>
      <c r="BY8" s="399"/>
      <c r="BZ8" s="399"/>
      <c r="CA8" s="399"/>
      <c r="CB8" s="399"/>
      <c r="CC8" s="399"/>
      <c r="CD8" s="399"/>
      <c r="CE8" s="399"/>
      <c r="CF8" s="63"/>
      <c r="CG8" s="325"/>
      <c r="CH8" s="325"/>
      <c r="CI8" s="346"/>
      <c r="CJ8" s="346"/>
      <c r="CK8" s="382"/>
      <c r="CL8" s="382"/>
      <c r="CM8" s="383"/>
      <c r="CN8" s="325"/>
      <c r="CO8" s="325"/>
      <c r="CP8" s="346"/>
      <c r="CQ8" s="346"/>
      <c r="CR8" s="382"/>
      <c r="CS8" s="382"/>
      <c r="CT8" s="383"/>
      <c r="CV8" s="399"/>
      <c r="CW8" s="399"/>
      <c r="CX8" s="399"/>
      <c r="CY8" s="399"/>
      <c r="CZ8" s="399"/>
      <c r="DA8" s="399"/>
      <c r="DB8" s="399"/>
      <c r="DC8" s="399"/>
      <c r="DD8" s="399"/>
      <c r="DE8" s="399"/>
      <c r="DG8" s="399"/>
      <c r="DH8" s="399"/>
      <c r="DI8" s="399"/>
      <c r="DJ8" s="399"/>
      <c r="DK8" s="399"/>
      <c r="DL8" s="399"/>
      <c r="DM8" s="399"/>
      <c r="DN8" s="399"/>
      <c r="DO8" s="399"/>
      <c r="DP8" s="399"/>
      <c r="DQ8" s="4" t="s">
        <v>36</v>
      </c>
      <c r="DR8" s="4" t="s">
        <v>37</v>
      </c>
      <c r="DS8" s="4" t="s">
        <v>38</v>
      </c>
      <c r="EO8" s="4" t="s">
        <v>39</v>
      </c>
      <c r="EP8" s="4" t="s">
        <v>40</v>
      </c>
      <c r="EQ8" s="4" t="s">
        <v>41</v>
      </c>
      <c r="ER8" s="4" t="s">
        <v>42</v>
      </c>
      <c r="ES8" s="4" t="s">
        <v>39</v>
      </c>
      <c r="ET8" s="5" t="s">
        <v>43</v>
      </c>
      <c r="EU8" s="4" t="s">
        <v>41</v>
      </c>
      <c r="EV8" s="4" t="s">
        <v>42</v>
      </c>
      <c r="EW8" s="4" t="s">
        <v>39</v>
      </c>
      <c r="EX8" s="5" t="s">
        <v>43</v>
      </c>
      <c r="EY8" s="4" t="s">
        <v>41</v>
      </c>
      <c r="EZ8" s="4" t="s">
        <v>42</v>
      </c>
      <c r="FA8" s="4" t="s">
        <v>39</v>
      </c>
      <c r="FB8" s="5" t="s">
        <v>43</v>
      </c>
      <c r="FC8" s="4" t="s">
        <v>41</v>
      </c>
      <c r="FD8" s="4" t="s">
        <v>42</v>
      </c>
    </row>
    <row r="9" spans="1:174" ht="10.5" customHeight="1">
      <c r="A9" s="8" t="str">
        <f>IF(C9="","","1")</f>
        <v/>
      </c>
      <c r="B9" s="9" t="str">
        <f t="shared" ref="B9:B40" si="0">IF(A9="","",".")</f>
        <v/>
      </c>
      <c r="C9" s="10"/>
      <c r="D9" s="11"/>
      <c r="E9" s="12"/>
      <c r="F9" s="12"/>
      <c r="G9" s="13"/>
      <c r="H9" s="14" t="str">
        <f t="shared" ref="H9:H40" si="1">IF(F9="","",IF(AY9&lt;6,"",ROUNDDOWN(F9^2,4)))</f>
        <v/>
      </c>
      <c r="I9" s="8" t="str">
        <f t="shared" ref="I9:I40" si="2">IF(D9="","",IF(AY9&lt;=5,"",AY9))</f>
        <v/>
      </c>
      <c r="J9" s="9" t="str">
        <f t="shared" ref="J9:J40" si="3">IF(I9="","",",")</f>
        <v/>
      </c>
      <c r="K9" s="32" t="str">
        <f t="shared" ref="K9:K40" si="4">IF(D9="","",IF(I9="",BC9,AZ9))</f>
        <v/>
      </c>
      <c r="L9" s="33" t="str">
        <f t="shared" ref="L9:L40" si="5">IF(F9="","",IF(I9="","",ROUNDDOWN(E9/H9,1)))</f>
        <v/>
      </c>
      <c r="M9" s="34" t="str">
        <f t="shared" ref="M9:M40" si="6">IF(G9="","",IF(AY9&lt;6,DP9,BJ9))</f>
        <v/>
      </c>
      <c r="N9" s="35" t="str">
        <f t="shared" ref="N9:N40" si="7">IF(G9="","",IF(BC9=229,"Adult",IF(F9&lt;=ES9,$ES$8,IF(F9&lt;=ET9,$ET$8,IF(F9&lt;=EU9,$EU$8,$EV$8)))))</f>
        <v/>
      </c>
      <c r="O9" s="36"/>
      <c r="P9" s="36">
        <f>COUNTIFS($N$9:$N$73,"Adult",$G$9:$G$73,"=M")</f>
        <v>0</v>
      </c>
      <c r="Q9" s="36">
        <f>COUNTIFS($N$9:$N$73,"Adult",$G$9:$G$73,"=f")</f>
        <v>0</v>
      </c>
      <c r="R9" s="36"/>
      <c r="S9" s="36"/>
      <c r="T9" s="36"/>
      <c r="U9" s="36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6"/>
      <c r="AS9" s="46"/>
      <c r="AT9" s="46"/>
      <c r="AU9" s="46"/>
      <c r="AV9" s="51"/>
      <c r="AW9" s="5"/>
      <c r="AX9" s="5"/>
      <c r="AY9" s="60" t="str">
        <f t="shared" ref="AY9:AY40" si="8">IF(D9="","",BA9-YEAR(D9))</f>
        <v/>
      </c>
      <c r="AZ9" s="60" t="str">
        <f t="shared" ref="AZ9:AZ40" si="9">IF(D9="","",IF(BB9&gt;=MONTH(D9),BB9-MONTH(D9),BB9+12-MONTH(D9)))</f>
        <v/>
      </c>
      <c r="BA9" s="61" t="str">
        <f t="shared" ref="BA9:BA40" si="10">IF(D9="","",IF(R$1=G$84,IF(BB9&gt;=MONTH(D9),YEAR(D$6),YEAR(D$6)-1),""))</f>
        <v/>
      </c>
      <c r="BB9" s="61" t="str">
        <f t="shared" ref="BB9:BB40" si="11">IF(D9="","",IF(DAY(D$6)&gt;=DAY(D9),MONTH(D$6),MONTH(D$6)-1))</f>
        <v/>
      </c>
      <c r="BC9" s="61" t="str">
        <f t="shared" ref="BC9:BC40" si="12">IF(D9="","",IF(AY9*12+AZ9&gt;228,229,AY9*12+AZ9))</f>
        <v/>
      </c>
      <c r="BD9" s="61" t="str">
        <f t="shared" ref="BD9:BD40" si="13">IF(L9="","",L9)</f>
        <v/>
      </c>
      <c r="BE9" s="64" t="str">
        <f t="shared" ref="BE9:BE40" si="14">IF(F9="","",IF(G9="m",LOOKUP($BC9,$BL$12:$BL$184,$BM$12:$BM$184),LOOKUP($BC9,$BW$12:$BW$184,$BX$12:$BX$184)))</f>
        <v/>
      </c>
      <c r="BF9" s="64" t="str">
        <f t="shared" ref="BF9:BF40" si="15">IF(F9="","",IF(G9="m",LOOKUP($BC9,$BL$12:$BL$184,$BO$12:$BO$184),LOOKUP($BC9,$BW$12:$BW$184,$BZ$12:$BZ$184)))</f>
        <v/>
      </c>
      <c r="BG9" s="64" t="str">
        <f t="shared" ref="BG9:BG40" si="16">IF(F9="","",IF(G9="m",LOOKUP($BC9,$BL$12:$BL$184,$BQ$12:$BQ$184),LOOKUP($BC9,$BW$12:$BW$184,$CB$12:$CB$184)))</f>
        <v/>
      </c>
      <c r="BH9" s="64" t="str">
        <f t="shared" ref="BH9:BH40" si="17">IF(F9="","",IF(G9="m",LOOKUP($BC9,$BL$12:$BL$184,$BS$12:$BS$184),LOOKUP($BC9,$BW$12:$BW$184,$CD$12:$CD$184)))</f>
        <v/>
      </c>
      <c r="BI9" s="65"/>
      <c r="BJ9" s="66" t="str">
        <f t="shared" ref="BJ9:BJ40" si="18">IF(BD9="","",IF(AY9&lt;5,"",IF(BD9&lt;=BE9,$BE$7,IF(BD9&lt;=BF9,$BF$7,IF(BD9&lt;=BG9,$BG$7,IF(BD9&lt;=BH9,$BH$7,$BI$7))))))</f>
        <v/>
      </c>
      <c r="BK9" s="330"/>
      <c r="BL9" s="330"/>
      <c r="BM9" s="342" t="s">
        <v>44</v>
      </c>
      <c r="BN9" s="384" t="s">
        <v>45</v>
      </c>
      <c r="BO9" s="385"/>
      <c r="BP9" s="388" t="s">
        <v>46</v>
      </c>
      <c r="BQ9" s="389"/>
      <c r="BR9" s="388" t="s">
        <v>47</v>
      </c>
      <c r="BS9" s="389"/>
      <c r="BT9" s="344" t="s">
        <v>48</v>
      </c>
      <c r="BV9" s="329"/>
      <c r="BW9" s="329"/>
      <c r="BX9" s="342" t="s">
        <v>44</v>
      </c>
      <c r="BY9" s="384" t="s">
        <v>45</v>
      </c>
      <c r="BZ9" s="385"/>
      <c r="CA9" s="388" t="s">
        <v>46</v>
      </c>
      <c r="CB9" s="389"/>
      <c r="CC9" s="388" t="s">
        <v>47</v>
      </c>
      <c r="CD9" s="389"/>
      <c r="CE9" s="344" t="s">
        <v>48</v>
      </c>
      <c r="CF9" s="63"/>
      <c r="CG9" s="91" t="str">
        <f t="shared" ref="CG9:CG40" si="19">IF($G9="","",IF($G9="f","",IF($M9=$CG$7,1,0)))</f>
        <v/>
      </c>
      <c r="CH9" s="91"/>
      <c r="CI9" s="91" t="str">
        <f t="shared" ref="CI9:CI40" si="20">IF($G9="","",IF($G9="f","",IF($M9=$CI$7,1,0)))</f>
        <v/>
      </c>
      <c r="CJ9" s="91"/>
      <c r="CK9" s="91" t="str">
        <f t="shared" ref="CK9:CK40" si="21">IF($G9="","",IF($G9="f","",IF($M9=$CK$7,1,0)))</f>
        <v/>
      </c>
      <c r="CL9" s="91" t="str">
        <f t="shared" ref="CL9:CL40" si="22">IF($G9="","",IF($G9="f","",IF($M9=$CL$7,1,0)))</f>
        <v/>
      </c>
      <c r="CM9" s="91" t="str">
        <f t="shared" ref="CM9:CM40" si="23">IF($G9="","",IF($G9="f","",IF($M9=$CM$7,1,0)))</f>
        <v/>
      </c>
      <c r="CN9" s="91" t="str">
        <f t="shared" ref="CN9:CN40" si="24">IF(G9="","",IF(G9="m","",IF($M9=$CN$7,1,0)))</f>
        <v/>
      </c>
      <c r="CO9" s="91" t="str">
        <f t="shared" ref="CO9:CO40" si="25">IF(G9="","",IF(G9="m","",IF($M9=$CO$7,1,0)))</f>
        <v/>
      </c>
      <c r="CP9" s="91" t="str">
        <f t="shared" ref="CP9:CP40" si="26">IF(G9="","",IF(G9="m","",IF($M9=$CP$7,1,0)))</f>
        <v/>
      </c>
      <c r="CQ9" s="91" t="str">
        <f t="shared" ref="CQ9:CQ40" si="27">IF(G9="","",IF(G9="m","",IF($M9=$CQ$7,1,0)))</f>
        <v/>
      </c>
      <c r="CR9" s="91" t="str">
        <f t="shared" ref="CR9:CR40" si="28">IF(G9="","",IF(G9="m","",IF($M9=$CR$7,1,0)))</f>
        <v/>
      </c>
      <c r="CS9" s="91" t="str">
        <f t="shared" ref="CS9:CS40" si="29">IF(G9="","",IF(G9="m","",IF($M9=$CS$7,1,0)))</f>
        <v/>
      </c>
      <c r="CT9" s="91" t="str">
        <f t="shared" ref="CT9:CT40" si="30">IF(G9="","",IF(G9="m","",IF($M9=$CT$7,1,0)))</f>
        <v/>
      </c>
      <c r="CV9" s="330"/>
      <c r="CW9" s="330"/>
      <c r="CX9" s="325" t="s">
        <v>19</v>
      </c>
      <c r="CY9" s="330" t="s">
        <v>20</v>
      </c>
      <c r="CZ9" s="330"/>
      <c r="DA9" s="330" t="s">
        <v>21</v>
      </c>
      <c r="DB9" s="330"/>
      <c r="DC9" s="330" t="s">
        <v>22</v>
      </c>
      <c r="DD9" s="330"/>
      <c r="DE9" s="330"/>
      <c r="DG9" s="330"/>
      <c r="DH9" s="330"/>
      <c r="DI9" s="325" t="s">
        <v>19</v>
      </c>
      <c r="DJ9" s="330" t="s">
        <v>20</v>
      </c>
      <c r="DK9" s="330"/>
      <c r="DL9" s="330" t="s">
        <v>21</v>
      </c>
      <c r="DM9" s="330"/>
      <c r="DN9" s="330" t="s">
        <v>22</v>
      </c>
      <c r="DO9" s="330"/>
      <c r="DP9" s="66" t="str">
        <f t="shared" ref="DP9:DP40" si="31">IF(AY9&gt;5,"",IF(E9&lt;=DQ9,$DI$9,IF(E9&lt;=DR9,$DJ$9,IF(E9&lt;=DS9,$DL$9,$DN$9))))</f>
        <v/>
      </c>
      <c r="DQ9" s="60" t="str">
        <f t="shared" ref="DQ9:DQ40" si="32">IF(G9="","",IF(AY9&gt;=6,"",IF(G9="m",LOOKUP(BC9,$CW$12:$CW$83,$CX$12:$CX$83),LOOKUP(BC9,$CW$12:$CW$83,$DI$12:$DI$83))))</f>
        <v/>
      </c>
      <c r="DR9" s="60" t="str">
        <f t="shared" ref="DR9:DR40" si="33">IF(G9="","",IF(AY9&gt;=6,"",IF(G9="m",LOOKUP(BC9,$CW$12:$CW$83,$CZ$12:$CZ$83),LOOKUP(BC9,$CW$12:$CW$83,$DK$12:$DK$83))))</f>
        <v/>
      </c>
      <c r="DS9" s="60" t="str">
        <f t="shared" ref="DS9:DS40" si="34">IF(G9="","",IF(AY9&gt;=6,"",IF(G9="m",LOOKUP(BC9,$CW$12:$CW$83,$DB$12:$DB$83),LOOKUP(BC9,$CW$12:$CW$83,$DM$12:$DM$83))))</f>
        <v/>
      </c>
      <c r="DV9" s="106"/>
      <c r="DW9" s="106"/>
      <c r="DX9" s="106" t="s">
        <v>39</v>
      </c>
      <c r="DY9" s="331" t="s">
        <v>49</v>
      </c>
      <c r="DZ9" s="332"/>
      <c r="EA9" s="331" t="s">
        <v>46</v>
      </c>
      <c r="EB9" s="332"/>
      <c r="EC9" s="106" t="s">
        <v>42</v>
      </c>
      <c r="EE9" s="333"/>
      <c r="EF9" s="334"/>
      <c r="EG9" s="152" t="s">
        <v>39</v>
      </c>
      <c r="EH9" s="335" t="s">
        <v>49</v>
      </c>
      <c r="EI9" s="336"/>
      <c r="EJ9" s="337" t="s">
        <v>46</v>
      </c>
      <c r="EK9" s="337"/>
      <c r="EL9" s="153" t="s">
        <v>42</v>
      </c>
      <c r="EN9" s="154" t="str">
        <f t="shared" ref="EN9:EN40" si="35">BC9</f>
        <v/>
      </c>
      <c r="EO9" s="154" t="e">
        <f t="shared" ref="EO9:EO40" si="36">IF(G9="m",LOOKUP(EN9,$DW$11:$DW$179,$DX$11:$DX$179),LOOKUP(EN9,$DW$11:$DW$179,$EG$11:$EG$179))</f>
        <v>#N/A</v>
      </c>
      <c r="EP9" s="154" t="e">
        <f t="shared" ref="EP9:EP40" si="37">IF(G9="m",LOOKUP(EN9,$DW$11:$DW$205,$DZ$11:$DZ$205),LOOKUP(EN9,$DW$11:$DW$205,$EI$11:$EI$205))</f>
        <v>#N/A</v>
      </c>
      <c r="EQ9" s="154" t="e">
        <f t="shared" ref="EQ9:EQ40" si="38">IF(G9="m",LOOKUP(EN9,$DW$11:$DW$205,$EB$11:$EB$205),LOOKUP(EN9,$DW$11:$DW$179,$EK$11:$EK$179))</f>
        <v>#N/A</v>
      </c>
      <c r="ES9" s="154" t="e">
        <f t="shared" ref="ES9:ES40" si="39">EO9/100</f>
        <v>#N/A</v>
      </c>
      <c r="ET9" s="154" t="e">
        <f t="shared" ref="ET9:ET40" si="40">EP9/100</f>
        <v>#N/A</v>
      </c>
      <c r="EU9" s="154" t="e">
        <f t="shared" ref="EU9:EU40" si="41">EQ9/100</f>
        <v>#N/A</v>
      </c>
      <c r="EW9" s="60">
        <f t="shared" ref="EW9:EW40" si="42">IF(G9="f","",IF($N9=$EW$8,1,0))</f>
        <v>0</v>
      </c>
      <c r="EX9" s="60">
        <f t="shared" ref="EX9:EX40" si="43">IF(G9="f","",IF($N9=$EX$8,1,0))</f>
        <v>0</v>
      </c>
      <c r="EY9" s="60">
        <f t="shared" ref="EY9:EY40" si="44">IF(G9="f","",IF($N9=$EY$8,1,0))</f>
        <v>0</v>
      </c>
      <c r="EZ9" s="60">
        <f t="shared" ref="EZ9:EZ40" si="45">IF(G9="f","",IF($N9=$EZ$8,1,0))</f>
        <v>0</v>
      </c>
      <c r="FA9" s="60">
        <f t="shared" ref="FA9:FA40" si="46">IF(G9="m","",IF($N9=$FA$8,1,0))</f>
        <v>0</v>
      </c>
      <c r="FB9" s="60">
        <f t="shared" ref="FB9:FB40" si="47">IF(G9="m","",IF($N9=$FB$8,1,0))</f>
        <v>0</v>
      </c>
      <c r="FC9" s="60">
        <f t="shared" ref="FC9:FC40" si="48">IF(G9="m","",IF($N9=$FC$8,1,0))</f>
        <v>0</v>
      </c>
      <c r="FD9" s="60">
        <f t="shared" ref="FD9:FD40" si="49">IF(G9="m","",IF($N9=$FD$8,1,0))</f>
        <v>0</v>
      </c>
    </row>
    <row r="10" spans="1:174" ht="10.5" customHeight="1">
      <c r="A10" s="8" t="str">
        <f t="shared" ref="A10:A41" si="50">IF(C10="","",IF(C10="female","",IF(C9="female","1",A9+1)))</f>
        <v/>
      </c>
      <c r="B10" s="9" t="str">
        <f t="shared" si="0"/>
        <v/>
      </c>
      <c r="C10" s="15"/>
      <c r="D10" s="11"/>
      <c r="E10" s="12"/>
      <c r="F10" s="12"/>
      <c r="G10" s="13"/>
      <c r="H10" s="14" t="str">
        <f t="shared" si="1"/>
        <v/>
      </c>
      <c r="I10" s="8" t="str">
        <f t="shared" si="2"/>
        <v/>
      </c>
      <c r="J10" s="9" t="str">
        <f t="shared" si="3"/>
        <v/>
      </c>
      <c r="K10" s="32" t="str">
        <f t="shared" si="4"/>
        <v/>
      </c>
      <c r="L10" s="33" t="str">
        <f t="shared" si="5"/>
        <v/>
      </c>
      <c r="M10" s="34" t="str">
        <f t="shared" si="6"/>
        <v/>
      </c>
      <c r="N10" s="35" t="str">
        <f t="shared" si="7"/>
        <v/>
      </c>
      <c r="O10" s="36"/>
      <c r="P10" s="36"/>
      <c r="Q10" s="36"/>
      <c r="R10" s="36"/>
      <c r="S10" s="36"/>
      <c r="T10" s="36"/>
      <c r="U10" s="36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6"/>
      <c r="AS10" s="46"/>
      <c r="AT10" s="46"/>
      <c r="AU10" s="46"/>
      <c r="AV10" s="51"/>
      <c r="AW10" s="5"/>
      <c r="AX10" s="5"/>
      <c r="AY10" s="60" t="str">
        <f t="shared" si="8"/>
        <v/>
      </c>
      <c r="AZ10" s="60" t="str">
        <f t="shared" si="9"/>
        <v/>
      </c>
      <c r="BA10" s="61" t="str">
        <f t="shared" si="10"/>
        <v/>
      </c>
      <c r="BB10" s="61" t="str">
        <f t="shared" si="11"/>
        <v/>
      </c>
      <c r="BC10" s="61" t="str">
        <f t="shared" si="12"/>
        <v/>
      </c>
      <c r="BD10" s="61" t="str">
        <f t="shared" si="13"/>
        <v/>
      </c>
      <c r="BE10" s="64" t="str">
        <f t="shared" si="14"/>
        <v/>
      </c>
      <c r="BF10" s="64" t="str">
        <f t="shared" si="15"/>
        <v/>
      </c>
      <c r="BG10" s="64" t="str">
        <f t="shared" si="16"/>
        <v/>
      </c>
      <c r="BH10" s="64" t="str">
        <f t="shared" si="17"/>
        <v/>
      </c>
      <c r="BI10" s="65"/>
      <c r="BJ10" s="66" t="str">
        <f t="shared" si="18"/>
        <v/>
      </c>
      <c r="BK10" s="330"/>
      <c r="BL10" s="330"/>
      <c r="BM10" s="343"/>
      <c r="BN10" s="386"/>
      <c r="BO10" s="387"/>
      <c r="BP10" s="390"/>
      <c r="BQ10" s="391"/>
      <c r="BR10" s="390"/>
      <c r="BS10" s="391"/>
      <c r="BT10" s="345"/>
      <c r="BV10" s="329"/>
      <c r="BW10" s="329"/>
      <c r="BX10" s="343"/>
      <c r="BY10" s="386"/>
      <c r="BZ10" s="387"/>
      <c r="CA10" s="390"/>
      <c r="CB10" s="391"/>
      <c r="CC10" s="390"/>
      <c r="CD10" s="391"/>
      <c r="CE10" s="345"/>
      <c r="CF10" s="63"/>
      <c r="CG10" s="91" t="str">
        <f t="shared" si="19"/>
        <v/>
      </c>
      <c r="CH10" s="91"/>
      <c r="CI10" s="91" t="str">
        <f t="shared" si="20"/>
        <v/>
      </c>
      <c r="CJ10" s="91"/>
      <c r="CK10" s="91" t="str">
        <f t="shared" si="21"/>
        <v/>
      </c>
      <c r="CL10" s="91" t="str">
        <f t="shared" si="22"/>
        <v/>
      </c>
      <c r="CM10" s="91" t="str">
        <f t="shared" si="23"/>
        <v/>
      </c>
      <c r="CN10" s="91" t="str">
        <f t="shared" si="24"/>
        <v/>
      </c>
      <c r="CO10" s="91" t="str">
        <f t="shared" si="25"/>
        <v/>
      </c>
      <c r="CP10" s="91" t="str">
        <f t="shared" si="26"/>
        <v/>
      </c>
      <c r="CQ10" s="91" t="str">
        <f t="shared" si="27"/>
        <v/>
      </c>
      <c r="CR10" s="91" t="str">
        <f t="shared" si="28"/>
        <v/>
      </c>
      <c r="CS10" s="91" t="str">
        <f t="shared" si="29"/>
        <v/>
      </c>
      <c r="CT10" s="91" t="str">
        <f t="shared" si="30"/>
        <v/>
      </c>
      <c r="CV10" s="330"/>
      <c r="CW10" s="330"/>
      <c r="CX10" s="325"/>
      <c r="CY10" s="330"/>
      <c r="CZ10" s="330"/>
      <c r="DA10" s="330"/>
      <c r="DB10" s="330"/>
      <c r="DC10" s="330"/>
      <c r="DD10" s="330"/>
      <c r="DE10" s="330"/>
      <c r="DG10" s="330"/>
      <c r="DH10" s="330"/>
      <c r="DI10" s="325"/>
      <c r="DJ10" s="330"/>
      <c r="DK10" s="330"/>
      <c r="DL10" s="330"/>
      <c r="DM10" s="330"/>
      <c r="DN10" s="330"/>
      <c r="DO10" s="330"/>
      <c r="DP10" s="66" t="str">
        <f t="shared" si="31"/>
        <v/>
      </c>
      <c r="DQ10" s="60" t="str">
        <f t="shared" si="32"/>
        <v/>
      </c>
      <c r="DR10" s="60" t="str">
        <f t="shared" si="33"/>
        <v/>
      </c>
      <c r="DS10" s="60" t="str">
        <f t="shared" si="34"/>
        <v/>
      </c>
      <c r="DV10" s="106" t="s">
        <v>50</v>
      </c>
      <c r="DW10" s="106" t="s">
        <v>51</v>
      </c>
      <c r="DX10" s="106" t="s">
        <v>52</v>
      </c>
      <c r="DY10" s="106" t="s">
        <v>53</v>
      </c>
      <c r="DZ10" s="106" t="s">
        <v>54</v>
      </c>
      <c r="EA10" s="106" t="s">
        <v>55</v>
      </c>
      <c r="EB10" s="106" t="s">
        <v>56</v>
      </c>
      <c r="EC10" s="106" t="s">
        <v>57</v>
      </c>
      <c r="EE10" s="84" t="s">
        <v>50</v>
      </c>
      <c r="EF10" s="68" t="s">
        <v>51</v>
      </c>
      <c r="EG10" s="155" t="s">
        <v>52</v>
      </c>
      <c r="EH10" s="156" t="s">
        <v>53</v>
      </c>
      <c r="EI10" s="157" t="s">
        <v>54</v>
      </c>
      <c r="EJ10" s="158" t="s">
        <v>55</v>
      </c>
      <c r="EK10" s="159" t="s">
        <v>56</v>
      </c>
      <c r="EL10" s="156" t="s">
        <v>57</v>
      </c>
      <c r="EN10" s="154" t="str">
        <f t="shared" si="35"/>
        <v/>
      </c>
      <c r="EO10" s="154" t="e">
        <f t="shared" si="36"/>
        <v>#N/A</v>
      </c>
      <c r="EP10" s="154" t="e">
        <f t="shared" si="37"/>
        <v>#N/A</v>
      </c>
      <c r="EQ10" s="154" t="e">
        <f t="shared" si="38"/>
        <v>#N/A</v>
      </c>
      <c r="ES10" s="154" t="e">
        <f t="shared" si="39"/>
        <v>#N/A</v>
      </c>
      <c r="ET10" s="154" t="e">
        <f t="shared" si="40"/>
        <v>#N/A</v>
      </c>
      <c r="EU10" s="154" t="e">
        <f t="shared" si="41"/>
        <v>#N/A</v>
      </c>
      <c r="EW10" s="60">
        <f t="shared" si="42"/>
        <v>0</v>
      </c>
      <c r="EX10" s="60">
        <f t="shared" si="43"/>
        <v>0</v>
      </c>
      <c r="EY10" s="60">
        <f t="shared" si="44"/>
        <v>0</v>
      </c>
      <c r="EZ10" s="60">
        <f t="shared" si="45"/>
        <v>0</v>
      </c>
      <c r="FA10" s="60">
        <f t="shared" si="46"/>
        <v>0</v>
      </c>
      <c r="FB10" s="60">
        <f t="shared" si="47"/>
        <v>0</v>
      </c>
      <c r="FC10" s="60">
        <f t="shared" si="48"/>
        <v>0</v>
      </c>
      <c r="FD10" s="60">
        <f t="shared" si="49"/>
        <v>0</v>
      </c>
    </row>
    <row r="11" spans="1:174" ht="10.5" customHeight="1">
      <c r="A11" s="8" t="str">
        <f t="shared" si="50"/>
        <v/>
      </c>
      <c r="B11" s="9" t="str">
        <f t="shared" si="0"/>
        <v/>
      </c>
      <c r="C11" s="15"/>
      <c r="D11" s="11"/>
      <c r="E11" s="12"/>
      <c r="F11" s="12"/>
      <c r="G11" s="13"/>
      <c r="H11" s="14" t="str">
        <f t="shared" si="1"/>
        <v/>
      </c>
      <c r="I11" s="8" t="str">
        <f t="shared" si="2"/>
        <v/>
      </c>
      <c r="J11" s="9" t="str">
        <f t="shared" si="3"/>
        <v/>
      </c>
      <c r="K11" s="32" t="str">
        <f t="shared" si="4"/>
        <v/>
      </c>
      <c r="L11" s="33" t="str">
        <f t="shared" si="5"/>
        <v/>
      </c>
      <c r="M11" s="34" t="str">
        <f t="shared" si="6"/>
        <v/>
      </c>
      <c r="N11" s="35" t="str">
        <f t="shared" si="7"/>
        <v/>
      </c>
      <c r="O11" s="36"/>
      <c r="P11" s="36"/>
      <c r="Q11" s="36"/>
      <c r="R11" s="36"/>
      <c r="S11" s="36"/>
      <c r="T11" s="36"/>
      <c r="U11" s="36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52"/>
      <c r="AS11" s="52"/>
      <c r="AT11" s="52"/>
      <c r="AU11" s="52"/>
      <c r="AV11" s="52"/>
      <c r="AW11" s="5"/>
      <c r="AX11" s="5"/>
      <c r="AY11" s="60" t="str">
        <f t="shared" si="8"/>
        <v/>
      </c>
      <c r="AZ11" s="60" t="str">
        <f t="shared" si="9"/>
        <v/>
      </c>
      <c r="BA11" s="61" t="str">
        <f t="shared" si="10"/>
        <v/>
      </c>
      <c r="BB11" s="61" t="str">
        <f t="shared" si="11"/>
        <v/>
      </c>
      <c r="BC11" s="61" t="str">
        <f t="shared" si="12"/>
        <v/>
      </c>
      <c r="BD11" s="61" t="str">
        <f t="shared" si="13"/>
        <v/>
      </c>
      <c r="BE11" s="64" t="str">
        <f t="shared" si="14"/>
        <v/>
      </c>
      <c r="BF11" s="64" t="str">
        <f t="shared" si="15"/>
        <v/>
      </c>
      <c r="BG11" s="64" t="str">
        <f t="shared" si="16"/>
        <v/>
      </c>
      <c r="BH11" s="64" t="str">
        <f t="shared" si="17"/>
        <v/>
      </c>
      <c r="BI11" s="65"/>
      <c r="BJ11" s="66" t="str">
        <f t="shared" si="18"/>
        <v/>
      </c>
      <c r="BK11" s="67" t="s">
        <v>50</v>
      </c>
      <c r="BL11" s="68" t="s">
        <v>51</v>
      </c>
      <c r="BM11" s="72"/>
      <c r="BN11" s="73" t="s">
        <v>58</v>
      </c>
      <c r="BO11" s="74" t="s">
        <v>59</v>
      </c>
      <c r="BP11" s="75" t="s">
        <v>58</v>
      </c>
      <c r="BQ11" s="76" t="s">
        <v>59</v>
      </c>
      <c r="BR11" s="73" t="s">
        <v>58</v>
      </c>
      <c r="BS11" s="74" t="s">
        <v>59</v>
      </c>
      <c r="BT11" s="75"/>
      <c r="BV11" s="84" t="s">
        <v>50</v>
      </c>
      <c r="BW11" s="68" t="s">
        <v>51</v>
      </c>
      <c r="BX11" s="72"/>
      <c r="BY11" s="73" t="s">
        <v>58</v>
      </c>
      <c r="BZ11" s="74" t="s">
        <v>59</v>
      </c>
      <c r="CA11" s="75" t="s">
        <v>58</v>
      </c>
      <c r="CB11" s="76" t="s">
        <v>59</v>
      </c>
      <c r="CC11" s="73" t="s">
        <v>58</v>
      </c>
      <c r="CD11" s="74" t="s">
        <v>59</v>
      </c>
      <c r="CE11" s="75"/>
      <c r="CF11" s="63"/>
      <c r="CG11" s="91" t="str">
        <f t="shared" si="19"/>
        <v/>
      </c>
      <c r="CH11" s="91"/>
      <c r="CI11" s="91" t="str">
        <f t="shared" si="20"/>
        <v/>
      </c>
      <c r="CJ11" s="91"/>
      <c r="CK11" s="91" t="str">
        <f t="shared" si="21"/>
        <v/>
      </c>
      <c r="CL11" s="91" t="str">
        <f t="shared" si="22"/>
        <v/>
      </c>
      <c r="CM11" s="91" t="str">
        <f t="shared" si="23"/>
        <v/>
      </c>
      <c r="CN11" s="91" t="str">
        <f t="shared" si="24"/>
        <v/>
      </c>
      <c r="CO11" s="91" t="str">
        <f t="shared" si="25"/>
        <v/>
      </c>
      <c r="CP11" s="91" t="str">
        <f t="shared" si="26"/>
        <v/>
      </c>
      <c r="CQ11" s="91" t="str">
        <f t="shared" si="27"/>
        <v/>
      </c>
      <c r="CR11" s="91" t="str">
        <f t="shared" si="28"/>
        <v/>
      </c>
      <c r="CS11" s="91" t="str">
        <f t="shared" si="29"/>
        <v/>
      </c>
      <c r="CT11" s="91" t="str">
        <f t="shared" si="30"/>
        <v/>
      </c>
      <c r="CV11" s="4" t="s">
        <v>60</v>
      </c>
      <c r="CW11" s="4" t="s">
        <v>51</v>
      </c>
      <c r="CY11" s="63" t="s">
        <v>58</v>
      </c>
      <c r="CZ11" s="63" t="s">
        <v>61</v>
      </c>
      <c r="DA11" s="63" t="s">
        <v>58</v>
      </c>
      <c r="DB11" s="63" t="s">
        <v>61</v>
      </c>
      <c r="DC11" s="63" t="s">
        <v>58</v>
      </c>
      <c r="DD11" s="63" t="s">
        <v>61</v>
      </c>
      <c r="DE11" s="63"/>
      <c r="DG11" s="4" t="s">
        <v>60</v>
      </c>
      <c r="DH11" s="4" t="s">
        <v>51</v>
      </c>
      <c r="DJ11" s="63" t="s">
        <v>58</v>
      </c>
      <c r="DK11" s="63" t="s">
        <v>61</v>
      </c>
      <c r="DL11" s="63" t="s">
        <v>58</v>
      </c>
      <c r="DM11" s="63" t="s">
        <v>61</v>
      </c>
      <c r="DN11" s="63" t="s">
        <v>58</v>
      </c>
      <c r="DO11" s="63" t="s">
        <v>61</v>
      </c>
      <c r="DP11" s="66" t="str">
        <f t="shared" si="31"/>
        <v/>
      </c>
      <c r="DQ11" s="60" t="str">
        <f t="shared" si="32"/>
        <v/>
      </c>
      <c r="DR11" s="60" t="str">
        <f t="shared" si="33"/>
        <v/>
      </c>
      <c r="DS11" s="60" t="str">
        <f t="shared" si="34"/>
        <v/>
      </c>
      <c r="DV11" s="108" t="s">
        <v>62</v>
      </c>
      <c r="DW11" s="109">
        <v>36</v>
      </c>
      <c r="DX11" s="110" t="s">
        <v>63</v>
      </c>
      <c r="DY11" s="123">
        <v>85</v>
      </c>
      <c r="DZ11" s="124">
        <v>88.6</v>
      </c>
      <c r="EA11" s="123">
        <v>88.7</v>
      </c>
      <c r="EB11" s="125">
        <v>103.5</v>
      </c>
      <c r="EC11" s="126">
        <v>103.6</v>
      </c>
      <c r="EE11" s="127" t="s">
        <v>62</v>
      </c>
      <c r="EF11" s="128">
        <v>36</v>
      </c>
      <c r="EG11" s="160">
        <v>83.5</v>
      </c>
      <c r="EH11" s="161">
        <v>83.6</v>
      </c>
      <c r="EI11" s="162">
        <v>87.3</v>
      </c>
      <c r="EJ11" s="161">
        <v>87.4</v>
      </c>
      <c r="EK11" s="160">
        <v>102.7</v>
      </c>
      <c r="EL11" s="163">
        <v>102.8</v>
      </c>
      <c r="EN11" s="154" t="str">
        <f t="shared" si="35"/>
        <v/>
      </c>
      <c r="EO11" s="154" t="e">
        <f t="shared" si="36"/>
        <v>#N/A</v>
      </c>
      <c r="EP11" s="154" t="e">
        <f t="shared" si="37"/>
        <v>#N/A</v>
      </c>
      <c r="EQ11" s="154" t="e">
        <f t="shared" si="38"/>
        <v>#N/A</v>
      </c>
      <c r="ES11" s="154" t="e">
        <f t="shared" si="39"/>
        <v>#N/A</v>
      </c>
      <c r="ET11" s="154" t="e">
        <f t="shared" si="40"/>
        <v>#N/A</v>
      </c>
      <c r="EU11" s="154" t="e">
        <f t="shared" si="41"/>
        <v>#N/A</v>
      </c>
      <c r="EW11" s="60">
        <f t="shared" si="42"/>
        <v>0</v>
      </c>
      <c r="EX11" s="60">
        <f t="shared" si="43"/>
        <v>0</v>
      </c>
      <c r="EY11" s="60">
        <f t="shared" si="44"/>
        <v>0</v>
      </c>
      <c r="EZ11" s="60">
        <f t="shared" si="45"/>
        <v>0</v>
      </c>
      <c r="FA11" s="60">
        <f t="shared" si="46"/>
        <v>0</v>
      </c>
      <c r="FB11" s="60">
        <f t="shared" si="47"/>
        <v>0</v>
      </c>
      <c r="FC11" s="60">
        <f t="shared" si="48"/>
        <v>0</v>
      </c>
      <c r="FD11" s="60">
        <f t="shared" si="49"/>
        <v>0</v>
      </c>
    </row>
    <row r="12" spans="1:174" ht="10.5" customHeight="1">
      <c r="A12" s="8" t="str">
        <f t="shared" si="50"/>
        <v/>
      </c>
      <c r="B12" s="9" t="str">
        <f t="shared" si="0"/>
        <v/>
      </c>
      <c r="C12" s="15"/>
      <c r="D12" s="11"/>
      <c r="E12" s="12"/>
      <c r="F12" s="12"/>
      <c r="G12" s="13"/>
      <c r="H12" s="14" t="str">
        <f t="shared" si="1"/>
        <v/>
      </c>
      <c r="I12" s="8" t="str">
        <f t="shared" si="2"/>
        <v/>
      </c>
      <c r="J12" s="9" t="str">
        <f t="shared" si="3"/>
        <v/>
      </c>
      <c r="K12" s="32" t="str">
        <f t="shared" si="4"/>
        <v/>
      </c>
      <c r="L12" s="33" t="str">
        <f t="shared" si="5"/>
        <v/>
      </c>
      <c r="M12" s="34" t="str">
        <f t="shared" si="6"/>
        <v/>
      </c>
      <c r="N12" s="35" t="str">
        <f t="shared" si="7"/>
        <v/>
      </c>
      <c r="O12" s="36"/>
      <c r="P12" s="36"/>
      <c r="Q12" s="36"/>
      <c r="R12" s="36"/>
      <c r="S12" s="36"/>
      <c r="T12" s="36"/>
      <c r="U12" s="36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52"/>
      <c r="AS12" s="52"/>
      <c r="AT12" s="52"/>
      <c r="AU12" s="52"/>
      <c r="AV12" s="52"/>
      <c r="AW12" s="5"/>
      <c r="AX12" s="5"/>
      <c r="AY12" s="60" t="str">
        <f t="shared" si="8"/>
        <v/>
      </c>
      <c r="AZ12" s="60" t="str">
        <f t="shared" si="9"/>
        <v/>
      </c>
      <c r="BA12" s="61" t="str">
        <f t="shared" si="10"/>
        <v/>
      </c>
      <c r="BB12" s="61" t="str">
        <f t="shared" si="11"/>
        <v/>
      </c>
      <c r="BC12" s="61" t="str">
        <f t="shared" si="12"/>
        <v/>
      </c>
      <c r="BD12" s="61" t="str">
        <f t="shared" si="13"/>
        <v/>
      </c>
      <c r="BE12" s="64" t="str">
        <f t="shared" si="14"/>
        <v/>
      </c>
      <c r="BF12" s="64" t="str">
        <f t="shared" si="15"/>
        <v/>
      </c>
      <c r="BG12" s="64" t="str">
        <f t="shared" si="16"/>
        <v/>
      </c>
      <c r="BH12" s="64" t="str">
        <f t="shared" si="17"/>
        <v/>
      </c>
      <c r="BI12" s="65"/>
      <c r="BJ12" s="66" t="str">
        <f t="shared" si="18"/>
        <v/>
      </c>
      <c r="BK12" s="69" t="s">
        <v>64</v>
      </c>
      <c r="BL12" s="70">
        <v>72</v>
      </c>
      <c r="BM12" s="5">
        <v>12</v>
      </c>
      <c r="BN12" s="77">
        <v>12.1</v>
      </c>
      <c r="BO12" s="78">
        <f t="shared" ref="BO12:BO43" si="51">BP12-0.1</f>
        <v>12.9</v>
      </c>
      <c r="BP12" s="79">
        <v>13</v>
      </c>
      <c r="BQ12" s="80">
        <v>18.5</v>
      </c>
      <c r="BR12" s="81">
        <f t="shared" ref="BR12:BR43" si="52">BQ12+0.1</f>
        <v>18.600000000000001</v>
      </c>
      <c r="BS12" s="82">
        <v>20.7</v>
      </c>
      <c r="BT12" s="83">
        <v>20.8</v>
      </c>
      <c r="BU12" s="41"/>
      <c r="BV12" s="85" t="s">
        <v>64</v>
      </c>
      <c r="BW12" s="86">
        <v>72</v>
      </c>
      <c r="BX12" s="5">
        <v>11.6</v>
      </c>
      <c r="BY12" s="77">
        <v>11.7</v>
      </c>
      <c r="BZ12" s="78">
        <f t="shared" ref="BZ12:BZ43" si="53">CA12-0.1</f>
        <v>12.6</v>
      </c>
      <c r="CA12" s="79">
        <v>12.7</v>
      </c>
      <c r="CB12" s="80">
        <v>19.2</v>
      </c>
      <c r="CC12" s="92">
        <f t="shared" ref="CC12:CC43" si="54">CB12+0.1</f>
        <v>19.3</v>
      </c>
      <c r="CD12" s="82">
        <v>22.1</v>
      </c>
      <c r="CE12" s="83" t="s">
        <v>65</v>
      </c>
      <c r="CF12" s="63"/>
      <c r="CG12" s="91" t="str">
        <f t="shared" si="19"/>
        <v/>
      </c>
      <c r="CH12" s="91"/>
      <c r="CI12" s="91" t="str">
        <f t="shared" si="20"/>
        <v/>
      </c>
      <c r="CJ12" s="91"/>
      <c r="CK12" s="91" t="str">
        <f t="shared" si="21"/>
        <v/>
      </c>
      <c r="CL12" s="91" t="str">
        <f t="shared" si="22"/>
        <v/>
      </c>
      <c r="CM12" s="91" t="str">
        <f t="shared" si="23"/>
        <v/>
      </c>
      <c r="CN12" s="91" t="str">
        <f t="shared" si="24"/>
        <v/>
      </c>
      <c r="CO12" s="91" t="str">
        <f t="shared" si="25"/>
        <v/>
      </c>
      <c r="CP12" s="91" t="str">
        <f t="shared" si="26"/>
        <v/>
      </c>
      <c r="CQ12" s="91" t="str">
        <f t="shared" si="27"/>
        <v/>
      </c>
      <c r="CR12" s="91" t="str">
        <f t="shared" si="28"/>
        <v/>
      </c>
      <c r="CS12" s="91" t="str">
        <f t="shared" si="29"/>
        <v/>
      </c>
      <c r="CT12" s="91" t="str">
        <f t="shared" si="30"/>
        <v/>
      </c>
      <c r="CV12" s="94"/>
      <c r="CW12" s="95">
        <v>0</v>
      </c>
      <c r="CX12" s="96">
        <f t="shared" ref="CX12:CX43" si="55">SUM(CY12)-0.1</f>
        <v>2.1</v>
      </c>
      <c r="CY12" s="97">
        <v>2.2000000000000002</v>
      </c>
      <c r="CZ12" s="96">
        <f t="shared" ref="CZ12:CZ43" si="56">SUM(DA12)-0.1</f>
        <v>2.4</v>
      </c>
      <c r="DA12" s="97">
        <v>2.5</v>
      </c>
      <c r="DB12" s="97">
        <v>4.4000000000000004</v>
      </c>
      <c r="DC12" s="105">
        <f t="shared" ref="DC12:DC43" si="57">DB12+0.1</f>
        <v>4.5</v>
      </c>
      <c r="DD12" s="41"/>
      <c r="DE12" s="41"/>
      <c r="DF12" s="41"/>
      <c r="DG12" s="94"/>
      <c r="DH12" s="96">
        <f t="shared" ref="DH12:DH43" si="58">SUM(DI12)-0.1</f>
        <v>2</v>
      </c>
      <c r="DI12" s="97">
        <v>2.1</v>
      </c>
      <c r="DJ12" s="96">
        <f t="shared" ref="DJ12:DJ43" si="59">SUM(DK12)-0.1</f>
        <v>2.2999999999999998</v>
      </c>
      <c r="DK12" s="97">
        <v>2.4</v>
      </c>
      <c r="DL12" s="97">
        <v>4.2</v>
      </c>
      <c r="DM12" s="105">
        <f t="shared" ref="DM12:DM43" si="60">DL12+0.1</f>
        <v>4.3</v>
      </c>
      <c r="DN12" s="106">
        <v>4.3</v>
      </c>
      <c r="DO12" s="41"/>
      <c r="DP12" s="66" t="str">
        <f t="shared" si="31"/>
        <v/>
      </c>
      <c r="DQ12" s="60" t="str">
        <f t="shared" si="32"/>
        <v/>
      </c>
      <c r="DR12" s="60" t="str">
        <f t="shared" si="33"/>
        <v/>
      </c>
      <c r="DS12" s="60" t="str">
        <f t="shared" si="34"/>
        <v/>
      </c>
      <c r="DV12" s="111" t="s">
        <v>66</v>
      </c>
      <c r="DW12" s="112">
        <v>37</v>
      </c>
      <c r="DX12" s="113" t="s">
        <v>67</v>
      </c>
      <c r="DY12" s="129">
        <v>85.5</v>
      </c>
      <c r="DZ12" s="130">
        <v>89.1</v>
      </c>
      <c r="EA12" s="129">
        <v>89.2</v>
      </c>
      <c r="EB12" s="131">
        <v>104.2</v>
      </c>
      <c r="EC12" s="132">
        <v>104.3</v>
      </c>
      <c r="EE12" s="133" t="s">
        <v>66</v>
      </c>
      <c r="EF12" s="134">
        <v>37</v>
      </c>
      <c r="EG12" s="164">
        <v>84.1</v>
      </c>
      <c r="EH12" s="165">
        <v>84.2</v>
      </c>
      <c r="EI12" s="166">
        <v>87.9</v>
      </c>
      <c r="EJ12" s="165">
        <v>88</v>
      </c>
      <c r="EK12" s="164">
        <v>103.4</v>
      </c>
      <c r="EL12" s="167">
        <v>103.5</v>
      </c>
      <c r="EN12" s="154" t="str">
        <f t="shared" si="35"/>
        <v/>
      </c>
      <c r="EO12" s="154" t="e">
        <f t="shared" si="36"/>
        <v>#N/A</v>
      </c>
      <c r="EP12" s="154" t="e">
        <f t="shared" si="37"/>
        <v>#N/A</v>
      </c>
      <c r="EQ12" s="154" t="e">
        <f t="shared" si="38"/>
        <v>#N/A</v>
      </c>
      <c r="ES12" s="154" t="e">
        <f t="shared" si="39"/>
        <v>#N/A</v>
      </c>
      <c r="ET12" s="154" t="e">
        <f t="shared" si="40"/>
        <v>#N/A</v>
      </c>
      <c r="EU12" s="154" t="e">
        <f t="shared" si="41"/>
        <v>#N/A</v>
      </c>
      <c r="EW12" s="60">
        <f t="shared" si="42"/>
        <v>0</v>
      </c>
      <c r="EX12" s="60">
        <f t="shared" si="43"/>
        <v>0</v>
      </c>
      <c r="EY12" s="60">
        <f t="shared" si="44"/>
        <v>0</v>
      </c>
      <c r="EZ12" s="60">
        <f t="shared" si="45"/>
        <v>0</v>
      </c>
      <c r="FA12" s="60">
        <f t="shared" si="46"/>
        <v>0</v>
      </c>
      <c r="FB12" s="60">
        <f t="shared" si="47"/>
        <v>0</v>
      </c>
      <c r="FC12" s="60">
        <f t="shared" si="48"/>
        <v>0</v>
      </c>
      <c r="FD12" s="60">
        <f t="shared" si="49"/>
        <v>0</v>
      </c>
    </row>
    <row r="13" spans="1:174" ht="10.5" customHeight="1">
      <c r="A13" s="8" t="str">
        <f t="shared" si="50"/>
        <v/>
      </c>
      <c r="B13" s="9" t="str">
        <f t="shared" si="0"/>
        <v/>
      </c>
      <c r="C13" s="15"/>
      <c r="D13" s="11"/>
      <c r="E13" s="12"/>
      <c r="F13" s="12"/>
      <c r="G13" s="13"/>
      <c r="H13" s="14" t="str">
        <f t="shared" si="1"/>
        <v/>
      </c>
      <c r="I13" s="8" t="str">
        <f t="shared" si="2"/>
        <v/>
      </c>
      <c r="J13" s="9" t="str">
        <f t="shared" si="3"/>
        <v/>
      </c>
      <c r="K13" s="32" t="str">
        <f t="shared" si="4"/>
        <v/>
      </c>
      <c r="L13" s="33" t="str">
        <f t="shared" si="5"/>
        <v/>
      </c>
      <c r="M13" s="34" t="str">
        <f t="shared" si="6"/>
        <v/>
      </c>
      <c r="N13" s="35" t="str">
        <f t="shared" si="7"/>
        <v/>
      </c>
      <c r="O13" s="36"/>
      <c r="P13" s="36"/>
      <c r="Q13" s="36"/>
      <c r="R13" s="36"/>
      <c r="S13" s="36"/>
      <c r="T13" s="36"/>
      <c r="U13" s="36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53"/>
      <c r="AS13" s="53"/>
      <c r="AT13" s="53"/>
      <c r="AW13" s="5"/>
      <c r="AX13" s="5"/>
      <c r="AY13" s="60" t="str">
        <f t="shared" si="8"/>
        <v/>
      </c>
      <c r="AZ13" s="60" t="str">
        <f t="shared" si="9"/>
        <v/>
      </c>
      <c r="BA13" s="61" t="str">
        <f t="shared" si="10"/>
        <v/>
      </c>
      <c r="BB13" s="61" t="str">
        <f t="shared" si="11"/>
        <v/>
      </c>
      <c r="BC13" s="61" t="str">
        <f t="shared" si="12"/>
        <v/>
      </c>
      <c r="BD13" s="61" t="str">
        <f t="shared" si="13"/>
        <v/>
      </c>
      <c r="BE13" s="64" t="str">
        <f t="shared" si="14"/>
        <v/>
      </c>
      <c r="BF13" s="64" t="str">
        <f t="shared" si="15"/>
        <v/>
      </c>
      <c r="BG13" s="64" t="str">
        <f t="shared" si="16"/>
        <v/>
      </c>
      <c r="BH13" s="64" t="str">
        <f t="shared" si="17"/>
        <v/>
      </c>
      <c r="BI13" s="65"/>
      <c r="BJ13" s="66" t="str">
        <f t="shared" si="18"/>
        <v/>
      </c>
      <c r="BK13" s="71" t="s">
        <v>68</v>
      </c>
      <c r="BL13" s="70">
        <v>73</v>
      </c>
      <c r="BM13" s="5">
        <v>12</v>
      </c>
      <c r="BN13" s="77">
        <v>12.1</v>
      </c>
      <c r="BO13" s="78">
        <f t="shared" si="51"/>
        <v>12.9</v>
      </c>
      <c r="BP13" s="79">
        <v>13</v>
      </c>
      <c r="BQ13" s="80">
        <v>18.600000000000001</v>
      </c>
      <c r="BR13" s="81">
        <f t="shared" si="52"/>
        <v>18.7</v>
      </c>
      <c r="BS13" s="82">
        <v>20.8</v>
      </c>
      <c r="BT13" s="83">
        <v>20.9</v>
      </c>
      <c r="BU13" s="41"/>
      <c r="BV13" s="87" t="s">
        <v>68</v>
      </c>
      <c r="BW13" s="86">
        <v>73</v>
      </c>
      <c r="BX13" s="5">
        <v>11.6</v>
      </c>
      <c r="BY13" s="77">
        <v>11.7</v>
      </c>
      <c r="BZ13" s="78">
        <f t="shared" si="53"/>
        <v>12.6</v>
      </c>
      <c r="CA13" s="79">
        <v>12.7</v>
      </c>
      <c r="CB13" s="80">
        <v>19.3</v>
      </c>
      <c r="CC13" s="92">
        <f t="shared" si="54"/>
        <v>19.399999999999999</v>
      </c>
      <c r="CD13" s="82">
        <v>22.2</v>
      </c>
      <c r="CE13" s="83" t="s">
        <v>69</v>
      </c>
      <c r="CF13" s="63"/>
      <c r="CG13" s="91" t="str">
        <f t="shared" si="19"/>
        <v/>
      </c>
      <c r="CH13" s="91"/>
      <c r="CI13" s="91" t="str">
        <f t="shared" si="20"/>
        <v/>
      </c>
      <c r="CJ13" s="91"/>
      <c r="CK13" s="91" t="str">
        <f t="shared" si="21"/>
        <v/>
      </c>
      <c r="CL13" s="91" t="str">
        <f t="shared" si="22"/>
        <v/>
      </c>
      <c r="CM13" s="91" t="str">
        <f t="shared" si="23"/>
        <v/>
      </c>
      <c r="CN13" s="91" t="str">
        <f t="shared" si="24"/>
        <v/>
      </c>
      <c r="CO13" s="91" t="str">
        <f t="shared" si="25"/>
        <v/>
      </c>
      <c r="CP13" s="91" t="str">
        <f t="shared" si="26"/>
        <v/>
      </c>
      <c r="CQ13" s="91" t="str">
        <f t="shared" si="27"/>
        <v/>
      </c>
      <c r="CR13" s="91" t="str">
        <f t="shared" si="28"/>
        <v/>
      </c>
      <c r="CS13" s="91" t="str">
        <f t="shared" si="29"/>
        <v/>
      </c>
      <c r="CT13" s="91" t="str">
        <f t="shared" si="30"/>
        <v/>
      </c>
      <c r="CV13" s="94"/>
      <c r="CW13" s="95">
        <v>1</v>
      </c>
      <c r="CX13" s="96">
        <f t="shared" si="55"/>
        <v>2.9</v>
      </c>
      <c r="CY13" s="97">
        <v>3</v>
      </c>
      <c r="CZ13" s="96">
        <f t="shared" si="56"/>
        <v>3.3</v>
      </c>
      <c r="DA13" s="97">
        <v>3.4</v>
      </c>
      <c r="DB13" s="97">
        <v>5.8</v>
      </c>
      <c r="DC13" s="96">
        <f t="shared" si="57"/>
        <v>5.9</v>
      </c>
      <c r="DD13" s="41"/>
      <c r="DE13" s="41"/>
      <c r="DF13" s="41"/>
      <c r="DG13" s="94"/>
      <c r="DH13" s="96">
        <f t="shared" si="58"/>
        <v>2.7</v>
      </c>
      <c r="DI13" s="97">
        <v>2.8</v>
      </c>
      <c r="DJ13" s="96">
        <f t="shared" si="59"/>
        <v>3.1</v>
      </c>
      <c r="DK13" s="97">
        <v>3.2</v>
      </c>
      <c r="DL13" s="97">
        <v>5.5</v>
      </c>
      <c r="DM13" s="96">
        <f t="shared" si="60"/>
        <v>5.6</v>
      </c>
      <c r="DN13" s="106">
        <v>5.6</v>
      </c>
      <c r="DO13" s="41"/>
      <c r="DP13" s="66" t="str">
        <f t="shared" si="31"/>
        <v/>
      </c>
      <c r="DQ13" s="60" t="str">
        <f t="shared" si="32"/>
        <v/>
      </c>
      <c r="DR13" s="60" t="str">
        <f t="shared" si="33"/>
        <v/>
      </c>
      <c r="DS13" s="60" t="str">
        <f t="shared" si="34"/>
        <v/>
      </c>
      <c r="DV13" s="114" t="s">
        <v>70</v>
      </c>
      <c r="DW13" s="112">
        <v>38</v>
      </c>
      <c r="DX13" s="113" t="s">
        <v>71</v>
      </c>
      <c r="DY13" s="129">
        <v>86</v>
      </c>
      <c r="DZ13" s="135">
        <v>89.7</v>
      </c>
      <c r="EA13" s="129">
        <v>89.8</v>
      </c>
      <c r="EB13" s="136">
        <v>105</v>
      </c>
      <c r="EC13" s="132">
        <v>105.1</v>
      </c>
      <c r="EE13" s="137" t="s">
        <v>70</v>
      </c>
      <c r="EF13" s="134">
        <v>38</v>
      </c>
      <c r="EG13" s="168">
        <v>84.6</v>
      </c>
      <c r="EH13" s="165">
        <v>84.7</v>
      </c>
      <c r="EI13" s="169">
        <v>88.5</v>
      </c>
      <c r="EJ13" s="165">
        <v>88.6</v>
      </c>
      <c r="EK13" s="168">
        <v>104.2</v>
      </c>
      <c r="EL13" s="167">
        <v>104.3</v>
      </c>
      <c r="EN13" s="154" t="str">
        <f t="shared" si="35"/>
        <v/>
      </c>
      <c r="EO13" s="154" t="e">
        <f t="shared" si="36"/>
        <v>#N/A</v>
      </c>
      <c r="EP13" s="154" t="e">
        <f t="shared" si="37"/>
        <v>#N/A</v>
      </c>
      <c r="EQ13" s="154" t="e">
        <f t="shared" si="38"/>
        <v>#N/A</v>
      </c>
      <c r="ES13" s="154" t="e">
        <f t="shared" si="39"/>
        <v>#N/A</v>
      </c>
      <c r="ET13" s="154" t="e">
        <f t="shared" si="40"/>
        <v>#N/A</v>
      </c>
      <c r="EU13" s="154" t="e">
        <f t="shared" si="41"/>
        <v>#N/A</v>
      </c>
      <c r="EW13" s="60">
        <f t="shared" si="42"/>
        <v>0</v>
      </c>
      <c r="EX13" s="60">
        <f t="shared" si="43"/>
        <v>0</v>
      </c>
      <c r="EY13" s="60">
        <f t="shared" si="44"/>
        <v>0</v>
      </c>
      <c r="EZ13" s="60">
        <f t="shared" si="45"/>
        <v>0</v>
      </c>
      <c r="FA13" s="60">
        <f t="shared" si="46"/>
        <v>0</v>
      </c>
      <c r="FB13" s="60">
        <f t="shared" si="47"/>
        <v>0</v>
      </c>
      <c r="FC13" s="60">
        <f t="shared" si="48"/>
        <v>0</v>
      </c>
      <c r="FD13" s="60">
        <f t="shared" si="49"/>
        <v>0</v>
      </c>
    </row>
    <row r="14" spans="1:174" ht="10.5" customHeight="1">
      <c r="A14" s="8" t="str">
        <f t="shared" si="50"/>
        <v/>
      </c>
      <c r="B14" s="9" t="str">
        <f t="shared" si="0"/>
        <v/>
      </c>
      <c r="C14" s="15"/>
      <c r="D14" s="11"/>
      <c r="E14" s="12"/>
      <c r="F14" s="12"/>
      <c r="G14" s="13"/>
      <c r="H14" s="14" t="str">
        <f t="shared" si="1"/>
        <v/>
      </c>
      <c r="I14" s="8" t="str">
        <f t="shared" si="2"/>
        <v/>
      </c>
      <c r="J14" s="9" t="str">
        <f t="shared" si="3"/>
        <v/>
      </c>
      <c r="K14" s="32" t="str">
        <f t="shared" si="4"/>
        <v/>
      </c>
      <c r="L14" s="33" t="str">
        <f t="shared" si="5"/>
        <v/>
      </c>
      <c r="M14" s="34" t="str">
        <f t="shared" si="6"/>
        <v/>
      </c>
      <c r="N14" s="35" t="str">
        <f t="shared" si="7"/>
        <v/>
      </c>
      <c r="O14" s="36"/>
      <c r="P14" s="36"/>
      <c r="Q14" s="36"/>
      <c r="R14" s="36"/>
      <c r="S14" s="36"/>
      <c r="T14" s="36"/>
      <c r="U14" s="36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53"/>
      <c r="AS14" s="53"/>
      <c r="AT14" s="53"/>
      <c r="AW14" s="5"/>
      <c r="AX14" s="5"/>
      <c r="AY14" s="60" t="str">
        <f t="shared" si="8"/>
        <v/>
      </c>
      <c r="AZ14" s="60" t="str">
        <f t="shared" si="9"/>
        <v/>
      </c>
      <c r="BA14" s="61" t="str">
        <f t="shared" si="10"/>
        <v/>
      </c>
      <c r="BB14" s="61" t="str">
        <f t="shared" si="11"/>
        <v/>
      </c>
      <c r="BC14" s="61" t="str">
        <f t="shared" si="12"/>
        <v/>
      </c>
      <c r="BD14" s="61" t="str">
        <f t="shared" si="13"/>
        <v/>
      </c>
      <c r="BE14" s="64" t="str">
        <f t="shared" si="14"/>
        <v/>
      </c>
      <c r="BF14" s="64" t="str">
        <f t="shared" si="15"/>
        <v/>
      </c>
      <c r="BG14" s="64" t="str">
        <f t="shared" si="16"/>
        <v/>
      </c>
      <c r="BH14" s="64" t="str">
        <f t="shared" si="17"/>
        <v/>
      </c>
      <c r="BI14" s="65"/>
      <c r="BJ14" s="66" t="str">
        <f t="shared" si="18"/>
        <v/>
      </c>
      <c r="BK14" s="71" t="s">
        <v>72</v>
      </c>
      <c r="BL14" s="70">
        <v>74</v>
      </c>
      <c r="BM14" s="5">
        <v>12.1</v>
      </c>
      <c r="BN14" s="77">
        <v>12.2</v>
      </c>
      <c r="BO14" s="78">
        <f t="shared" si="51"/>
        <v>13</v>
      </c>
      <c r="BP14" s="79">
        <v>13.1</v>
      </c>
      <c r="BQ14" s="80">
        <v>18.600000000000001</v>
      </c>
      <c r="BR14" s="81">
        <f t="shared" si="52"/>
        <v>18.7</v>
      </c>
      <c r="BS14" s="82">
        <v>20.8</v>
      </c>
      <c r="BT14" s="83">
        <v>20.9</v>
      </c>
      <c r="BU14" s="41"/>
      <c r="BV14" s="87" t="s">
        <v>72</v>
      </c>
      <c r="BW14" s="86">
        <v>74</v>
      </c>
      <c r="BX14" s="5">
        <v>11.6</v>
      </c>
      <c r="BY14" s="77">
        <v>11.7</v>
      </c>
      <c r="BZ14" s="78">
        <f t="shared" si="53"/>
        <v>12.6</v>
      </c>
      <c r="CA14" s="79">
        <v>12.7</v>
      </c>
      <c r="CB14" s="80">
        <v>19.3</v>
      </c>
      <c r="CC14" s="92">
        <f t="shared" si="54"/>
        <v>19.399999999999999</v>
      </c>
      <c r="CD14" s="82">
        <v>22.3</v>
      </c>
      <c r="CE14" s="83" t="s">
        <v>73</v>
      </c>
      <c r="CF14" s="63"/>
      <c r="CG14" s="91" t="str">
        <f t="shared" si="19"/>
        <v/>
      </c>
      <c r="CH14" s="91"/>
      <c r="CI14" s="91" t="str">
        <f t="shared" si="20"/>
        <v/>
      </c>
      <c r="CJ14" s="91"/>
      <c r="CK14" s="91" t="str">
        <f t="shared" si="21"/>
        <v/>
      </c>
      <c r="CL14" s="91" t="str">
        <f t="shared" si="22"/>
        <v/>
      </c>
      <c r="CM14" s="91" t="str">
        <f t="shared" si="23"/>
        <v/>
      </c>
      <c r="CN14" s="91" t="str">
        <f t="shared" si="24"/>
        <v/>
      </c>
      <c r="CO14" s="91" t="str">
        <f t="shared" si="25"/>
        <v/>
      </c>
      <c r="CP14" s="91" t="str">
        <f t="shared" si="26"/>
        <v/>
      </c>
      <c r="CQ14" s="91" t="str">
        <f t="shared" si="27"/>
        <v/>
      </c>
      <c r="CR14" s="91" t="str">
        <f t="shared" si="28"/>
        <v/>
      </c>
      <c r="CS14" s="91" t="str">
        <f t="shared" si="29"/>
        <v/>
      </c>
      <c r="CT14" s="91" t="str">
        <f t="shared" si="30"/>
        <v/>
      </c>
      <c r="CV14" s="94"/>
      <c r="CW14" s="95">
        <v>2</v>
      </c>
      <c r="CX14" s="96">
        <f t="shared" si="55"/>
        <v>3.8</v>
      </c>
      <c r="CY14" s="97">
        <v>3.9</v>
      </c>
      <c r="CZ14" s="96">
        <f t="shared" si="56"/>
        <v>4.2</v>
      </c>
      <c r="DA14" s="97">
        <v>4.3</v>
      </c>
      <c r="DB14" s="97">
        <v>7.1</v>
      </c>
      <c r="DC14" s="96">
        <f t="shared" si="57"/>
        <v>7.2</v>
      </c>
      <c r="DD14" s="41"/>
      <c r="DE14" s="41"/>
      <c r="DF14" s="41"/>
      <c r="DG14" s="94"/>
      <c r="DH14" s="96">
        <f t="shared" si="58"/>
        <v>3.4</v>
      </c>
      <c r="DI14" s="97">
        <v>3.5</v>
      </c>
      <c r="DJ14" s="96">
        <f t="shared" si="59"/>
        <v>3.8</v>
      </c>
      <c r="DK14" s="97">
        <v>3.9</v>
      </c>
      <c r="DL14" s="97">
        <v>6.6</v>
      </c>
      <c r="DM14" s="96">
        <f t="shared" si="60"/>
        <v>6.7</v>
      </c>
      <c r="DN14" s="106">
        <v>6.7</v>
      </c>
      <c r="DO14" s="41"/>
      <c r="DP14" s="66" t="str">
        <f t="shared" si="31"/>
        <v/>
      </c>
      <c r="DQ14" s="60" t="str">
        <f t="shared" si="32"/>
        <v/>
      </c>
      <c r="DR14" s="60" t="str">
        <f t="shared" si="33"/>
        <v/>
      </c>
      <c r="DS14" s="60" t="str">
        <f t="shared" si="34"/>
        <v/>
      </c>
      <c r="DV14" s="114" t="s">
        <v>74</v>
      </c>
      <c r="DW14" s="112">
        <v>39</v>
      </c>
      <c r="DX14" s="113" t="s">
        <v>75</v>
      </c>
      <c r="DY14" s="129">
        <v>86.5</v>
      </c>
      <c r="DZ14" s="135">
        <v>90.2</v>
      </c>
      <c r="EA14" s="129">
        <v>90.3</v>
      </c>
      <c r="EB14" s="136">
        <v>105.7</v>
      </c>
      <c r="EC14" s="132">
        <v>105.8</v>
      </c>
      <c r="EE14" s="137" t="s">
        <v>74</v>
      </c>
      <c r="EF14" s="134">
        <v>39</v>
      </c>
      <c r="EG14" s="168">
        <v>85.2</v>
      </c>
      <c r="EH14" s="165">
        <v>85.3</v>
      </c>
      <c r="EI14" s="169">
        <v>89.1</v>
      </c>
      <c r="EJ14" s="165">
        <v>89.2</v>
      </c>
      <c r="EK14" s="168">
        <v>105</v>
      </c>
      <c r="EL14" s="167">
        <v>105.1</v>
      </c>
      <c r="EN14" s="154" t="str">
        <f t="shared" si="35"/>
        <v/>
      </c>
      <c r="EO14" s="154" t="e">
        <f t="shared" si="36"/>
        <v>#N/A</v>
      </c>
      <c r="EP14" s="154" t="e">
        <f t="shared" si="37"/>
        <v>#N/A</v>
      </c>
      <c r="EQ14" s="154" t="e">
        <f t="shared" si="38"/>
        <v>#N/A</v>
      </c>
      <c r="ES14" s="154" t="e">
        <f t="shared" si="39"/>
        <v>#N/A</v>
      </c>
      <c r="ET14" s="154" t="e">
        <f t="shared" si="40"/>
        <v>#N/A</v>
      </c>
      <c r="EU14" s="154" t="e">
        <f t="shared" si="41"/>
        <v>#N/A</v>
      </c>
      <c r="EW14" s="60">
        <f t="shared" si="42"/>
        <v>0</v>
      </c>
      <c r="EX14" s="60">
        <f t="shared" si="43"/>
        <v>0</v>
      </c>
      <c r="EY14" s="60">
        <f t="shared" si="44"/>
        <v>0</v>
      </c>
      <c r="EZ14" s="60">
        <f t="shared" si="45"/>
        <v>0</v>
      </c>
      <c r="FA14" s="60">
        <f t="shared" si="46"/>
        <v>0</v>
      </c>
      <c r="FB14" s="60">
        <f t="shared" si="47"/>
        <v>0</v>
      </c>
      <c r="FC14" s="60">
        <f t="shared" si="48"/>
        <v>0</v>
      </c>
      <c r="FD14" s="60">
        <f t="shared" si="49"/>
        <v>0</v>
      </c>
    </row>
    <row r="15" spans="1:174" ht="10.5" customHeight="1">
      <c r="A15" s="8" t="str">
        <f t="shared" si="50"/>
        <v/>
      </c>
      <c r="B15" s="9" t="str">
        <f t="shared" si="0"/>
        <v/>
      </c>
      <c r="C15" s="15"/>
      <c r="D15" s="11"/>
      <c r="E15" s="12"/>
      <c r="F15" s="12"/>
      <c r="G15" s="13"/>
      <c r="H15" s="14" t="str">
        <f t="shared" si="1"/>
        <v/>
      </c>
      <c r="I15" s="8" t="str">
        <f t="shared" si="2"/>
        <v/>
      </c>
      <c r="J15" s="9" t="str">
        <f t="shared" si="3"/>
        <v/>
      </c>
      <c r="K15" s="32" t="str">
        <f t="shared" si="4"/>
        <v/>
      </c>
      <c r="L15" s="33" t="str">
        <f t="shared" si="5"/>
        <v/>
      </c>
      <c r="M15" s="34" t="str">
        <f t="shared" si="6"/>
        <v/>
      </c>
      <c r="N15" s="35" t="str">
        <f t="shared" si="7"/>
        <v/>
      </c>
      <c r="O15" s="36"/>
      <c r="P15" s="36"/>
      <c r="Q15" s="36"/>
      <c r="R15" s="36"/>
      <c r="S15" s="36"/>
      <c r="T15" s="36"/>
      <c r="U15" s="36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53"/>
      <c r="AS15" s="53"/>
      <c r="AT15" s="53"/>
      <c r="AW15" s="5"/>
      <c r="AX15" s="5"/>
      <c r="AY15" s="60" t="str">
        <f t="shared" si="8"/>
        <v/>
      </c>
      <c r="AZ15" s="60" t="str">
        <f t="shared" si="9"/>
        <v/>
      </c>
      <c r="BA15" s="61" t="str">
        <f t="shared" si="10"/>
        <v/>
      </c>
      <c r="BB15" s="61" t="str">
        <f t="shared" si="11"/>
        <v/>
      </c>
      <c r="BC15" s="61" t="str">
        <f t="shared" si="12"/>
        <v/>
      </c>
      <c r="BD15" s="61" t="str">
        <f t="shared" si="13"/>
        <v/>
      </c>
      <c r="BE15" s="64" t="str">
        <f t="shared" si="14"/>
        <v/>
      </c>
      <c r="BF15" s="64" t="str">
        <f t="shared" si="15"/>
        <v/>
      </c>
      <c r="BG15" s="64" t="str">
        <f t="shared" si="16"/>
        <v/>
      </c>
      <c r="BH15" s="64" t="str">
        <f t="shared" si="17"/>
        <v/>
      </c>
      <c r="BI15" s="65"/>
      <c r="BJ15" s="66" t="str">
        <f t="shared" si="18"/>
        <v/>
      </c>
      <c r="BK15" s="71" t="s">
        <v>76</v>
      </c>
      <c r="BL15" s="70">
        <v>75</v>
      </c>
      <c r="BM15" s="5">
        <v>12.1</v>
      </c>
      <c r="BN15" s="77">
        <v>12.2</v>
      </c>
      <c r="BO15" s="78">
        <f t="shared" si="51"/>
        <v>13</v>
      </c>
      <c r="BP15" s="79">
        <v>13.1</v>
      </c>
      <c r="BQ15" s="80">
        <v>18.600000000000001</v>
      </c>
      <c r="BR15" s="81">
        <f t="shared" si="52"/>
        <v>18.7</v>
      </c>
      <c r="BS15" s="82">
        <v>20.9</v>
      </c>
      <c r="BT15" s="83">
        <v>21</v>
      </c>
      <c r="BU15" s="41"/>
      <c r="BV15" s="87" t="s">
        <v>76</v>
      </c>
      <c r="BW15" s="86">
        <v>75</v>
      </c>
      <c r="BX15" s="5">
        <v>11.6</v>
      </c>
      <c r="BY15" s="77">
        <v>11.7</v>
      </c>
      <c r="BZ15" s="78">
        <f t="shared" si="53"/>
        <v>12.6</v>
      </c>
      <c r="CA15" s="79">
        <v>12.7</v>
      </c>
      <c r="CB15" s="80">
        <v>19.3</v>
      </c>
      <c r="CC15" s="92">
        <f t="shared" si="54"/>
        <v>19.399999999999999</v>
      </c>
      <c r="CD15" s="82">
        <v>22.4</v>
      </c>
      <c r="CE15" s="83" t="s">
        <v>77</v>
      </c>
      <c r="CF15" s="63"/>
      <c r="CG15" s="91" t="str">
        <f t="shared" si="19"/>
        <v/>
      </c>
      <c r="CH15" s="91"/>
      <c r="CI15" s="91" t="str">
        <f t="shared" si="20"/>
        <v/>
      </c>
      <c r="CJ15" s="91"/>
      <c r="CK15" s="91" t="str">
        <f t="shared" si="21"/>
        <v/>
      </c>
      <c r="CL15" s="91" t="str">
        <f t="shared" si="22"/>
        <v/>
      </c>
      <c r="CM15" s="91" t="str">
        <f t="shared" si="23"/>
        <v/>
      </c>
      <c r="CN15" s="91" t="str">
        <f t="shared" si="24"/>
        <v/>
      </c>
      <c r="CO15" s="91" t="str">
        <f t="shared" si="25"/>
        <v/>
      </c>
      <c r="CP15" s="91" t="str">
        <f t="shared" si="26"/>
        <v/>
      </c>
      <c r="CQ15" s="91" t="str">
        <f t="shared" si="27"/>
        <v/>
      </c>
      <c r="CR15" s="91" t="str">
        <f t="shared" si="28"/>
        <v/>
      </c>
      <c r="CS15" s="91" t="str">
        <f t="shared" si="29"/>
        <v/>
      </c>
      <c r="CT15" s="91" t="str">
        <f t="shared" si="30"/>
        <v/>
      </c>
      <c r="CV15" s="94"/>
      <c r="CW15" s="95">
        <v>3</v>
      </c>
      <c r="CX15" s="96">
        <f t="shared" si="55"/>
        <v>4.4000000000000004</v>
      </c>
      <c r="CY15" s="97">
        <v>4.5</v>
      </c>
      <c r="CZ15" s="96">
        <f t="shared" si="56"/>
        <v>4.9000000000000004</v>
      </c>
      <c r="DA15" s="97">
        <v>5</v>
      </c>
      <c r="DB15" s="97">
        <v>8</v>
      </c>
      <c r="DC15" s="96">
        <f t="shared" si="57"/>
        <v>8.1</v>
      </c>
      <c r="DD15" s="41"/>
      <c r="DE15" s="41"/>
      <c r="DF15" s="41"/>
      <c r="DG15" s="94"/>
      <c r="DH15" s="96">
        <f t="shared" si="58"/>
        <v>4</v>
      </c>
      <c r="DI15" s="97">
        <v>4.0999999999999996</v>
      </c>
      <c r="DJ15" s="96">
        <f t="shared" si="59"/>
        <v>4.4000000000000004</v>
      </c>
      <c r="DK15" s="97">
        <v>4.5</v>
      </c>
      <c r="DL15" s="97">
        <v>7.5</v>
      </c>
      <c r="DM15" s="96">
        <f t="shared" si="60"/>
        <v>7.6</v>
      </c>
      <c r="DN15" s="106">
        <v>7.6</v>
      </c>
      <c r="DO15" s="41"/>
      <c r="DP15" s="66" t="str">
        <f t="shared" si="31"/>
        <v/>
      </c>
      <c r="DQ15" s="60" t="str">
        <f t="shared" si="32"/>
        <v/>
      </c>
      <c r="DR15" s="60" t="str">
        <f t="shared" si="33"/>
        <v/>
      </c>
      <c r="DS15" s="60" t="str">
        <f t="shared" si="34"/>
        <v/>
      </c>
      <c r="DV15" s="114" t="s">
        <v>78</v>
      </c>
      <c r="DW15" s="112">
        <v>40</v>
      </c>
      <c r="DX15" s="113" t="s">
        <v>79</v>
      </c>
      <c r="DY15" s="129">
        <v>87</v>
      </c>
      <c r="DZ15" s="135">
        <v>90.8</v>
      </c>
      <c r="EA15" s="129">
        <v>90.9</v>
      </c>
      <c r="EB15" s="136">
        <v>106.4</v>
      </c>
      <c r="EC15" s="132">
        <v>106.5</v>
      </c>
      <c r="EE15" s="137" t="s">
        <v>78</v>
      </c>
      <c r="EF15" s="134">
        <v>40</v>
      </c>
      <c r="EG15" s="168">
        <v>85.7</v>
      </c>
      <c r="EH15" s="165">
        <v>85.8</v>
      </c>
      <c r="EI15" s="169">
        <v>89.7</v>
      </c>
      <c r="EJ15" s="165">
        <v>89.8</v>
      </c>
      <c r="EK15" s="168">
        <v>105.7</v>
      </c>
      <c r="EL15" s="167">
        <v>105.8</v>
      </c>
      <c r="EN15" s="154" t="str">
        <f t="shared" si="35"/>
        <v/>
      </c>
      <c r="EO15" s="154" t="e">
        <f t="shared" si="36"/>
        <v>#N/A</v>
      </c>
      <c r="EP15" s="154" t="e">
        <f t="shared" si="37"/>
        <v>#N/A</v>
      </c>
      <c r="EQ15" s="154" t="e">
        <f t="shared" si="38"/>
        <v>#N/A</v>
      </c>
      <c r="ES15" s="154" t="e">
        <f t="shared" si="39"/>
        <v>#N/A</v>
      </c>
      <c r="ET15" s="154" t="e">
        <f t="shared" si="40"/>
        <v>#N/A</v>
      </c>
      <c r="EU15" s="154" t="e">
        <f t="shared" si="41"/>
        <v>#N/A</v>
      </c>
      <c r="EW15" s="60">
        <f t="shared" si="42"/>
        <v>0</v>
      </c>
      <c r="EX15" s="60">
        <f t="shared" si="43"/>
        <v>0</v>
      </c>
      <c r="EY15" s="60">
        <f t="shared" si="44"/>
        <v>0</v>
      </c>
      <c r="EZ15" s="60">
        <f t="shared" si="45"/>
        <v>0</v>
      </c>
      <c r="FA15" s="60">
        <f t="shared" si="46"/>
        <v>0</v>
      </c>
      <c r="FB15" s="60">
        <f t="shared" si="47"/>
        <v>0</v>
      </c>
      <c r="FC15" s="60">
        <f t="shared" si="48"/>
        <v>0</v>
      </c>
      <c r="FD15" s="60">
        <f t="shared" si="49"/>
        <v>0</v>
      </c>
    </row>
    <row r="16" spans="1:174" ht="10.5" customHeight="1">
      <c r="A16" s="8" t="str">
        <f t="shared" si="50"/>
        <v/>
      </c>
      <c r="B16" s="9" t="str">
        <f t="shared" si="0"/>
        <v/>
      </c>
      <c r="C16" s="15"/>
      <c r="D16" s="11"/>
      <c r="E16" s="12"/>
      <c r="F16" s="12"/>
      <c r="G16" s="13"/>
      <c r="H16" s="14" t="str">
        <f t="shared" si="1"/>
        <v/>
      </c>
      <c r="I16" s="8" t="str">
        <f t="shared" si="2"/>
        <v/>
      </c>
      <c r="J16" s="9" t="str">
        <f t="shared" si="3"/>
        <v/>
      </c>
      <c r="K16" s="32" t="str">
        <f t="shared" si="4"/>
        <v/>
      </c>
      <c r="L16" s="33" t="str">
        <f t="shared" si="5"/>
        <v/>
      </c>
      <c r="M16" s="34" t="str">
        <f t="shared" si="6"/>
        <v/>
      </c>
      <c r="N16" s="35" t="str">
        <f t="shared" si="7"/>
        <v/>
      </c>
      <c r="O16" s="36"/>
      <c r="P16" s="36"/>
      <c r="Q16" s="36"/>
      <c r="R16" s="36"/>
      <c r="S16" s="36"/>
      <c r="T16" s="36"/>
      <c r="U16" s="36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53"/>
      <c r="AS16" s="53"/>
      <c r="AT16" s="53"/>
      <c r="AW16" s="5"/>
      <c r="AX16" s="5"/>
      <c r="AY16" s="60" t="str">
        <f t="shared" si="8"/>
        <v/>
      </c>
      <c r="AZ16" s="60" t="str">
        <f t="shared" si="9"/>
        <v/>
      </c>
      <c r="BA16" s="61" t="str">
        <f t="shared" si="10"/>
        <v/>
      </c>
      <c r="BB16" s="61" t="str">
        <f t="shared" si="11"/>
        <v/>
      </c>
      <c r="BC16" s="61" t="str">
        <f t="shared" si="12"/>
        <v/>
      </c>
      <c r="BD16" s="61" t="str">
        <f t="shared" si="13"/>
        <v/>
      </c>
      <c r="BE16" s="64" t="str">
        <f t="shared" si="14"/>
        <v/>
      </c>
      <c r="BF16" s="64" t="str">
        <f t="shared" si="15"/>
        <v/>
      </c>
      <c r="BG16" s="64" t="str">
        <f t="shared" si="16"/>
        <v/>
      </c>
      <c r="BH16" s="64" t="str">
        <f t="shared" si="17"/>
        <v/>
      </c>
      <c r="BI16" s="65"/>
      <c r="BJ16" s="66" t="str">
        <f t="shared" si="18"/>
        <v/>
      </c>
      <c r="BK16" s="71" t="s">
        <v>80</v>
      </c>
      <c r="BL16" s="70">
        <v>76</v>
      </c>
      <c r="BM16" s="5">
        <v>12.1</v>
      </c>
      <c r="BN16" s="77">
        <v>12.2</v>
      </c>
      <c r="BO16" s="78">
        <f t="shared" si="51"/>
        <v>13</v>
      </c>
      <c r="BP16" s="79">
        <v>13.1</v>
      </c>
      <c r="BQ16" s="80">
        <v>18.7</v>
      </c>
      <c r="BR16" s="81">
        <f t="shared" si="52"/>
        <v>18.8</v>
      </c>
      <c r="BS16" s="82">
        <v>21</v>
      </c>
      <c r="BT16" s="83">
        <v>21.1</v>
      </c>
      <c r="BU16" s="41"/>
      <c r="BV16" s="87" t="s">
        <v>80</v>
      </c>
      <c r="BW16" s="86">
        <v>76</v>
      </c>
      <c r="BX16" s="5">
        <v>11.6</v>
      </c>
      <c r="BY16" s="77">
        <v>11.7</v>
      </c>
      <c r="BZ16" s="78">
        <f t="shared" si="53"/>
        <v>12.6</v>
      </c>
      <c r="CA16" s="79">
        <v>12.7</v>
      </c>
      <c r="CB16" s="80">
        <v>19.399999999999999</v>
      </c>
      <c r="CC16" s="92">
        <f t="shared" si="54"/>
        <v>19.5</v>
      </c>
      <c r="CD16" s="82">
        <v>22.5</v>
      </c>
      <c r="CE16" s="83" t="s">
        <v>81</v>
      </c>
      <c r="CF16" s="63"/>
      <c r="CG16" s="91" t="str">
        <f t="shared" si="19"/>
        <v/>
      </c>
      <c r="CH16" s="91"/>
      <c r="CI16" s="91" t="str">
        <f t="shared" si="20"/>
        <v/>
      </c>
      <c r="CJ16" s="91"/>
      <c r="CK16" s="91" t="str">
        <f t="shared" si="21"/>
        <v/>
      </c>
      <c r="CL16" s="91" t="str">
        <f t="shared" si="22"/>
        <v/>
      </c>
      <c r="CM16" s="91" t="str">
        <f t="shared" si="23"/>
        <v/>
      </c>
      <c r="CN16" s="91" t="str">
        <f t="shared" si="24"/>
        <v/>
      </c>
      <c r="CO16" s="91" t="str">
        <f t="shared" si="25"/>
        <v/>
      </c>
      <c r="CP16" s="91" t="str">
        <f t="shared" si="26"/>
        <v/>
      </c>
      <c r="CQ16" s="91" t="str">
        <f t="shared" si="27"/>
        <v/>
      </c>
      <c r="CR16" s="91" t="str">
        <f t="shared" si="28"/>
        <v/>
      </c>
      <c r="CS16" s="91" t="str">
        <f t="shared" si="29"/>
        <v/>
      </c>
      <c r="CT16" s="91" t="str">
        <f t="shared" si="30"/>
        <v/>
      </c>
      <c r="CV16" s="94"/>
      <c r="CW16" s="95">
        <v>4</v>
      </c>
      <c r="CX16" s="96">
        <f t="shared" si="55"/>
        <v>4.9000000000000004</v>
      </c>
      <c r="CY16" s="97">
        <v>5</v>
      </c>
      <c r="CZ16" s="96">
        <f t="shared" si="56"/>
        <v>5.5</v>
      </c>
      <c r="DA16" s="97">
        <v>5.6</v>
      </c>
      <c r="DB16" s="97">
        <v>8.6999999999999993</v>
      </c>
      <c r="DC16" s="96">
        <f t="shared" si="57"/>
        <v>8.8000000000000007</v>
      </c>
      <c r="DD16" s="41"/>
      <c r="DE16" s="41"/>
      <c r="DF16" s="41"/>
      <c r="DG16" s="94"/>
      <c r="DH16" s="96">
        <f t="shared" si="58"/>
        <v>4.4000000000000004</v>
      </c>
      <c r="DI16" s="97">
        <v>4.5</v>
      </c>
      <c r="DJ16" s="96">
        <f t="shared" si="59"/>
        <v>4.9000000000000004</v>
      </c>
      <c r="DK16" s="97">
        <v>5</v>
      </c>
      <c r="DL16" s="97">
        <v>8.1999999999999993</v>
      </c>
      <c r="DM16" s="96">
        <f t="shared" si="60"/>
        <v>8.3000000000000007</v>
      </c>
      <c r="DN16" s="106">
        <v>8.3000000000000007</v>
      </c>
      <c r="DO16" s="41"/>
      <c r="DP16" s="66" t="str">
        <f t="shared" si="31"/>
        <v/>
      </c>
      <c r="DQ16" s="60" t="str">
        <f t="shared" si="32"/>
        <v/>
      </c>
      <c r="DR16" s="60" t="str">
        <f t="shared" si="33"/>
        <v/>
      </c>
      <c r="DS16" s="60" t="str">
        <f t="shared" si="34"/>
        <v/>
      </c>
      <c r="DV16" s="114" t="s">
        <v>82</v>
      </c>
      <c r="DW16" s="112">
        <v>41</v>
      </c>
      <c r="DX16" s="113" t="s">
        <v>83</v>
      </c>
      <c r="DY16" s="129">
        <v>87.5</v>
      </c>
      <c r="DZ16" s="135">
        <v>91.3</v>
      </c>
      <c r="EA16" s="129">
        <v>91.4</v>
      </c>
      <c r="EB16" s="136">
        <v>107.1</v>
      </c>
      <c r="EC16" s="132">
        <v>107.2</v>
      </c>
      <c r="EE16" s="137" t="s">
        <v>82</v>
      </c>
      <c r="EF16" s="134">
        <v>41</v>
      </c>
      <c r="EG16" s="168">
        <v>86.2</v>
      </c>
      <c r="EH16" s="165">
        <v>86.3</v>
      </c>
      <c r="EI16" s="169">
        <v>90.3</v>
      </c>
      <c r="EJ16" s="165">
        <v>90.4</v>
      </c>
      <c r="EK16" s="168">
        <v>106.4</v>
      </c>
      <c r="EL16" s="167">
        <v>106.5</v>
      </c>
      <c r="EN16" s="154" t="str">
        <f t="shared" si="35"/>
        <v/>
      </c>
      <c r="EO16" s="154" t="e">
        <f t="shared" si="36"/>
        <v>#N/A</v>
      </c>
      <c r="EP16" s="154" t="e">
        <f t="shared" si="37"/>
        <v>#N/A</v>
      </c>
      <c r="EQ16" s="154" t="e">
        <f t="shared" si="38"/>
        <v>#N/A</v>
      </c>
      <c r="ES16" s="154" t="e">
        <f t="shared" si="39"/>
        <v>#N/A</v>
      </c>
      <c r="ET16" s="154" t="e">
        <f t="shared" si="40"/>
        <v>#N/A</v>
      </c>
      <c r="EU16" s="154" t="e">
        <f t="shared" si="41"/>
        <v>#N/A</v>
      </c>
      <c r="EW16" s="60">
        <f t="shared" si="42"/>
        <v>0</v>
      </c>
      <c r="EX16" s="60">
        <f t="shared" si="43"/>
        <v>0</v>
      </c>
      <c r="EY16" s="60">
        <f t="shared" si="44"/>
        <v>0</v>
      </c>
      <c r="EZ16" s="60">
        <f t="shared" si="45"/>
        <v>0</v>
      </c>
      <c r="FA16" s="60">
        <f t="shared" si="46"/>
        <v>0</v>
      </c>
      <c r="FB16" s="60">
        <f t="shared" si="47"/>
        <v>0</v>
      </c>
      <c r="FC16" s="60">
        <f t="shared" si="48"/>
        <v>0</v>
      </c>
      <c r="FD16" s="60">
        <f t="shared" si="49"/>
        <v>0</v>
      </c>
    </row>
    <row r="17" spans="1:160" ht="10.5" customHeight="1">
      <c r="A17" s="8" t="str">
        <f t="shared" si="50"/>
        <v/>
      </c>
      <c r="B17" s="9" t="str">
        <f t="shared" si="0"/>
        <v/>
      </c>
      <c r="C17" s="15"/>
      <c r="D17" s="11"/>
      <c r="E17" s="12"/>
      <c r="F17" s="12"/>
      <c r="G17" s="13"/>
      <c r="H17" s="14" t="str">
        <f t="shared" si="1"/>
        <v/>
      </c>
      <c r="I17" s="8" t="str">
        <f t="shared" si="2"/>
        <v/>
      </c>
      <c r="J17" s="9" t="str">
        <f t="shared" si="3"/>
        <v/>
      </c>
      <c r="K17" s="32" t="str">
        <f t="shared" si="4"/>
        <v/>
      </c>
      <c r="L17" s="33" t="str">
        <f t="shared" si="5"/>
        <v/>
      </c>
      <c r="M17" s="34" t="str">
        <f t="shared" si="6"/>
        <v/>
      </c>
      <c r="N17" s="35" t="str">
        <f t="shared" si="7"/>
        <v/>
      </c>
      <c r="O17" s="36"/>
      <c r="P17" s="36"/>
      <c r="Q17" s="36"/>
      <c r="R17" s="36"/>
      <c r="S17" s="36"/>
      <c r="T17" s="36"/>
      <c r="U17" s="36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53"/>
      <c r="AS17" s="53"/>
      <c r="AT17" s="53"/>
      <c r="AW17" s="5"/>
      <c r="AX17" s="5"/>
      <c r="AY17" s="60" t="str">
        <f t="shared" si="8"/>
        <v/>
      </c>
      <c r="AZ17" s="60" t="str">
        <f t="shared" si="9"/>
        <v/>
      </c>
      <c r="BA17" s="61" t="str">
        <f t="shared" si="10"/>
        <v/>
      </c>
      <c r="BB17" s="61" t="str">
        <f t="shared" si="11"/>
        <v/>
      </c>
      <c r="BC17" s="61" t="str">
        <f t="shared" si="12"/>
        <v/>
      </c>
      <c r="BD17" s="61" t="str">
        <f t="shared" si="13"/>
        <v/>
      </c>
      <c r="BE17" s="64" t="str">
        <f t="shared" si="14"/>
        <v/>
      </c>
      <c r="BF17" s="64" t="str">
        <f t="shared" si="15"/>
        <v/>
      </c>
      <c r="BG17" s="64" t="str">
        <f t="shared" si="16"/>
        <v/>
      </c>
      <c r="BH17" s="64" t="str">
        <f t="shared" si="17"/>
        <v/>
      </c>
      <c r="BI17" s="65"/>
      <c r="BJ17" s="66" t="str">
        <f t="shared" si="18"/>
        <v/>
      </c>
      <c r="BK17" s="71" t="s">
        <v>84</v>
      </c>
      <c r="BL17" s="70">
        <v>77</v>
      </c>
      <c r="BM17" s="5">
        <v>12.1</v>
      </c>
      <c r="BN17" s="77">
        <v>12.2</v>
      </c>
      <c r="BO17" s="78">
        <f t="shared" si="51"/>
        <v>13</v>
      </c>
      <c r="BP17" s="79">
        <v>13.1</v>
      </c>
      <c r="BQ17" s="80">
        <v>18.7</v>
      </c>
      <c r="BR17" s="81">
        <f t="shared" si="52"/>
        <v>18.8</v>
      </c>
      <c r="BS17" s="82">
        <v>21</v>
      </c>
      <c r="BT17" s="83">
        <v>21.1</v>
      </c>
      <c r="BU17" s="41"/>
      <c r="BV17" s="87" t="s">
        <v>84</v>
      </c>
      <c r="BW17" s="86">
        <v>77</v>
      </c>
      <c r="BX17" s="5">
        <v>11.6</v>
      </c>
      <c r="BY17" s="77">
        <v>11.7</v>
      </c>
      <c r="BZ17" s="78">
        <f t="shared" si="53"/>
        <v>12.6</v>
      </c>
      <c r="CA17" s="79">
        <v>12.7</v>
      </c>
      <c r="CB17" s="80">
        <v>19.399999999999999</v>
      </c>
      <c r="CC17" s="92">
        <f t="shared" si="54"/>
        <v>19.5</v>
      </c>
      <c r="CD17" s="82">
        <v>22.6</v>
      </c>
      <c r="CE17" s="83" t="s">
        <v>85</v>
      </c>
      <c r="CF17" s="63"/>
      <c r="CG17" s="91" t="str">
        <f t="shared" si="19"/>
        <v/>
      </c>
      <c r="CH17" s="91"/>
      <c r="CI17" s="91" t="str">
        <f t="shared" si="20"/>
        <v/>
      </c>
      <c r="CJ17" s="91"/>
      <c r="CK17" s="91" t="str">
        <f t="shared" si="21"/>
        <v/>
      </c>
      <c r="CL17" s="91" t="str">
        <f t="shared" si="22"/>
        <v/>
      </c>
      <c r="CM17" s="91" t="str">
        <f t="shared" si="23"/>
        <v/>
      </c>
      <c r="CN17" s="91" t="str">
        <f t="shared" si="24"/>
        <v/>
      </c>
      <c r="CO17" s="91" t="str">
        <f t="shared" si="25"/>
        <v/>
      </c>
      <c r="CP17" s="91" t="str">
        <f t="shared" si="26"/>
        <v/>
      </c>
      <c r="CQ17" s="91" t="str">
        <f t="shared" si="27"/>
        <v/>
      </c>
      <c r="CR17" s="91" t="str">
        <f t="shared" si="28"/>
        <v/>
      </c>
      <c r="CS17" s="91" t="str">
        <f t="shared" si="29"/>
        <v/>
      </c>
      <c r="CT17" s="91" t="str">
        <f t="shared" si="30"/>
        <v/>
      </c>
      <c r="CV17" s="94"/>
      <c r="CW17" s="95">
        <v>5</v>
      </c>
      <c r="CX17" s="96">
        <f t="shared" si="55"/>
        <v>5.3</v>
      </c>
      <c r="CY17" s="97">
        <v>5.4</v>
      </c>
      <c r="CZ17" s="96">
        <f t="shared" si="56"/>
        <v>5.9</v>
      </c>
      <c r="DA17" s="97">
        <v>6</v>
      </c>
      <c r="DB17" s="97">
        <v>9.3000000000000007</v>
      </c>
      <c r="DC17" s="96">
        <f t="shared" si="57"/>
        <v>9.4</v>
      </c>
      <c r="DD17" s="41"/>
      <c r="DE17" s="41"/>
      <c r="DF17" s="41"/>
      <c r="DG17" s="94"/>
      <c r="DH17" s="96">
        <f t="shared" si="58"/>
        <v>4.8</v>
      </c>
      <c r="DI17" s="97">
        <v>4.9000000000000004</v>
      </c>
      <c r="DJ17" s="96">
        <f t="shared" si="59"/>
        <v>5.3</v>
      </c>
      <c r="DK17" s="97">
        <v>5.4</v>
      </c>
      <c r="DL17" s="97">
        <v>8.8000000000000007</v>
      </c>
      <c r="DM17" s="96">
        <f t="shared" si="60"/>
        <v>8.9</v>
      </c>
      <c r="DN17" s="106">
        <v>8.9</v>
      </c>
      <c r="DO17" s="41"/>
      <c r="DP17" s="66" t="str">
        <f t="shared" si="31"/>
        <v/>
      </c>
      <c r="DQ17" s="60" t="str">
        <f t="shared" si="32"/>
        <v/>
      </c>
      <c r="DR17" s="60" t="str">
        <f t="shared" si="33"/>
        <v/>
      </c>
      <c r="DS17" s="60" t="str">
        <f t="shared" si="34"/>
        <v/>
      </c>
      <c r="DV17" s="114" t="s">
        <v>86</v>
      </c>
      <c r="DW17" s="112">
        <v>42</v>
      </c>
      <c r="DX17" s="113" t="s">
        <v>87</v>
      </c>
      <c r="DY17" s="129">
        <v>88</v>
      </c>
      <c r="DZ17" s="135">
        <v>91.8</v>
      </c>
      <c r="EA17" s="129">
        <v>91.9</v>
      </c>
      <c r="EB17" s="136">
        <v>107.8</v>
      </c>
      <c r="EC17" s="132">
        <v>107.9</v>
      </c>
      <c r="EE17" s="137" t="s">
        <v>86</v>
      </c>
      <c r="EF17" s="134">
        <v>42</v>
      </c>
      <c r="EG17" s="168">
        <v>86.7</v>
      </c>
      <c r="EH17" s="165">
        <v>86.8</v>
      </c>
      <c r="EI17" s="169">
        <v>90.8</v>
      </c>
      <c r="EJ17" s="165">
        <v>90.9</v>
      </c>
      <c r="EK17" s="168">
        <v>107.2</v>
      </c>
      <c r="EL17" s="167">
        <v>107.3</v>
      </c>
      <c r="EN17" s="154" t="str">
        <f t="shared" si="35"/>
        <v/>
      </c>
      <c r="EO17" s="154" t="e">
        <f t="shared" si="36"/>
        <v>#N/A</v>
      </c>
      <c r="EP17" s="154" t="e">
        <f t="shared" si="37"/>
        <v>#N/A</v>
      </c>
      <c r="EQ17" s="154" t="e">
        <f t="shared" si="38"/>
        <v>#N/A</v>
      </c>
      <c r="ES17" s="154" t="e">
        <f t="shared" si="39"/>
        <v>#N/A</v>
      </c>
      <c r="ET17" s="154" t="e">
        <f t="shared" si="40"/>
        <v>#N/A</v>
      </c>
      <c r="EU17" s="154" t="e">
        <f t="shared" si="41"/>
        <v>#N/A</v>
      </c>
      <c r="EW17" s="60">
        <f t="shared" si="42"/>
        <v>0</v>
      </c>
      <c r="EX17" s="60">
        <f t="shared" si="43"/>
        <v>0</v>
      </c>
      <c r="EY17" s="60">
        <f t="shared" si="44"/>
        <v>0</v>
      </c>
      <c r="EZ17" s="60">
        <f t="shared" si="45"/>
        <v>0</v>
      </c>
      <c r="FA17" s="60">
        <f t="shared" si="46"/>
        <v>0</v>
      </c>
      <c r="FB17" s="60">
        <f t="shared" si="47"/>
        <v>0</v>
      </c>
      <c r="FC17" s="60">
        <f t="shared" si="48"/>
        <v>0</v>
      </c>
      <c r="FD17" s="60">
        <f t="shared" si="49"/>
        <v>0</v>
      </c>
    </row>
    <row r="18" spans="1:160" ht="10.5" customHeight="1">
      <c r="A18" s="8" t="str">
        <f t="shared" si="50"/>
        <v/>
      </c>
      <c r="B18" s="9" t="str">
        <f t="shared" si="0"/>
        <v/>
      </c>
      <c r="C18" s="15"/>
      <c r="D18" s="11"/>
      <c r="E18" s="12"/>
      <c r="F18" s="12"/>
      <c r="G18" s="13"/>
      <c r="H18" s="14" t="str">
        <f t="shared" si="1"/>
        <v/>
      </c>
      <c r="I18" s="8" t="str">
        <f t="shared" si="2"/>
        <v/>
      </c>
      <c r="J18" s="9" t="str">
        <f t="shared" si="3"/>
        <v/>
      </c>
      <c r="K18" s="32" t="str">
        <f t="shared" si="4"/>
        <v/>
      </c>
      <c r="L18" s="33" t="str">
        <f t="shared" si="5"/>
        <v/>
      </c>
      <c r="M18" s="34" t="str">
        <f t="shared" si="6"/>
        <v/>
      </c>
      <c r="N18" s="35" t="str">
        <f t="shared" si="7"/>
        <v/>
      </c>
      <c r="O18" s="36"/>
      <c r="P18" s="36"/>
      <c r="Q18" s="36"/>
      <c r="R18" s="36"/>
      <c r="S18" s="36"/>
      <c r="T18" s="36"/>
      <c r="U18" s="36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53"/>
      <c r="AS18" s="53"/>
      <c r="AT18" s="53"/>
      <c r="AW18" s="5"/>
      <c r="AX18" s="5"/>
      <c r="AY18" s="60" t="str">
        <f t="shared" si="8"/>
        <v/>
      </c>
      <c r="AZ18" s="60" t="str">
        <f t="shared" si="9"/>
        <v/>
      </c>
      <c r="BA18" s="61" t="str">
        <f t="shared" si="10"/>
        <v/>
      </c>
      <c r="BB18" s="61" t="str">
        <f t="shared" si="11"/>
        <v/>
      </c>
      <c r="BC18" s="61" t="str">
        <f t="shared" si="12"/>
        <v/>
      </c>
      <c r="BD18" s="61" t="str">
        <f t="shared" si="13"/>
        <v/>
      </c>
      <c r="BE18" s="64" t="str">
        <f t="shared" si="14"/>
        <v/>
      </c>
      <c r="BF18" s="64" t="str">
        <f t="shared" si="15"/>
        <v/>
      </c>
      <c r="BG18" s="64" t="str">
        <f t="shared" si="16"/>
        <v/>
      </c>
      <c r="BH18" s="64" t="str">
        <f t="shared" si="17"/>
        <v/>
      </c>
      <c r="BI18" s="65"/>
      <c r="BJ18" s="66" t="str">
        <f t="shared" si="18"/>
        <v/>
      </c>
      <c r="BK18" s="71" t="s">
        <v>88</v>
      </c>
      <c r="BL18" s="70">
        <v>78</v>
      </c>
      <c r="BM18" s="5">
        <v>12.1</v>
      </c>
      <c r="BN18" s="77">
        <v>12.2</v>
      </c>
      <c r="BO18" s="78">
        <f t="shared" si="51"/>
        <v>13</v>
      </c>
      <c r="BP18" s="79">
        <v>13.1</v>
      </c>
      <c r="BQ18" s="80">
        <v>18.7</v>
      </c>
      <c r="BR18" s="81">
        <f t="shared" si="52"/>
        <v>18.8</v>
      </c>
      <c r="BS18" s="82">
        <v>21.1</v>
      </c>
      <c r="BT18" s="83">
        <v>21.2</v>
      </c>
      <c r="BU18" s="41"/>
      <c r="BV18" s="87" t="s">
        <v>88</v>
      </c>
      <c r="BW18" s="86">
        <v>78</v>
      </c>
      <c r="BX18" s="5">
        <v>11.6</v>
      </c>
      <c r="BY18" s="77">
        <v>11.7</v>
      </c>
      <c r="BZ18" s="78">
        <f t="shared" si="53"/>
        <v>12.6</v>
      </c>
      <c r="CA18" s="79">
        <v>12.7</v>
      </c>
      <c r="CB18" s="80">
        <v>19.5</v>
      </c>
      <c r="CC18" s="92">
        <f t="shared" si="54"/>
        <v>19.600000000000001</v>
      </c>
      <c r="CD18" s="82">
        <v>22.7</v>
      </c>
      <c r="CE18" s="83" t="s">
        <v>89</v>
      </c>
      <c r="CF18" s="63"/>
      <c r="CG18" s="91" t="str">
        <f t="shared" si="19"/>
        <v/>
      </c>
      <c r="CH18" s="91"/>
      <c r="CI18" s="91" t="str">
        <f t="shared" si="20"/>
        <v/>
      </c>
      <c r="CJ18" s="91"/>
      <c r="CK18" s="91" t="str">
        <f t="shared" si="21"/>
        <v/>
      </c>
      <c r="CL18" s="91" t="str">
        <f t="shared" si="22"/>
        <v/>
      </c>
      <c r="CM18" s="91" t="str">
        <f t="shared" si="23"/>
        <v/>
      </c>
      <c r="CN18" s="91" t="str">
        <f t="shared" si="24"/>
        <v/>
      </c>
      <c r="CO18" s="91" t="str">
        <f t="shared" si="25"/>
        <v/>
      </c>
      <c r="CP18" s="91" t="str">
        <f t="shared" si="26"/>
        <v/>
      </c>
      <c r="CQ18" s="91" t="str">
        <f t="shared" si="27"/>
        <v/>
      </c>
      <c r="CR18" s="91" t="str">
        <f t="shared" si="28"/>
        <v/>
      </c>
      <c r="CS18" s="91" t="str">
        <f t="shared" si="29"/>
        <v/>
      </c>
      <c r="CT18" s="91" t="str">
        <f t="shared" si="30"/>
        <v/>
      </c>
      <c r="CV18" s="94"/>
      <c r="CW18" s="95">
        <v>6</v>
      </c>
      <c r="CX18" s="96">
        <f t="shared" si="55"/>
        <v>5.7</v>
      </c>
      <c r="CY18" s="97">
        <v>5.8</v>
      </c>
      <c r="CZ18" s="96">
        <f t="shared" si="56"/>
        <v>6.3</v>
      </c>
      <c r="DA18" s="97">
        <v>6.4</v>
      </c>
      <c r="DB18" s="97">
        <v>9.8000000000000007</v>
      </c>
      <c r="DC18" s="96">
        <f t="shared" si="57"/>
        <v>9.9</v>
      </c>
      <c r="DD18" s="41"/>
      <c r="DE18" s="41"/>
      <c r="DF18" s="41"/>
      <c r="DG18" s="94"/>
      <c r="DH18" s="96">
        <f t="shared" si="58"/>
        <v>5.0999999999999996</v>
      </c>
      <c r="DI18" s="97">
        <v>5.2</v>
      </c>
      <c r="DJ18" s="96">
        <f t="shared" si="59"/>
        <v>5.6</v>
      </c>
      <c r="DK18" s="97">
        <v>5.7</v>
      </c>
      <c r="DL18" s="97">
        <v>9.3000000000000007</v>
      </c>
      <c r="DM18" s="96">
        <f t="shared" si="60"/>
        <v>9.4</v>
      </c>
      <c r="DN18" s="106">
        <v>9.4</v>
      </c>
      <c r="DO18" s="41"/>
      <c r="DP18" s="66" t="str">
        <f t="shared" si="31"/>
        <v/>
      </c>
      <c r="DQ18" s="60" t="str">
        <f t="shared" si="32"/>
        <v/>
      </c>
      <c r="DR18" s="60" t="str">
        <f t="shared" si="33"/>
        <v/>
      </c>
      <c r="DS18" s="60" t="str">
        <f t="shared" si="34"/>
        <v/>
      </c>
      <c r="DV18" s="114" t="s">
        <v>90</v>
      </c>
      <c r="DW18" s="112">
        <v>43</v>
      </c>
      <c r="DX18" s="113" t="s">
        <v>91</v>
      </c>
      <c r="DY18" s="129">
        <v>88.4</v>
      </c>
      <c r="DZ18" s="135">
        <v>92.3</v>
      </c>
      <c r="EA18" s="129">
        <v>92.4</v>
      </c>
      <c r="EB18" s="136">
        <v>108.5</v>
      </c>
      <c r="EC18" s="132">
        <v>108.6</v>
      </c>
      <c r="EE18" s="137" t="s">
        <v>90</v>
      </c>
      <c r="EF18" s="134">
        <v>43</v>
      </c>
      <c r="EG18" s="168">
        <v>87.3</v>
      </c>
      <c r="EH18" s="165">
        <v>87.4</v>
      </c>
      <c r="EI18" s="169">
        <v>91.4</v>
      </c>
      <c r="EJ18" s="165">
        <v>91.5</v>
      </c>
      <c r="EK18" s="168">
        <v>107.9</v>
      </c>
      <c r="EL18" s="167">
        <v>108</v>
      </c>
      <c r="EN18" s="154" t="str">
        <f t="shared" si="35"/>
        <v/>
      </c>
      <c r="EO18" s="154" t="e">
        <f t="shared" si="36"/>
        <v>#N/A</v>
      </c>
      <c r="EP18" s="154" t="e">
        <f t="shared" si="37"/>
        <v>#N/A</v>
      </c>
      <c r="EQ18" s="154" t="e">
        <f t="shared" si="38"/>
        <v>#N/A</v>
      </c>
      <c r="ES18" s="154" t="e">
        <f t="shared" si="39"/>
        <v>#N/A</v>
      </c>
      <c r="ET18" s="154" t="e">
        <f t="shared" si="40"/>
        <v>#N/A</v>
      </c>
      <c r="EU18" s="154" t="e">
        <f t="shared" si="41"/>
        <v>#N/A</v>
      </c>
      <c r="EW18" s="60">
        <f t="shared" si="42"/>
        <v>0</v>
      </c>
      <c r="EX18" s="60">
        <f t="shared" si="43"/>
        <v>0</v>
      </c>
      <c r="EY18" s="60">
        <f t="shared" si="44"/>
        <v>0</v>
      </c>
      <c r="EZ18" s="60">
        <f t="shared" si="45"/>
        <v>0</v>
      </c>
      <c r="FA18" s="60">
        <f t="shared" si="46"/>
        <v>0</v>
      </c>
      <c r="FB18" s="60">
        <f t="shared" si="47"/>
        <v>0</v>
      </c>
      <c r="FC18" s="60">
        <f t="shared" si="48"/>
        <v>0</v>
      </c>
      <c r="FD18" s="60">
        <f t="shared" si="49"/>
        <v>0</v>
      </c>
    </row>
    <row r="19" spans="1:160" ht="10.5" customHeight="1">
      <c r="A19" s="8" t="str">
        <f t="shared" si="50"/>
        <v/>
      </c>
      <c r="B19" s="9" t="str">
        <f t="shared" si="0"/>
        <v/>
      </c>
      <c r="C19" s="15"/>
      <c r="D19" s="16"/>
      <c r="E19" s="17"/>
      <c r="F19" s="17"/>
      <c r="G19" s="13"/>
      <c r="H19" s="14" t="str">
        <f t="shared" si="1"/>
        <v/>
      </c>
      <c r="I19" s="8" t="str">
        <f t="shared" si="2"/>
        <v/>
      </c>
      <c r="J19" s="9" t="str">
        <f t="shared" si="3"/>
        <v/>
      </c>
      <c r="K19" s="32" t="str">
        <f t="shared" si="4"/>
        <v/>
      </c>
      <c r="L19" s="33" t="str">
        <f t="shared" si="5"/>
        <v/>
      </c>
      <c r="M19" s="34" t="str">
        <f t="shared" si="6"/>
        <v/>
      </c>
      <c r="N19" s="35" t="str">
        <f t="shared" si="7"/>
        <v/>
      </c>
      <c r="O19" s="36"/>
      <c r="P19" s="36"/>
      <c r="Q19" s="36"/>
      <c r="R19" s="36"/>
      <c r="S19" s="36"/>
      <c r="T19" s="36"/>
      <c r="U19" s="36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53"/>
      <c r="AS19" s="53"/>
      <c r="AT19" s="53"/>
      <c r="AW19" s="5"/>
      <c r="AX19" s="5"/>
      <c r="AY19" s="60" t="str">
        <f t="shared" si="8"/>
        <v/>
      </c>
      <c r="AZ19" s="60" t="str">
        <f t="shared" si="9"/>
        <v/>
      </c>
      <c r="BA19" s="61" t="str">
        <f t="shared" si="10"/>
        <v/>
      </c>
      <c r="BB19" s="61" t="str">
        <f t="shared" si="11"/>
        <v/>
      </c>
      <c r="BC19" s="61" t="str">
        <f t="shared" si="12"/>
        <v/>
      </c>
      <c r="BD19" s="61" t="str">
        <f t="shared" si="13"/>
        <v/>
      </c>
      <c r="BE19" s="64" t="str">
        <f t="shared" si="14"/>
        <v/>
      </c>
      <c r="BF19" s="64" t="str">
        <f t="shared" si="15"/>
        <v/>
      </c>
      <c r="BG19" s="64" t="str">
        <f t="shared" si="16"/>
        <v/>
      </c>
      <c r="BH19" s="64" t="str">
        <f t="shared" si="17"/>
        <v/>
      </c>
      <c r="BI19" s="65"/>
      <c r="BJ19" s="66" t="str">
        <f t="shared" si="18"/>
        <v/>
      </c>
      <c r="BK19" s="71" t="s">
        <v>92</v>
      </c>
      <c r="BL19" s="70">
        <v>79</v>
      </c>
      <c r="BM19" s="5">
        <v>12.1</v>
      </c>
      <c r="BN19" s="77">
        <v>12.2</v>
      </c>
      <c r="BO19" s="78">
        <f t="shared" si="51"/>
        <v>13</v>
      </c>
      <c r="BP19" s="79">
        <v>13.1</v>
      </c>
      <c r="BQ19" s="80">
        <v>18.8</v>
      </c>
      <c r="BR19" s="81">
        <f t="shared" si="52"/>
        <v>18.899999999999999</v>
      </c>
      <c r="BS19" s="82">
        <v>21.2</v>
      </c>
      <c r="BT19" s="83">
        <v>21.3</v>
      </c>
      <c r="BU19" s="41"/>
      <c r="BV19" s="87" t="s">
        <v>92</v>
      </c>
      <c r="BW19" s="86">
        <v>79</v>
      </c>
      <c r="BX19" s="5">
        <v>11.6</v>
      </c>
      <c r="BY19" s="77">
        <v>11.7</v>
      </c>
      <c r="BZ19" s="78">
        <f t="shared" si="53"/>
        <v>12.6</v>
      </c>
      <c r="CA19" s="79">
        <v>12.7</v>
      </c>
      <c r="CB19" s="80">
        <v>19.5</v>
      </c>
      <c r="CC19" s="92">
        <f t="shared" si="54"/>
        <v>19.600000000000001</v>
      </c>
      <c r="CD19" s="82">
        <v>22.8</v>
      </c>
      <c r="CE19" s="83" t="s">
        <v>93</v>
      </c>
      <c r="CF19" s="63"/>
      <c r="CG19" s="91" t="str">
        <f t="shared" si="19"/>
        <v/>
      </c>
      <c r="CH19" s="91"/>
      <c r="CI19" s="91" t="str">
        <f t="shared" si="20"/>
        <v/>
      </c>
      <c r="CJ19" s="91"/>
      <c r="CK19" s="91" t="str">
        <f t="shared" si="21"/>
        <v/>
      </c>
      <c r="CL19" s="91" t="str">
        <f t="shared" si="22"/>
        <v/>
      </c>
      <c r="CM19" s="91" t="str">
        <f t="shared" si="23"/>
        <v/>
      </c>
      <c r="CN19" s="91" t="str">
        <f t="shared" si="24"/>
        <v/>
      </c>
      <c r="CO19" s="91" t="str">
        <f t="shared" si="25"/>
        <v/>
      </c>
      <c r="CP19" s="91" t="str">
        <f t="shared" si="26"/>
        <v/>
      </c>
      <c r="CQ19" s="91" t="str">
        <f t="shared" si="27"/>
        <v/>
      </c>
      <c r="CR19" s="91" t="str">
        <f t="shared" si="28"/>
        <v/>
      </c>
      <c r="CS19" s="91" t="str">
        <f t="shared" si="29"/>
        <v/>
      </c>
      <c r="CT19" s="91" t="str">
        <f t="shared" si="30"/>
        <v/>
      </c>
      <c r="CV19" s="94"/>
      <c r="CW19" s="95">
        <v>7</v>
      </c>
      <c r="CX19" s="96">
        <f t="shared" si="55"/>
        <v>5.9</v>
      </c>
      <c r="CY19" s="97">
        <v>6</v>
      </c>
      <c r="CZ19" s="96">
        <f t="shared" si="56"/>
        <v>6.6</v>
      </c>
      <c r="DA19" s="97">
        <v>6.7</v>
      </c>
      <c r="DB19" s="97">
        <v>10.3</v>
      </c>
      <c r="DC19" s="96">
        <f t="shared" si="57"/>
        <v>10.4</v>
      </c>
      <c r="DD19" s="41"/>
      <c r="DE19" s="41"/>
      <c r="DF19" s="41"/>
      <c r="DG19" s="94"/>
      <c r="DH19" s="96">
        <f t="shared" si="58"/>
        <v>5.3</v>
      </c>
      <c r="DI19" s="97">
        <v>5.4</v>
      </c>
      <c r="DJ19" s="96">
        <f t="shared" si="59"/>
        <v>5.9</v>
      </c>
      <c r="DK19" s="97">
        <v>6</v>
      </c>
      <c r="DL19" s="97">
        <v>9.8000000000000007</v>
      </c>
      <c r="DM19" s="96">
        <f t="shared" si="60"/>
        <v>9.9</v>
      </c>
      <c r="DN19" s="106">
        <v>9.9</v>
      </c>
      <c r="DO19" s="41"/>
      <c r="DP19" s="66" t="str">
        <f t="shared" si="31"/>
        <v/>
      </c>
      <c r="DQ19" s="60" t="str">
        <f t="shared" si="32"/>
        <v/>
      </c>
      <c r="DR19" s="60" t="str">
        <f t="shared" si="33"/>
        <v/>
      </c>
      <c r="DS19" s="60" t="str">
        <f t="shared" si="34"/>
        <v/>
      </c>
      <c r="DV19" s="114" t="s">
        <v>94</v>
      </c>
      <c r="DW19" s="112">
        <v>44</v>
      </c>
      <c r="DX19" s="113" t="s">
        <v>95</v>
      </c>
      <c r="DY19" s="129">
        <v>88.9</v>
      </c>
      <c r="DZ19" s="135">
        <v>92.9</v>
      </c>
      <c r="EA19" s="129">
        <v>93</v>
      </c>
      <c r="EB19" s="136">
        <v>109.1</v>
      </c>
      <c r="EC19" s="132">
        <v>109.2</v>
      </c>
      <c r="EE19" s="137" t="s">
        <v>94</v>
      </c>
      <c r="EF19" s="134">
        <v>44</v>
      </c>
      <c r="EG19" s="168">
        <v>87.8</v>
      </c>
      <c r="EH19" s="165">
        <v>87.9</v>
      </c>
      <c r="EI19" s="169">
        <v>91.9</v>
      </c>
      <c r="EJ19" s="165">
        <v>92</v>
      </c>
      <c r="EK19" s="168">
        <v>108.6</v>
      </c>
      <c r="EL19" s="167">
        <v>108.7</v>
      </c>
      <c r="EN19" s="154" t="str">
        <f t="shared" si="35"/>
        <v/>
      </c>
      <c r="EO19" s="154" t="e">
        <f t="shared" si="36"/>
        <v>#N/A</v>
      </c>
      <c r="EP19" s="154" t="e">
        <f t="shared" si="37"/>
        <v>#N/A</v>
      </c>
      <c r="EQ19" s="154" t="e">
        <f t="shared" si="38"/>
        <v>#N/A</v>
      </c>
      <c r="ES19" s="154" t="e">
        <f t="shared" si="39"/>
        <v>#N/A</v>
      </c>
      <c r="ET19" s="154" t="e">
        <f t="shared" si="40"/>
        <v>#N/A</v>
      </c>
      <c r="EU19" s="154" t="e">
        <f t="shared" si="41"/>
        <v>#N/A</v>
      </c>
      <c r="EW19" s="60">
        <f t="shared" si="42"/>
        <v>0</v>
      </c>
      <c r="EX19" s="60">
        <f t="shared" si="43"/>
        <v>0</v>
      </c>
      <c r="EY19" s="60">
        <f t="shared" si="44"/>
        <v>0</v>
      </c>
      <c r="EZ19" s="60">
        <f t="shared" si="45"/>
        <v>0</v>
      </c>
      <c r="FA19" s="60">
        <f t="shared" si="46"/>
        <v>0</v>
      </c>
      <c r="FB19" s="60">
        <f t="shared" si="47"/>
        <v>0</v>
      </c>
      <c r="FC19" s="60">
        <f t="shared" si="48"/>
        <v>0</v>
      </c>
      <c r="FD19" s="60">
        <f t="shared" si="49"/>
        <v>0</v>
      </c>
    </row>
    <row r="20" spans="1:160" ht="10.5" customHeight="1">
      <c r="A20" s="8" t="str">
        <f t="shared" si="50"/>
        <v/>
      </c>
      <c r="B20" s="9" t="str">
        <f t="shared" si="0"/>
        <v/>
      </c>
      <c r="C20" s="15"/>
      <c r="D20" s="16"/>
      <c r="E20" s="17"/>
      <c r="F20" s="17"/>
      <c r="G20" s="13"/>
      <c r="H20" s="14" t="str">
        <f t="shared" si="1"/>
        <v/>
      </c>
      <c r="I20" s="8" t="str">
        <f t="shared" si="2"/>
        <v/>
      </c>
      <c r="J20" s="9" t="str">
        <f t="shared" si="3"/>
        <v/>
      </c>
      <c r="K20" s="32" t="str">
        <f t="shared" si="4"/>
        <v/>
      </c>
      <c r="L20" s="33" t="str">
        <f t="shared" si="5"/>
        <v/>
      </c>
      <c r="M20" s="34" t="str">
        <f t="shared" si="6"/>
        <v/>
      </c>
      <c r="N20" s="35" t="str">
        <f t="shared" si="7"/>
        <v/>
      </c>
      <c r="O20" s="36"/>
      <c r="P20" s="36"/>
      <c r="Q20" s="36"/>
      <c r="R20" s="36"/>
      <c r="S20" s="36"/>
      <c r="T20" s="36"/>
      <c r="U20" s="36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53"/>
      <c r="AS20" s="53"/>
      <c r="AT20" s="53"/>
      <c r="AW20" s="5"/>
      <c r="AX20" s="5"/>
      <c r="AY20" s="60" t="str">
        <f t="shared" si="8"/>
        <v/>
      </c>
      <c r="AZ20" s="60" t="str">
        <f t="shared" si="9"/>
        <v/>
      </c>
      <c r="BA20" s="61" t="str">
        <f t="shared" si="10"/>
        <v/>
      </c>
      <c r="BB20" s="61" t="str">
        <f t="shared" si="11"/>
        <v/>
      </c>
      <c r="BC20" s="61" t="str">
        <f t="shared" si="12"/>
        <v/>
      </c>
      <c r="BD20" s="61" t="str">
        <f t="shared" si="13"/>
        <v/>
      </c>
      <c r="BE20" s="64" t="str">
        <f t="shared" si="14"/>
        <v/>
      </c>
      <c r="BF20" s="64" t="str">
        <f t="shared" si="15"/>
        <v/>
      </c>
      <c r="BG20" s="64" t="str">
        <f t="shared" si="16"/>
        <v/>
      </c>
      <c r="BH20" s="64" t="str">
        <f t="shared" si="17"/>
        <v/>
      </c>
      <c r="BI20" s="65"/>
      <c r="BJ20" s="66" t="str">
        <f t="shared" si="18"/>
        <v/>
      </c>
      <c r="BK20" s="71" t="s">
        <v>96</v>
      </c>
      <c r="BL20" s="70">
        <v>80</v>
      </c>
      <c r="BM20" s="5">
        <v>12.1</v>
      </c>
      <c r="BN20" s="77">
        <v>12.2</v>
      </c>
      <c r="BO20" s="78">
        <f t="shared" si="51"/>
        <v>13</v>
      </c>
      <c r="BP20" s="79">
        <v>13.1</v>
      </c>
      <c r="BQ20" s="80">
        <v>18.8</v>
      </c>
      <c r="BR20" s="81">
        <f t="shared" si="52"/>
        <v>18.899999999999999</v>
      </c>
      <c r="BS20" s="82">
        <v>21.3</v>
      </c>
      <c r="BT20" s="83">
        <v>21.4</v>
      </c>
      <c r="BU20" s="41"/>
      <c r="BV20" s="87" t="s">
        <v>96</v>
      </c>
      <c r="BW20" s="86">
        <v>80</v>
      </c>
      <c r="BX20" s="5">
        <v>11.6</v>
      </c>
      <c r="BY20" s="77">
        <v>11.7</v>
      </c>
      <c r="BZ20" s="78">
        <f t="shared" si="53"/>
        <v>12.6</v>
      </c>
      <c r="CA20" s="79">
        <v>12.7</v>
      </c>
      <c r="CB20" s="80">
        <v>19.600000000000001</v>
      </c>
      <c r="CC20" s="92">
        <f t="shared" si="54"/>
        <v>19.7</v>
      </c>
      <c r="CD20" s="82">
        <v>22.9</v>
      </c>
      <c r="CE20" s="83" t="s">
        <v>97</v>
      </c>
      <c r="CF20" s="63"/>
      <c r="CG20" s="91" t="str">
        <f t="shared" si="19"/>
        <v/>
      </c>
      <c r="CH20" s="91"/>
      <c r="CI20" s="91" t="str">
        <f t="shared" si="20"/>
        <v/>
      </c>
      <c r="CJ20" s="91"/>
      <c r="CK20" s="91" t="str">
        <f t="shared" si="21"/>
        <v/>
      </c>
      <c r="CL20" s="91" t="str">
        <f t="shared" si="22"/>
        <v/>
      </c>
      <c r="CM20" s="91" t="str">
        <f t="shared" si="23"/>
        <v/>
      </c>
      <c r="CN20" s="91" t="str">
        <f t="shared" si="24"/>
        <v/>
      </c>
      <c r="CO20" s="91" t="str">
        <f t="shared" si="25"/>
        <v/>
      </c>
      <c r="CP20" s="91" t="str">
        <f t="shared" si="26"/>
        <v/>
      </c>
      <c r="CQ20" s="91" t="str">
        <f t="shared" si="27"/>
        <v/>
      </c>
      <c r="CR20" s="91" t="str">
        <f t="shared" si="28"/>
        <v/>
      </c>
      <c r="CS20" s="91" t="str">
        <f t="shared" si="29"/>
        <v/>
      </c>
      <c r="CT20" s="91" t="str">
        <f t="shared" si="30"/>
        <v/>
      </c>
      <c r="CV20" s="94"/>
      <c r="CW20" s="95">
        <v>8</v>
      </c>
      <c r="CX20" s="96">
        <f t="shared" si="55"/>
        <v>6.2</v>
      </c>
      <c r="CY20" s="97">
        <v>6.3</v>
      </c>
      <c r="CZ20" s="96">
        <f t="shared" si="56"/>
        <v>6.8</v>
      </c>
      <c r="DA20" s="97">
        <v>6.9</v>
      </c>
      <c r="DB20" s="97">
        <v>10.7</v>
      </c>
      <c r="DC20" s="96">
        <f t="shared" si="57"/>
        <v>10.8</v>
      </c>
      <c r="DD20" s="41"/>
      <c r="DE20" s="41"/>
      <c r="DF20" s="41"/>
      <c r="DG20" s="94"/>
      <c r="DH20" s="96">
        <f t="shared" si="58"/>
        <v>5.6</v>
      </c>
      <c r="DI20" s="97">
        <v>5.7</v>
      </c>
      <c r="DJ20" s="96">
        <f t="shared" si="59"/>
        <v>6.2</v>
      </c>
      <c r="DK20" s="97">
        <v>6.3</v>
      </c>
      <c r="DL20" s="97">
        <v>10.199999999999999</v>
      </c>
      <c r="DM20" s="96">
        <f t="shared" si="60"/>
        <v>10.3</v>
      </c>
      <c r="DN20" s="106">
        <v>10.3</v>
      </c>
      <c r="DO20" s="41"/>
      <c r="DP20" s="66" t="str">
        <f t="shared" si="31"/>
        <v/>
      </c>
      <c r="DQ20" s="60" t="str">
        <f t="shared" si="32"/>
        <v/>
      </c>
      <c r="DR20" s="60" t="str">
        <f t="shared" si="33"/>
        <v/>
      </c>
      <c r="DS20" s="60" t="str">
        <f t="shared" si="34"/>
        <v/>
      </c>
      <c r="DV20" s="114" t="s">
        <v>98</v>
      </c>
      <c r="DW20" s="112">
        <v>45</v>
      </c>
      <c r="DX20" s="113" t="s">
        <v>99</v>
      </c>
      <c r="DY20" s="129">
        <v>89.4</v>
      </c>
      <c r="DZ20" s="135">
        <v>93.4</v>
      </c>
      <c r="EA20" s="129">
        <v>93.5</v>
      </c>
      <c r="EB20" s="136">
        <v>109.8</v>
      </c>
      <c r="EC20" s="132">
        <v>109.9</v>
      </c>
      <c r="EE20" s="137" t="s">
        <v>98</v>
      </c>
      <c r="EF20" s="134">
        <v>45</v>
      </c>
      <c r="EG20" s="168">
        <v>88.3</v>
      </c>
      <c r="EH20" s="165">
        <v>88.4</v>
      </c>
      <c r="EI20" s="169">
        <v>92.4</v>
      </c>
      <c r="EJ20" s="165">
        <v>92.5</v>
      </c>
      <c r="EK20" s="168">
        <v>109.3</v>
      </c>
      <c r="EL20" s="167">
        <v>109.4</v>
      </c>
      <c r="EN20" s="154" t="str">
        <f t="shared" si="35"/>
        <v/>
      </c>
      <c r="EO20" s="154" t="e">
        <f t="shared" si="36"/>
        <v>#N/A</v>
      </c>
      <c r="EP20" s="154" t="e">
        <f t="shared" si="37"/>
        <v>#N/A</v>
      </c>
      <c r="EQ20" s="154" t="e">
        <f t="shared" si="38"/>
        <v>#N/A</v>
      </c>
      <c r="ES20" s="154" t="e">
        <f t="shared" si="39"/>
        <v>#N/A</v>
      </c>
      <c r="ET20" s="154" t="e">
        <f t="shared" si="40"/>
        <v>#N/A</v>
      </c>
      <c r="EU20" s="154" t="e">
        <f t="shared" si="41"/>
        <v>#N/A</v>
      </c>
      <c r="EW20" s="60">
        <f t="shared" si="42"/>
        <v>0</v>
      </c>
      <c r="EX20" s="60">
        <f t="shared" si="43"/>
        <v>0</v>
      </c>
      <c r="EY20" s="60">
        <f t="shared" si="44"/>
        <v>0</v>
      </c>
      <c r="EZ20" s="60">
        <f t="shared" si="45"/>
        <v>0</v>
      </c>
      <c r="FA20" s="60">
        <f t="shared" si="46"/>
        <v>0</v>
      </c>
      <c r="FB20" s="60">
        <f t="shared" si="47"/>
        <v>0</v>
      </c>
      <c r="FC20" s="60">
        <f t="shared" si="48"/>
        <v>0</v>
      </c>
      <c r="FD20" s="60">
        <f t="shared" si="49"/>
        <v>0</v>
      </c>
    </row>
    <row r="21" spans="1:160" ht="10.5" customHeight="1">
      <c r="A21" s="8" t="str">
        <f t="shared" si="50"/>
        <v/>
      </c>
      <c r="B21" s="9" t="str">
        <f t="shared" si="0"/>
        <v/>
      </c>
      <c r="C21" s="15"/>
      <c r="D21" s="16"/>
      <c r="E21" s="17"/>
      <c r="F21" s="17"/>
      <c r="G21" s="13"/>
      <c r="H21" s="14" t="str">
        <f t="shared" si="1"/>
        <v/>
      </c>
      <c r="I21" s="8" t="str">
        <f t="shared" si="2"/>
        <v/>
      </c>
      <c r="J21" s="9" t="str">
        <f t="shared" si="3"/>
        <v/>
      </c>
      <c r="K21" s="32" t="str">
        <f t="shared" si="4"/>
        <v/>
      </c>
      <c r="L21" s="33" t="str">
        <f t="shared" si="5"/>
        <v/>
      </c>
      <c r="M21" s="34" t="str">
        <f t="shared" si="6"/>
        <v/>
      </c>
      <c r="N21" s="35" t="str">
        <f t="shared" si="7"/>
        <v/>
      </c>
      <c r="O21" s="36"/>
      <c r="P21" s="36"/>
      <c r="Q21" s="36"/>
      <c r="R21" s="36"/>
      <c r="S21" s="36"/>
      <c r="T21" s="36"/>
      <c r="U21" s="36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53"/>
      <c r="AS21" s="53"/>
      <c r="AT21" s="53"/>
      <c r="AW21" s="5"/>
      <c r="AX21" s="5"/>
      <c r="AY21" s="60" t="str">
        <f t="shared" si="8"/>
        <v/>
      </c>
      <c r="AZ21" s="60" t="str">
        <f t="shared" si="9"/>
        <v/>
      </c>
      <c r="BA21" s="61" t="str">
        <f t="shared" si="10"/>
        <v/>
      </c>
      <c r="BB21" s="61" t="str">
        <f t="shared" si="11"/>
        <v/>
      </c>
      <c r="BC21" s="61" t="str">
        <f t="shared" si="12"/>
        <v/>
      </c>
      <c r="BD21" s="61" t="str">
        <f t="shared" si="13"/>
        <v/>
      </c>
      <c r="BE21" s="64" t="str">
        <f t="shared" si="14"/>
        <v/>
      </c>
      <c r="BF21" s="64" t="str">
        <f t="shared" si="15"/>
        <v/>
      </c>
      <c r="BG21" s="64" t="str">
        <f t="shared" si="16"/>
        <v/>
      </c>
      <c r="BH21" s="64" t="str">
        <f t="shared" si="17"/>
        <v/>
      </c>
      <c r="BI21" s="65"/>
      <c r="BJ21" s="66" t="str">
        <f t="shared" si="18"/>
        <v/>
      </c>
      <c r="BK21" s="71" t="s">
        <v>100</v>
      </c>
      <c r="BL21" s="70">
        <v>81</v>
      </c>
      <c r="BM21" s="5">
        <v>12.1</v>
      </c>
      <c r="BN21" s="77">
        <v>12.2</v>
      </c>
      <c r="BO21" s="78">
        <f t="shared" si="51"/>
        <v>13</v>
      </c>
      <c r="BP21" s="79">
        <v>13.1</v>
      </c>
      <c r="BQ21" s="80">
        <v>18.899999999999999</v>
      </c>
      <c r="BR21" s="81">
        <f t="shared" si="52"/>
        <v>19</v>
      </c>
      <c r="BS21" s="82">
        <v>21.3</v>
      </c>
      <c r="BT21" s="83">
        <v>21.4</v>
      </c>
      <c r="BU21" s="41"/>
      <c r="BV21" s="87" t="s">
        <v>100</v>
      </c>
      <c r="BW21" s="86">
        <v>81</v>
      </c>
      <c r="BX21" s="5">
        <v>11.6</v>
      </c>
      <c r="BY21" s="77">
        <v>11.7</v>
      </c>
      <c r="BZ21" s="78">
        <f t="shared" si="53"/>
        <v>12.6</v>
      </c>
      <c r="CA21" s="79">
        <v>12.7</v>
      </c>
      <c r="CB21" s="80">
        <v>19.600000000000001</v>
      </c>
      <c r="CC21" s="92">
        <f t="shared" si="54"/>
        <v>19.7</v>
      </c>
      <c r="CD21" s="82">
        <v>23</v>
      </c>
      <c r="CE21" s="83" t="s">
        <v>101</v>
      </c>
      <c r="CF21" s="63"/>
      <c r="CG21" s="91" t="str">
        <f t="shared" si="19"/>
        <v/>
      </c>
      <c r="CH21" s="91"/>
      <c r="CI21" s="91" t="str">
        <f t="shared" si="20"/>
        <v/>
      </c>
      <c r="CJ21" s="91"/>
      <c r="CK21" s="91" t="str">
        <f t="shared" si="21"/>
        <v/>
      </c>
      <c r="CL21" s="91" t="str">
        <f t="shared" si="22"/>
        <v/>
      </c>
      <c r="CM21" s="91" t="str">
        <f t="shared" si="23"/>
        <v/>
      </c>
      <c r="CN21" s="91" t="str">
        <f t="shared" si="24"/>
        <v/>
      </c>
      <c r="CO21" s="91" t="str">
        <f t="shared" si="25"/>
        <v/>
      </c>
      <c r="CP21" s="91" t="str">
        <f t="shared" si="26"/>
        <v/>
      </c>
      <c r="CQ21" s="91" t="str">
        <f t="shared" si="27"/>
        <v/>
      </c>
      <c r="CR21" s="91" t="str">
        <f t="shared" si="28"/>
        <v/>
      </c>
      <c r="CS21" s="91" t="str">
        <f t="shared" si="29"/>
        <v/>
      </c>
      <c r="CT21" s="91" t="str">
        <f t="shared" si="30"/>
        <v/>
      </c>
      <c r="CV21" s="94"/>
      <c r="CW21" s="95">
        <v>9</v>
      </c>
      <c r="CX21" s="96">
        <f t="shared" si="55"/>
        <v>6.4</v>
      </c>
      <c r="CY21" s="97">
        <v>6.5</v>
      </c>
      <c r="CZ21" s="96">
        <f t="shared" si="56"/>
        <v>7</v>
      </c>
      <c r="DA21" s="97">
        <v>7.1</v>
      </c>
      <c r="DB21" s="97">
        <v>11</v>
      </c>
      <c r="DC21" s="96">
        <f t="shared" si="57"/>
        <v>11.1</v>
      </c>
      <c r="DD21" s="41"/>
      <c r="DE21" s="41"/>
      <c r="DF21" s="41"/>
      <c r="DG21" s="94"/>
      <c r="DH21" s="96">
        <f t="shared" si="58"/>
        <v>5.8</v>
      </c>
      <c r="DI21" s="97">
        <v>5.9</v>
      </c>
      <c r="DJ21" s="96">
        <f t="shared" si="59"/>
        <v>6.4</v>
      </c>
      <c r="DK21" s="97">
        <v>6.5</v>
      </c>
      <c r="DL21" s="97">
        <v>10.5</v>
      </c>
      <c r="DM21" s="96">
        <f t="shared" si="60"/>
        <v>10.6</v>
      </c>
      <c r="DN21" s="106">
        <v>10.6</v>
      </c>
      <c r="DO21" s="41"/>
      <c r="DP21" s="66" t="str">
        <f t="shared" si="31"/>
        <v/>
      </c>
      <c r="DQ21" s="60" t="str">
        <f t="shared" si="32"/>
        <v/>
      </c>
      <c r="DR21" s="60" t="str">
        <f t="shared" si="33"/>
        <v/>
      </c>
      <c r="DS21" s="60" t="str">
        <f t="shared" si="34"/>
        <v/>
      </c>
      <c r="DV21" s="114" t="s">
        <v>102</v>
      </c>
      <c r="DW21" s="112">
        <v>46</v>
      </c>
      <c r="DX21" s="113" t="s">
        <v>103</v>
      </c>
      <c r="DY21" s="129">
        <v>89.8</v>
      </c>
      <c r="DZ21" s="135">
        <v>93.9</v>
      </c>
      <c r="EA21" s="129">
        <v>94</v>
      </c>
      <c r="EB21" s="136">
        <v>110.4</v>
      </c>
      <c r="EC21" s="132">
        <v>110.5</v>
      </c>
      <c r="EE21" s="137" t="s">
        <v>102</v>
      </c>
      <c r="EF21" s="134">
        <v>46</v>
      </c>
      <c r="EG21" s="168">
        <v>88.8</v>
      </c>
      <c r="EH21" s="165">
        <v>88.9</v>
      </c>
      <c r="EI21" s="169">
        <v>93</v>
      </c>
      <c r="EJ21" s="165">
        <v>93.1</v>
      </c>
      <c r="EK21" s="168">
        <v>110</v>
      </c>
      <c r="EL21" s="167">
        <v>110.1</v>
      </c>
      <c r="EN21" s="154" t="str">
        <f t="shared" si="35"/>
        <v/>
      </c>
      <c r="EO21" s="154" t="e">
        <f t="shared" si="36"/>
        <v>#N/A</v>
      </c>
      <c r="EP21" s="154" t="e">
        <f t="shared" si="37"/>
        <v>#N/A</v>
      </c>
      <c r="EQ21" s="154" t="e">
        <f t="shared" si="38"/>
        <v>#N/A</v>
      </c>
      <c r="ES21" s="154" t="e">
        <f t="shared" si="39"/>
        <v>#N/A</v>
      </c>
      <c r="ET21" s="154" t="e">
        <f t="shared" si="40"/>
        <v>#N/A</v>
      </c>
      <c r="EU21" s="154" t="e">
        <f t="shared" si="41"/>
        <v>#N/A</v>
      </c>
      <c r="EW21" s="60">
        <f t="shared" si="42"/>
        <v>0</v>
      </c>
      <c r="EX21" s="60">
        <f t="shared" si="43"/>
        <v>0</v>
      </c>
      <c r="EY21" s="60">
        <f t="shared" si="44"/>
        <v>0</v>
      </c>
      <c r="EZ21" s="60">
        <f t="shared" si="45"/>
        <v>0</v>
      </c>
      <c r="FA21" s="60">
        <f t="shared" si="46"/>
        <v>0</v>
      </c>
      <c r="FB21" s="60">
        <f t="shared" si="47"/>
        <v>0</v>
      </c>
      <c r="FC21" s="60">
        <f t="shared" si="48"/>
        <v>0</v>
      </c>
      <c r="FD21" s="60">
        <f t="shared" si="49"/>
        <v>0</v>
      </c>
    </row>
    <row r="22" spans="1:160" ht="10.5" customHeight="1">
      <c r="A22" s="8" t="str">
        <f t="shared" si="50"/>
        <v/>
      </c>
      <c r="B22" s="9" t="str">
        <f t="shared" si="0"/>
        <v/>
      </c>
      <c r="C22" s="15"/>
      <c r="D22" s="16"/>
      <c r="E22" s="17"/>
      <c r="F22" s="17"/>
      <c r="G22" s="13"/>
      <c r="H22" s="14" t="str">
        <f t="shared" si="1"/>
        <v/>
      </c>
      <c r="I22" s="8" t="str">
        <f t="shared" si="2"/>
        <v/>
      </c>
      <c r="J22" s="9" t="str">
        <f t="shared" si="3"/>
        <v/>
      </c>
      <c r="K22" s="32" t="str">
        <f t="shared" si="4"/>
        <v/>
      </c>
      <c r="L22" s="33" t="str">
        <f t="shared" si="5"/>
        <v/>
      </c>
      <c r="M22" s="34" t="str">
        <f t="shared" si="6"/>
        <v/>
      </c>
      <c r="N22" s="35" t="str">
        <f t="shared" si="7"/>
        <v/>
      </c>
      <c r="O22" s="36"/>
      <c r="P22" s="36"/>
      <c r="Q22" s="36"/>
      <c r="R22" s="36"/>
      <c r="S22" s="36"/>
      <c r="T22" s="36"/>
      <c r="U22" s="36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53"/>
      <c r="AS22" s="53"/>
      <c r="AT22" s="53"/>
      <c r="AW22" s="5"/>
      <c r="AX22" s="5"/>
      <c r="AY22" s="60" t="str">
        <f t="shared" si="8"/>
        <v/>
      </c>
      <c r="AZ22" s="60" t="str">
        <f t="shared" si="9"/>
        <v/>
      </c>
      <c r="BA22" s="61" t="str">
        <f t="shared" si="10"/>
        <v/>
      </c>
      <c r="BB22" s="61" t="str">
        <f t="shared" si="11"/>
        <v/>
      </c>
      <c r="BC22" s="61" t="str">
        <f t="shared" si="12"/>
        <v/>
      </c>
      <c r="BD22" s="61" t="str">
        <f t="shared" si="13"/>
        <v/>
      </c>
      <c r="BE22" s="64" t="str">
        <f t="shared" si="14"/>
        <v/>
      </c>
      <c r="BF22" s="64" t="str">
        <f t="shared" si="15"/>
        <v/>
      </c>
      <c r="BG22" s="64" t="str">
        <f t="shared" si="16"/>
        <v/>
      </c>
      <c r="BH22" s="64" t="str">
        <f t="shared" si="17"/>
        <v/>
      </c>
      <c r="BI22" s="65"/>
      <c r="BJ22" s="66" t="str">
        <f t="shared" si="18"/>
        <v/>
      </c>
      <c r="BK22" s="71" t="s">
        <v>104</v>
      </c>
      <c r="BL22" s="70">
        <v>82</v>
      </c>
      <c r="BM22" s="5">
        <v>12.1</v>
      </c>
      <c r="BN22" s="77">
        <v>12.2</v>
      </c>
      <c r="BO22" s="78">
        <f t="shared" si="51"/>
        <v>13</v>
      </c>
      <c r="BP22" s="79">
        <v>13.1</v>
      </c>
      <c r="BQ22" s="80">
        <v>18.899999999999999</v>
      </c>
      <c r="BR22" s="81">
        <f t="shared" si="52"/>
        <v>19</v>
      </c>
      <c r="BS22" s="82">
        <v>21.4</v>
      </c>
      <c r="BT22" s="83">
        <v>21.5</v>
      </c>
      <c r="BU22" s="41"/>
      <c r="BV22" s="87" t="s">
        <v>104</v>
      </c>
      <c r="BW22" s="86">
        <v>82</v>
      </c>
      <c r="BX22" s="5">
        <v>11.6</v>
      </c>
      <c r="BY22" s="77">
        <v>11.7</v>
      </c>
      <c r="BZ22" s="78">
        <f t="shared" si="53"/>
        <v>12.6</v>
      </c>
      <c r="CA22" s="79">
        <v>12.7</v>
      </c>
      <c r="CB22" s="80">
        <v>19.7</v>
      </c>
      <c r="CC22" s="92">
        <f t="shared" si="54"/>
        <v>19.8</v>
      </c>
      <c r="CD22" s="82">
        <v>23.1</v>
      </c>
      <c r="CE22" s="83" t="s">
        <v>105</v>
      </c>
      <c r="CF22" s="63"/>
      <c r="CG22" s="91" t="str">
        <f t="shared" si="19"/>
        <v/>
      </c>
      <c r="CH22" s="91"/>
      <c r="CI22" s="91" t="str">
        <f t="shared" si="20"/>
        <v/>
      </c>
      <c r="CJ22" s="91"/>
      <c r="CK22" s="91" t="str">
        <f t="shared" si="21"/>
        <v/>
      </c>
      <c r="CL22" s="91" t="str">
        <f t="shared" si="22"/>
        <v/>
      </c>
      <c r="CM22" s="91" t="str">
        <f t="shared" si="23"/>
        <v/>
      </c>
      <c r="CN22" s="91" t="str">
        <f t="shared" si="24"/>
        <v/>
      </c>
      <c r="CO22" s="91" t="str">
        <f t="shared" si="25"/>
        <v/>
      </c>
      <c r="CP22" s="91" t="str">
        <f t="shared" si="26"/>
        <v/>
      </c>
      <c r="CQ22" s="91" t="str">
        <f t="shared" si="27"/>
        <v/>
      </c>
      <c r="CR22" s="91" t="str">
        <f t="shared" si="28"/>
        <v/>
      </c>
      <c r="CS22" s="91" t="str">
        <f t="shared" si="29"/>
        <v/>
      </c>
      <c r="CT22" s="91" t="str">
        <f t="shared" si="30"/>
        <v/>
      </c>
      <c r="CV22" s="94"/>
      <c r="CW22" s="95">
        <v>10</v>
      </c>
      <c r="CX22" s="96">
        <f t="shared" si="55"/>
        <v>6.6</v>
      </c>
      <c r="CY22" s="97">
        <v>6.7</v>
      </c>
      <c r="CZ22" s="96">
        <f t="shared" si="56"/>
        <v>7.3</v>
      </c>
      <c r="DA22" s="97">
        <v>7.4</v>
      </c>
      <c r="DB22" s="97">
        <v>11.4</v>
      </c>
      <c r="DC22" s="96">
        <f t="shared" si="57"/>
        <v>11.5</v>
      </c>
      <c r="DD22" s="41"/>
      <c r="DE22" s="41"/>
      <c r="DF22" s="41"/>
      <c r="DG22" s="94"/>
      <c r="DH22" s="96">
        <f t="shared" si="58"/>
        <v>5.9</v>
      </c>
      <c r="DI22" s="97">
        <v>6</v>
      </c>
      <c r="DJ22" s="96">
        <f t="shared" si="59"/>
        <v>6.6</v>
      </c>
      <c r="DK22" s="97">
        <v>6.7</v>
      </c>
      <c r="DL22" s="97">
        <v>10.9</v>
      </c>
      <c r="DM22" s="96">
        <f t="shared" si="60"/>
        <v>11</v>
      </c>
      <c r="DN22" s="106">
        <v>11</v>
      </c>
      <c r="DO22" s="41"/>
      <c r="DP22" s="66" t="str">
        <f t="shared" si="31"/>
        <v/>
      </c>
      <c r="DQ22" s="60" t="str">
        <f t="shared" si="32"/>
        <v/>
      </c>
      <c r="DR22" s="60" t="str">
        <f t="shared" si="33"/>
        <v/>
      </c>
      <c r="DS22" s="60" t="str">
        <f t="shared" si="34"/>
        <v/>
      </c>
      <c r="DV22" s="114" t="s">
        <v>106</v>
      </c>
      <c r="DW22" s="112">
        <v>47</v>
      </c>
      <c r="DX22" s="113" t="s">
        <v>107</v>
      </c>
      <c r="DY22" s="129">
        <v>90.3</v>
      </c>
      <c r="DZ22" s="135">
        <v>94.3</v>
      </c>
      <c r="EA22" s="129">
        <v>94.4</v>
      </c>
      <c r="EB22" s="136">
        <v>111.1</v>
      </c>
      <c r="EC22" s="132">
        <v>111.2</v>
      </c>
      <c r="EE22" s="137" t="s">
        <v>106</v>
      </c>
      <c r="EF22" s="134">
        <v>47</v>
      </c>
      <c r="EG22" s="168">
        <v>89.2</v>
      </c>
      <c r="EH22" s="165">
        <v>89.3</v>
      </c>
      <c r="EI22" s="169">
        <v>93.5</v>
      </c>
      <c r="EJ22" s="165">
        <v>93.6</v>
      </c>
      <c r="EK22" s="168">
        <v>110.7</v>
      </c>
      <c r="EL22" s="167">
        <v>110.8</v>
      </c>
      <c r="EN22" s="154" t="str">
        <f t="shared" si="35"/>
        <v/>
      </c>
      <c r="EO22" s="154" t="e">
        <f t="shared" si="36"/>
        <v>#N/A</v>
      </c>
      <c r="EP22" s="154" t="e">
        <f t="shared" si="37"/>
        <v>#N/A</v>
      </c>
      <c r="EQ22" s="154" t="e">
        <f t="shared" si="38"/>
        <v>#N/A</v>
      </c>
      <c r="ES22" s="154" t="e">
        <f t="shared" si="39"/>
        <v>#N/A</v>
      </c>
      <c r="ET22" s="154" t="e">
        <f t="shared" si="40"/>
        <v>#N/A</v>
      </c>
      <c r="EU22" s="154" t="e">
        <f t="shared" si="41"/>
        <v>#N/A</v>
      </c>
      <c r="EW22" s="60">
        <f t="shared" si="42"/>
        <v>0</v>
      </c>
      <c r="EX22" s="60">
        <f t="shared" si="43"/>
        <v>0</v>
      </c>
      <c r="EY22" s="60">
        <f t="shared" si="44"/>
        <v>0</v>
      </c>
      <c r="EZ22" s="60">
        <f t="shared" si="45"/>
        <v>0</v>
      </c>
      <c r="FA22" s="60">
        <f t="shared" si="46"/>
        <v>0</v>
      </c>
      <c r="FB22" s="60">
        <f t="shared" si="47"/>
        <v>0</v>
      </c>
      <c r="FC22" s="60">
        <f t="shared" si="48"/>
        <v>0</v>
      </c>
      <c r="FD22" s="60">
        <f t="shared" si="49"/>
        <v>0</v>
      </c>
    </row>
    <row r="23" spans="1:160" ht="10.5" customHeight="1">
      <c r="A23" s="8" t="str">
        <f t="shared" si="50"/>
        <v/>
      </c>
      <c r="B23" s="9" t="str">
        <f t="shared" si="0"/>
        <v/>
      </c>
      <c r="C23" s="15"/>
      <c r="D23" s="16"/>
      <c r="E23" s="17"/>
      <c r="F23" s="17"/>
      <c r="G23" s="13"/>
      <c r="H23" s="14" t="str">
        <f t="shared" si="1"/>
        <v/>
      </c>
      <c r="I23" s="8" t="str">
        <f t="shared" si="2"/>
        <v/>
      </c>
      <c r="J23" s="9" t="str">
        <f t="shared" si="3"/>
        <v/>
      </c>
      <c r="K23" s="32" t="str">
        <f t="shared" si="4"/>
        <v/>
      </c>
      <c r="L23" s="33" t="str">
        <f t="shared" si="5"/>
        <v/>
      </c>
      <c r="M23" s="34" t="str">
        <f t="shared" si="6"/>
        <v/>
      </c>
      <c r="N23" s="35" t="str">
        <f t="shared" si="7"/>
        <v/>
      </c>
      <c r="O23" s="36"/>
      <c r="P23" s="36"/>
      <c r="Q23" s="36"/>
      <c r="R23" s="36"/>
      <c r="S23" s="36"/>
      <c r="T23" s="36"/>
      <c r="U23" s="36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53"/>
      <c r="AS23" s="53"/>
      <c r="AT23" s="53"/>
      <c r="AW23" s="5"/>
      <c r="AX23" s="5"/>
      <c r="AY23" s="60" t="str">
        <f t="shared" si="8"/>
        <v/>
      </c>
      <c r="AZ23" s="60" t="str">
        <f t="shared" si="9"/>
        <v/>
      </c>
      <c r="BA23" s="61" t="str">
        <f t="shared" si="10"/>
        <v/>
      </c>
      <c r="BB23" s="61" t="str">
        <f t="shared" si="11"/>
        <v/>
      </c>
      <c r="BC23" s="61" t="str">
        <f t="shared" si="12"/>
        <v/>
      </c>
      <c r="BD23" s="61" t="str">
        <f t="shared" si="13"/>
        <v/>
      </c>
      <c r="BE23" s="64" t="str">
        <f t="shared" si="14"/>
        <v/>
      </c>
      <c r="BF23" s="64" t="str">
        <f t="shared" si="15"/>
        <v/>
      </c>
      <c r="BG23" s="64" t="str">
        <f t="shared" si="16"/>
        <v/>
      </c>
      <c r="BH23" s="64" t="str">
        <f t="shared" si="17"/>
        <v/>
      </c>
      <c r="BI23" s="65"/>
      <c r="BJ23" s="66" t="str">
        <f t="shared" si="18"/>
        <v/>
      </c>
      <c r="BK23" s="71" t="s">
        <v>108</v>
      </c>
      <c r="BL23" s="70">
        <v>83</v>
      </c>
      <c r="BM23" s="5">
        <v>12.1</v>
      </c>
      <c r="BN23" s="77">
        <v>12.2</v>
      </c>
      <c r="BO23" s="78">
        <f t="shared" si="51"/>
        <v>13</v>
      </c>
      <c r="BP23" s="79">
        <v>13.1</v>
      </c>
      <c r="BQ23" s="80">
        <v>19</v>
      </c>
      <c r="BR23" s="81">
        <f t="shared" si="52"/>
        <v>19.100000000000001</v>
      </c>
      <c r="BS23" s="82">
        <v>21.5</v>
      </c>
      <c r="BT23" s="83">
        <v>21.6</v>
      </c>
      <c r="BU23" s="41"/>
      <c r="BV23" s="87" t="s">
        <v>108</v>
      </c>
      <c r="BW23" s="86">
        <v>83</v>
      </c>
      <c r="BX23" s="5">
        <v>11.6</v>
      </c>
      <c r="BY23" s="77">
        <v>11.7</v>
      </c>
      <c r="BZ23" s="78">
        <f t="shared" si="53"/>
        <v>12.6</v>
      </c>
      <c r="CA23" s="79">
        <v>12.7</v>
      </c>
      <c r="CB23" s="80">
        <v>19.7</v>
      </c>
      <c r="CC23" s="92">
        <f t="shared" si="54"/>
        <v>19.8</v>
      </c>
      <c r="CD23" s="82">
        <v>23.2</v>
      </c>
      <c r="CE23" s="83" t="s">
        <v>109</v>
      </c>
      <c r="CF23" s="63"/>
      <c r="CG23" s="91" t="str">
        <f t="shared" si="19"/>
        <v/>
      </c>
      <c r="CH23" s="91"/>
      <c r="CI23" s="91" t="str">
        <f t="shared" si="20"/>
        <v/>
      </c>
      <c r="CJ23" s="91"/>
      <c r="CK23" s="91" t="str">
        <f t="shared" si="21"/>
        <v/>
      </c>
      <c r="CL23" s="91" t="str">
        <f t="shared" si="22"/>
        <v/>
      </c>
      <c r="CM23" s="91" t="str">
        <f t="shared" si="23"/>
        <v/>
      </c>
      <c r="CN23" s="91" t="str">
        <f t="shared" si="24"/>
        <v/>
      </c>
      <c r="CO23" s="91" t="str">
        <f t="shared" si="25"/>
        <v/>
      </c>
      <c r="CP23" s="91" t="str">
        <f t="shared" si="26"/>
        <v/>
      </c>
      <c r="CQ23" s="91" t="str">
        <f t="shared" si="27"/>
        <v/>
      </c>
      <c r="CR23" s="91" t="str">
        <f t="shared" si="28"/>
        <v/>
      </c>
      <c r="CS23" s="91" t="str">
        <f t="shared" si="29"/>
        <v/>
      </c>
      <c r="CT23" s="91" t="str">
        <f t="shared" si="30"/>
        <v/>
      </c>
      <c r="CV23" s="94"/>
      <c r="CW23" s="95">
        <v>11</v>
      </c>
      <c r="CX23" s="96">
        <f t="shared" si="55"/>
        <v>6.8</v>
      </c>
      <c r="CY23" s="97">
        <v>6.9</v>
      </c>
      <c r="CZ23" s="96">
        <f t="shared" si="56"/>
        <v>7.5</v>
      </c>
      <c r="DA23" s="97">
        <v>7.6</v>
      </c>
      <c r="DB23" s="97">
        <v>11.7</v>
      </c>
      <c r="DC23" s="96">
        <f t="shared" si="57"/>
        <v>11.8</v>
      </c>
      <c r="DD23" s="41"/>
      <c r="DE23" s="41"/>
      <c r="DF23" s="41"/>
      <c r="DG23" s="94"/>
      <c r="DH23" s="96">
        <f t="shared" si="58"/>
        <v>6.1</v>
      </c>
      <c r="DI23" s="97">
        <v>6.2</v>
      </c>
      <c r="DJ23" s="96">
        <f t="shared" si="59"/>
        <v>6.8</v>
      </c>
      <c r="DK23" s="97">
        <v>6.9</v>
      </c>
      <c r="DL23" s="97">
        <v>11.2</v>
      </c>
      <c r="DM23" s="96">
        <f t="shared" si="60"/>
        <v>11.3</v>
      </c>
      <c r="DN23" s="106">
        <v>11.3</v>
      </c>
      <c r="DO23" s="41"/>
      <c r="DP23" s="66" t="str">
        <f t="shared" si="31"/>
        <v/>
      </c>
      <c r="DQ23" s="60" t="str">
        <f t="shared" si="32"/>
        <v/>
      </c>
      <c r="DR23" s="60" t="str">
        <f t="shared" si="33"/>
        <v/>
      </c>
      <c r="DS23" s="60" t="str">
        <f t="shared" si="34"/>
        <v/>
      </c>
      <c r="DV23" s="115" t="s">
        <v>110</v>
      </c>
      <c r="DW23" s="112">
        <v>48</v>
      </c>
      <c r="DX23" s="113" t="s">
        <v>111</v>
      </c>
      <c r="DY23" s="129">
        <v>90.7</v>
      </c>
      <c r="DZ23" s="135">
        <v>94.8</v>
      </c>
      <c r="EA23" s="129">
        <v>94.9</v>
      </c>
      <c r="EB23" s="136">
        <v>111.7</v>
      </c>
      <c r="EC23" s="132">
        <v>111.8</v>
      </c>
      <c r="EE23" s="138" t="s">
        <v>110</v>
      </c>
      <c r="EF23" s="134">
        <v>48</v>
      </c>
      <c r="EG23" s="168">
        <v>89.7</v>
      </c>
      <c r="EH23" s="165">
        <v>89.8</v>
      </c>
      <c r="EI23" s="169">
        <v>94</v>
      </c>
      <c r="EJ23" s="165">
        <v>94.1</v>
      </c>
      <c r="EK23" s="168">
        <v>111.3</v>
      </c>
      <c r="EL23" s="167">
        <v>111.4</v>
      </c>
      <c r="EN23" s="154" t="str">
        <f t="shared" si="35"/>
        <v/>
      </c>
      <c r="EO23" s="154" t="e">
        <f t="shared" si="36"/>
        <v>#N/A</v>
      </c>
      <c r="EP23" s="154" t="e">
        <f t="shared" si="37"/>
        <v>#N/A</v>
      </c>
      <c r="EQ23" s="154" t="e">
        <f t="shared" si="38"/>
        <v>#N/A</v>
      </c>
      <c r="ES23" s="154" t="e">
        <f t="shared" si="39"/>
        <v>#N/A</v>
      </c>
      <c r="ET23" s="154" t="e">
        <f t="shared" si="40"/>
        <v>#N/A</v>
      </c>
      <c r="EU23" s="154" t="e">
        <f t="shared" si="41"/>
        <v>#N/A</v>
      </c>
      <c r="EW23" s="60">
        <f t="shared" si="42"/>
        <v>0</v>
      </c>
      <c r="EX23" s="60">
        <f t="shared" si="43"/>
        <v>0</v>
      </c>
      <c r="EY23" s="60">
        <f t="shared" si="44"/>
        <v>0</v>
      </c>
      <c r="EZ23" s="60">
        <f t="shared" si="45"/>
        <v>0</v>
      </c>
      <c r="FA23" s="60">
        <f t="shared" si="46"/>
        <v>0</v>
      </c>
      <c r="FB23" s="60">
        <f t="shared" si="47"/>
        <v>0</v>
      </c>
      <c r="FC23" s="60">
        <f t="shared" si="48"/>
        <v>0</v>
      </c>
      <c r="FD23" s="60">
        <f t="shared" si="49"/>
        <v>0</v>
      </c>
    </row>
    <row r="24" spans="1:160" ht="10.5" customHeight="1">
      <c r="A24" s="8" t="str">
        <f t="shared" si="50"/>
        <v/>
      </c>
      <c r="B24" s="9" t="str">
        <f t="shared" si="0"/>
        <v/>
      </c>
      <c r="C24" s="15"/>
      <c r="D24" s="16"/>
      <c r="E24" s="17"/>
      <c r="F24" s="17"/>
      <c r="G24" s="13"/>
      <c r="H24" s="14" t="str">
        <f t="shared" si="1"/>
        <v/>
      </c>
      <c r="I24" s="8" t="str">
        <f t="shared" si="2"/>
        <v/>
      </c>
      <c r="J24" s="9" t="str">
        <f t="shared" si="3"/>
        <v/>
      </c>
      <c r="K24" s="32" t="str">
        <f t="shared" si="4"/>
        <v/>
      </c>
      <c r="L24" s="33" t="str">
        <f t="shared" si="5"/>
        <v/>
      </c>
      <c r="M24" s="34" t="str">
        <f t="shared" si="6"/>
        <v/>
      </c>
      <c r="N24" s="35" t="str">
        <f t="shared" si="7"/>
        <v/>
      </c>
      <c r="O24" s="36"/>
      <c r="P24" s="36"/>
      <c r="Q24" s="36"/>
      <c r="R24" s="36"/>
      <c r="S24" s="36"/>
      <c r="T24" s="36"/>
      <c r="U24" s="36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53"/>
      <c r="AS24" s="53"/>
      <c r="AT24" s="53"/>
      <c r="AW24" s="5"/>
      <c r="AX24" s="5"/>
      <c r="AY24" s="60" t="str">
        <f t="shared" si="8"/>
        <v/>
      </c>
      <c r="AZ24" s="60" t="str">
        <f t="shared" si="9"/>
        <v/>
      </c>
      <c r="BA24" s="61" t="str">
        <f t="shared" si="10"/>
        <v/>
      </c>
      <c r="BB24" s="61" t="str">
        <f t="shared" si="11"/>
        <v/>
      </c>
      <c r="BC24" s="61" t="str">
        <f t="shared" si="12"/>
        <v/>
      </c>
      <c r="BD24" s="61" t="str">
        <f t="shared" si="13"/>
        <v/>
      </c>
      <c r="BE24" s="64" t="str">
        <f t="shared" si="14"/>
        <v/>
      </c>
      <c r="BF24" s="64" t="str">
        <f t="shared" si="15"/>
        <v/>
      </c>
      <c r="BG24" s="64" t="str">
        <f t="shared" si="16"/>
        <v/>
      </c>
      <c r="BH24" s="64" t="str">
        <f t="shared" si="17"/>
        <v/>
      </c>
      <c r="BI24" s="65"/>
      <c r="BJ24" s="66" t="str">
        <f t="shared" si="18"/>
        <v/>
      </c>
      <c r="BK24" s="71" t="s">
        <v>112</v>
      </c>
      <c r="BL24" s="70">
        <v>84</v>
      </c>
      <c r="BM24" s="5">
        <v>12.2</v>
      </c>
      <c r="BN24" s="77">
        <v>12.3</v>
      </c>
      <c r="BO24" s="78">
        <f t="shared" si="51"/>
        <v>13</v>
      </c>
      <c r="BP24" s="79">
        <v>13.1</v>
      </c>
      <c r="BQ24" s="80">
        <v>19</v>
      </c>
      <c r="BR24" s="81">
        <f t="shared" si="52"/>
        <v>19.100000000000001</v>
      </c>
      <c r="BS24" s="82">
        <v>21.6</v>
      </c>
      <c r="BT24" s="83">
        <v>21.7</v>
      </c>
      <c r="BU24" s="41"/>
      <c r="BV24" s="87" t="s">
        <v>112</v>
      </c>
      <c r="BW24" s="86">
        <v>84</v>
      </c>
      <c r="BX24" s="5">
        <v>11.7</v>
      </c>
      <c r="BY24" s="77">
        <v>11.8</v>
      </c>
      <c r="BZ24" s="78">
        <f t="shared" si="53"/>
        <v>12.6</v>
      </c>
      <c r="CA24" s="79">
        <v>12.7</v>
      </c>
      <c r="CB24" s="80">
        <v>19.8</v>
      </c>
      <c r="CC24" s="92">
        <f t="shared" si="54"/>
        <v>19.899999999999999</v>
      </c>
      <c r="CD24" s="82">
        <v>23.3</v>
      </c>
      <c r="CE24" s="83" t="s">
        <v>113</v>
      </c>
      <c r="CF24" s="63"/>
      <c r="CG24" s="91" t="str">
        <f t="shared" si="19"/>
        <v/>
      </c>
      <c r="CH24" s="91"/>
      <c r="CI24" s="91" t="str">
        <f t="shared" si="20"/>
        <v/>
      </c>
      <c r="CJ24" s="91"/>
      <c r="CK24" s="91" t="str">
        <f t="shared" si="21"/>
        <v/>
      </c>
      <c r="CL24" s="91" t="str">
        <f t="shared" si="22"/>
        <v/>
      </c>
      <c r="CM24" s="91" t="str">
        <f t="shared" si="23"/>
        <v/>
      </c>
      <c r="CN24" s="91" t="str">
        <f t="shared" si="24"/>
        <v/>
      </c>
      <c r="CO24" s="91" t="str">
        <f t="shared" si="25"/>
        <v/>
      </c>
      <c r="CP24" s="91" t="str">
        <f t="shared" si="26"/>
        <v/>
      </c>
      <c r="CQ24" s="91" t="str">
        <f t="shared" si="27"/>
        <v/>
      </c>
      <c r="CR24" s="91" t="str">
        <f t="shared" si="28"/>
        <v/>
      </c>
      <c r="CS24" s="91" t="str">
        <f t="shared" si="29"/>
        <v/>
      </c>
      <c r="CT24" s="91" t="str">
        <f t="shared" si="30"/>
        <v/>
      </c>
      <c r="CV24" s="94"/>
      <c r="CW24" s="98">
        <v>12</v>
      </c>
      <c r="CX24" s="99">
        <f t="shared" si="55"/>
        <v>6.9</v>
      </c>
      <c r="CY24" s="100">
        <v>7</v>
      </c>
      <c r="CZ24" s="99">
        <f t="shared" si="56"/>
        <v>7.6</v>
      </c>
      <c r="DA24" s="100">
        <v>7.7</v>
      </c>
      <c r="DB24" s="100">
        <v>12</v>
      </c>
      <c r="DC24" s="99">
        <f t="shared" si="57"/>
        <v>12.1</v>
      </c>
      <c r="DD24" s="41"/>
      <c r="DE24" s="41"/>
      <c r="DF24" s="41"/>
      <c r="DG24" s="94"/>
      <c r="DH24" s="99">
        <f t="shared" si="58"/>
        <v>6.3</v>
      </c>
      <c r="DI24" s="100">
        <v>6.4</v>
      </c>
      <c r="DJ24" s="99">
        <f t="shared" si="59"/>
        <v>6.9</v>
      </c>
      <c r="DK24" s="100">
        <v>7</v>
      </c>
      <c r="DL24" s="100">
        <v>11.5</v>
      </c>
      <c r="DM24" s="99">
        <f t="shared" si="60"/>
        <v>11.6</v>
      </c>
      <c r="DN24" s="106">
        <v>11.6</v>
      </c>
      <c r="DO24" s="41"/>
      <c r="DP24" s="66" t="str">
        <f t="shared" si="31"/>
        <v/>
      </c>
      <c r="DQ24" s="60" t="str">
        <f t="shared" si="32"/>
        <v/>
      </c>
      <c r="DR24" s="60" t="str">
        <f t="shared" si="33"/>
        <v/>
      </c>
      <c r="DS24" s="60" t="str">
        <f t="shared" si="34"/>
        <v/>
      </c>
      <c r="DV24" s="115" t="s">
        <v>114</v>
      </c>
      <c r="DW24" s="112">
        <v>49</v>
      </c>
      <c r="DX24" s="113" t="s">
        <v>115</v>
      </c>
      <c r="DY24" s="129">
        <v>91.2</v>
      </c>
      <c r="DZ24" s="135">
        <v>95.3</v>
      </c>
      <c r="EA24" s="129">
        <v>95.4</v>
      </c>
      <c r="EB24" s="136">
        <v>112.4</v>
      </c>
      <c r="EC24" s="132">
        <v>112.5</v>
      </c>
      <c r="EE24" s="138" t="s">
        <v>114</v>
      </c>
      <c r="EF24" s="134">
        <v>49</v>
      </c>
      <c r="EG24" s="168">
        <v>90.2</v>
      </c>
      <c r="EH24" s="165">
        <v>90.3</v>
      </c>
      <c r="EI24" s="169">
        <v>94.5</v>
      </c>
      <c r="EJ24" s="165">
        <v>94.6</v>
      </c>
      <c r="EK24" s="168">
        <v>112</v>
      </c>
      <c r="EL24" s="167">
        <v>112.1</v>
      </c>
      <c r="EN24" s="154" t="str">
        <f t="shared" si="35"/>
        <v/>
      </c>
      <c r="EO24" s="154" t="e">
        <f t="shared" si="36"/>
        <v>#N/A</v>
      </c>
      <c r="EP24" s="154" t="e">
        <f t="shared" si="37"/>
        <v>#N/A</v>
      </c>
      <c r="EQ24" s="154" t="e">
        <f t="shared" si="38"/>
        <v>#N/A</v>
      </c>
      <c r="ES24" s="154" t="e">
        <f t="shared" si="39"/>
        <v>#N/A</v>
      </c>
      <c r="ET24" s="154" t="e">
        <f t="shared" si="40"/>
        <v>#N/A</v>
      </c>
      <c r="EU24" s="154" t="e">
        <f t="shared" si="41"/>
        <v>#N/A</v>
      </c>
      <c r="EW24" s="60">
        <f t="shared" si="42"/>
        <v>0</v>
      </c>
      <c r="EX24" s="60">
        <f t="shared" si="43"/>
        <v>0</v>
      </c>
      <c r="EY24" s="60">
        <f t="shared" si="44"/>
        <v>0</v>
      </c>
      <c r="EZ24" s="60">
        <f t="shared" si="45"/>
        <v>0</v>
      </c>
      <c r="FA24" s="60">
        <f t="shared" si="46"/>
        <v>0</v>
      </c>
      <c r="FB24" s="60">
        <f t="shared" si="47"/>
        <v>0</v>
      </c>
      <c r="FC24" s="60">
        <f t="shared" si="48"/>
        <v>0</v>
      </c>
      <c r="FD24" s="60">
        <f t="shared" si="49"/>
        <v>0</v>
      </c>
    </row>
    <row r="25" spans="1:160" ht="10.5" customHeight="1">
      <c r="A25" s="8" t="str">
        <f t="shared" si="50"/>
        <v/>
      </c>
      <c r="B25" s="9" t="str">
        <f t="shared" si="0"/>
        <v/>
      </c>
      <c r="C25" s="15"/>
      <c r="D25" s="16"/>
      <c r="E25" s="17"/>
      <c r="F25" s="17"/>
      <c r="G25" s="13"/>
      <c r="H25" s="14" t="str">
        <f t="shared" si="1"/>
        <v/>
      </c>
      <c r="I25" s="8" t="str">
        <f t="shared" si="2"/>
        <v/>
      </c>
      <c r="J25" s="9" t="str">
        <f t="shared" si="3"/>
        <v/>
      </c>
      <c r="K25" s="32" t="str">
        <f t="shared" si="4"/>
        <v/>
      </c>
      <c r="L25" s="33" t="str">
        <f t="shared" si="5"/>
        <v/>
      </c>
      <c r="M25" s="34" t="str">
        <f t="shared" si="6"/>
        <v/>
      </c>
      <c r="N25" s="35" t="str">
        <f t="shared" si="7"/>
        <v/>
      </c>
      <c r="O25" s="36"/>
      <c r="P25" s="36"/>
      <c r="Q25" s="36"/>
      <c r="R25" s="36"/>
      <c r="S25" s="36"/>
      <c r="T25" s="36"/>
      <c r="U25" s="36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53"/>
      <c r="AS25" s="53"/>
      <c r="AT25" s="53"/>
      <c r="AW25" s="5"/>
      <c r="AX25" s="5"/>
      <c r="AY25" s="60" t="str">
        <f t="shared" si="8"/>
        <v/>
      </c>
      <c r="AZ25" s="60" t="str">
        <f t="shared" si="9"/>
        <v/>
      </c>
      <c r="BA25" s="61" t="str">
        <f t="shared" si="10"/>
        <v/>
      </c>
      <c r="BB25" s="61" t="str">
        <f t="shared" si="11"/>
        <v/>
      </c>
      <c r="BC25" s="61" t="str">
        <f t="shared" si="12"/>
        <v/>
      </c>
      <c r="BD25" s="61" t="str">
        <f t="shared" si="13"/>
        <v/>
      </c>
      <c r="BE25" s="64" t="str">
        <f t="shared" si="14"/>
        <v/>
      </c>
      <c r="BF25" s="64" t="str">
        <f t="shared" si="15"/>
        <v/>
      </c>
      <c r="BG25" s="64" t="str">
        <f t="shared" si="16"/>
        <v/>
      </c>
      <c r="BH25" s="64" t="str">
        <f t="shared" si="17"/>
        <v/>
      </c>
      <c r="BI25" s="65"/>
      <c r="BJ25" s="66" t="str">
        <f t="shared" si="18"/>
        <v/>
      </c>
      <c r="BK25" s="71" t="s">
        <v>116</v>
      </c>
      <c r="BL25" s="70">
        <v>85</v>
      </c>
      <c r="BM25" s="5">
        <v>12.2</v>
      </c>
      <c r="BN25" s="77">
        <v>12.3</v>
      </c>
      <c r="BO25" s="78">
        <f t="shared" si="51"/>
        <v>13.1</v>
      </c>
      <c r="BP25" s="79">
        <v>13.2</v>
      </c>
      <c r="BQ25" s="80">
        <v>19.100000000000001</v>
      </c>
      <c r="BR25" s="81">
        <f t="shared" si="52"/>
        <v>19.2</v>
      </c>
      <c r="BS25" s="82">
        <v>21.7</v>
      </c>
      <c r="BT25" s="83">
        <v>21.8</v>
      </c>
      <c r="BU25" s="41"/>
      <c r="BV25" s="87" t="s">
        <v>116</v>
      </c>
      <c r="BW25" s="86">
        <v>85</v>
      </c>
      <c r="BX25" s="5">
        <v>11.7</v>
      </c>
      <c r="BY25" s="77">
        <v>11.8</v>
      </c>
      <c r="BZ25" s="78">
        <f t="shared" si="53"/>
        <v>12.6</v>
      </c>
      <c r="CA25" s="79">
        <v>12.7</v>
      </c>
      <c r="CB25" s="80">
        <v>19.8</v>
      </c>
      <c r="CC25" s="92">
        <f t="shared" si="54"/>
        <v>19.899999999999999</v>
      </c>
      <c r="CD25" s="82">
        <v>23.4</v>
      </c>
      <c r="CE25" s="83" t="s">
        <v>117</v>
      </c>
      <c r="CF25" s="63"/>
      <c r="CG25" s="91" t="str">
        <f t="shared" si="19"/>
        <v/>
      </c>
      <c r="CH25" s="91"/>
      <c r="CI25" s="91" t="str">
        <f t="shared" si="20"/>
        <v/>
      </c>
      <c r="CJ25" s="91"/>
      <c r="CK25" s="91" t="str">
        <f t="shared" si="21"/>
        <v/>
      </c>
      <c r="CL25" s="91" t="str">
        <f t="shared" si="22"/>
        <v/>
      </c>
      <c r="CM25" s="91" t="str">
        <f t="shared" si="23"/>
        <v/>
      </c>
      <c r="CN25" s="91" t="str">
        <f t="shared" si="24"/>
        <v/>
      </c>
      <c r="CO25" s="91" t="str">
        <f t="shared" si="25"/>
        <v/>
      </c>
      <c r="CP25" s="91" t="str">
        <f t="shared" si="26"/>
        <v/>
      </c>
      <c r="CQ25" s="91" t="str">
        <f t="shared" si="27"/>
        <v/>
      </c>
      <c r="CR25" s="91" t="str">
        <f t="shared" si="28"/>
        <v/>
      </c>
      <c r="CS25" s="91" t="str">
        <f t="shared" si="29"/>
        <v/>
      </c>
      <c r="CT25" s="91" t="str">
        <f t="shared" si="30"/>
        <v/>
      </c>
      <c r="CV25" s="94"/>
      <c r="CW25" s="95">
        <v>13</v>
      </c>
      <c r="CX25" s="96">
        <f t="shared" si="55"/>
        <v>7.1</v>
      </c>
      <c r="CY25" s="97">
        <v>7.2</v>
      </c>
      <c r="CZ25" s="96">
        <f t="shared" si="56"/>
        <v>7.8</v>
      </c>
      <c r="DA25" s="97">
        <v>7.9</v>
      </c>
      <c r="DB25" s="97">
        <v>12.3</v>
      </c>
      <c r="DC25" s="96">
        <f t="shared" si="57"/>
        <v>12.4</v>
      </c>
      <c r="DD25" s="41"/>
      <c r="DE25" s="41"/>
      <c r="DF25" s="41"/>
      <c r="DG25" s="94"/>
      <c r="DH25" s="96">
        <f t="shared" si="58"/>
        <v>6.4</v>
      </c>
      <c r="DI25" s="97">
        <v>6.5</v>
      </c>
      <c r="DJ25" s="96">
        <f t="shared" si="59"/>
        <v>7.1</v>
      </c>
      <c r="DK25" s="97">
        <v>7.2</v>
      </c>
      <c r="DL25" s="97">
        <v>11.8</v>
      </c>
      <c r="DM25" s="96">
        <f t="shared" si="60"/>
        <v>11.9</v>
      </c>
      <c r="DN25" s="106">
        <v>11.9</v>
      </c>
      <c r="DO25" s="41"/>
      <c r="DP25" s="66" t="str">
        <f t="shared" si="31"/>
        <v/>
      </c>
      <c r="DQ25" s="60" t="str">
        <f t="shared" si="32"/>
        <v/>
      </c>
      <c r="DR25" s="60" t="str">
        <f t="shared" si="33"/>
        <v/>
      </c>
      <c r="DS25" s="60" t="str">
        <f t="shared" si="34"/>
        <v/>
      </c>
      <c r="DV25" s="115" t="s">
        <v>118</v>
      </c>
      <c r="DW25" s="112">
        <v>50</v>
      </c>
      <c r="DX25" s="113" t="s">
        <v>119</v>
      </c>
      <c r="DY25" s="129">
        <v>91.6</v>
      </c>
      <c r="DZ25" s="135">
        <v>95.8</v>
      </c>
      <c r="EA25" s="129">
        <v>95.9</v>
      </c>
      <c r="EB25" s="136">
        <v>113</v>
      </c>
      <c r="EC25" s="132">
        <v>113.1</v>
      </c>
      <c r="EE25" s="138" t="s">
        <v>118</v>
      </c>
      <c r="EF25" s="134">
        <v>50</v>
      </c>
      <c r="EG25" s="168">
        <v>90.6</v>
      </c>
      <c r="EH25" s="165">
        <v>90.7</v>
      </c>
      <c r="EI25" s="169">
        <v>95</v>
      </c>
      <c r="EJ25" s="165">
        <v>95.1</v>
      </c>
      <c r="EK25" s="168">
        <v>112.7</v>
      </c>
      <c r="EL25" s="167">
        <v>112.8</v>
      </c>
      <c r="EN25" s="154" t="str">
        <f t="shared" si="35"/>
        <v/>
      </c>
      <c r="EO25" s="154" t="e">
        <f t="shared" si="36"/>
        <v>#N/A</v>
      </c>
      <c r="EP25" s="154" t="e">
        <f t="shared" si="37"/>
        <v>#N/A</v>
      </c>
      <c r="EQ25" s="154" t="e">
        <f t="shared" si="38"/>
        <v>#N/A</v>
      </c>
      <c r="ES25" s="154" t="e">
        <f t="shared" si="39"/>
        <v>#N/A</v>
      </c>
      <c r="ET25" s="154" t="e">
        <f t="shared" si="40"/>
        <v>#N/A</v>
      </c>
      <c r="EU25" s="154" t="e">
        <f t="shared" si="41"/>
        <v>#N/A</v>
      </c>
      <c r="EW25" s="60">
        <f t="shared" si="42"/>
        <v>0</v>
      </c>
      <c r="EX25" s="60">
        <f t="shared" si="43"/>
        <v>0</v>
      </c>
      <c r="EY25" s="60">
        <f t="shared" si="44"/>
        <v>0</v>
      </c>
      <c r="EZ25" s="60">
        <f t="shared" si="45"/>
        <v>0</v>
      </c>
      <c r="FA25" s="60">
        <f t="shared" si="46"/>
        <v>0</v>
      </c>
      <c r="FB25" s="60">
        <f t="shared" si="47"/>
        <v>0</v>
      </c>
      <c r="FC25" s="60">
        <f t="shared" si="48"/>
        <v>0</v>
      </c>
      <c r="FD25" s="60">
        <f t="shared" si="49"/>
        <v>0</v>
      </c>
    </row>
    <row r="26" spans="1:160" ht="10.5" customHeight="1">
      <c r="A26" s="8" t="str">
        <f t="shared" si="50"/>
        <v/>
      </c>
      <c r="B26" s="9" t="str">
        <f t="shared" si="0"/>
        <v/>
      </c>
      <c r="C26" s="15"/>
      <c r="D26" s="16"/>
      <c r="E26" s="17"/>
      <c r="F26" s="17"/>
      <c r="G26" s="13"/>
      <c r="H26" s="14" t="str">
        <f t="shared" si="1"/>
        <v/>
      </c>
      <c r="I26" s="8" t="str">
        <f t="shared" si="2"/>
        <v/>
      </c>
      <c r="J26" s="9" t="str">
        <f t="shared" si="3"/>
        <v/>
      </c>
      <c r="K26" s="32" t="str">
        <f t="shared" si="4"/>
        <v/>
      </c>
      <c r="L26" s="33" t="str">
        <f t="shared" si="5"/>
        <v/>
      </c>
      <c r="M26" s="34" t="str">
        <f t="shared" si="6"/>
        <v/>
      </c>
      <c r="N26" s="35" t="str">
        <f t="shared" si="7"/>
        <v/>
      </c>
      <c r="O26" s="36"/>
      <c r="P26" s="36"/>
      <c r="Q26" s="36"/>
      <c r="R26" s="36"/>
      <c r="S26" s="36"/>
      <c r="T26" s="36"/>
      <c r="U26" s="36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53"/>
      <c r="AS26" s="53"/>
      <c r="AT26" s="53"/>
      <c r="AW26" s="5"/>
      <c r="AX26" s="5"/>
      <c r="AY26" s="60" t="str">
        <f t="shared" si="8"/>
        <v/>
      </c>
      <c r="AZ26" s="60" t="str">
        <f t="shared" si="9"/>
        <v/>
      </c>
      <c r="BA26" s="61" t="str">
        <f t="shared" si="10"/>
        <v/>
      </c>
      <c r="BB26" s="61" t="str">
        <f t="shared" si="11"/>
        <v/>
      </c>
      <c r="BC26" s="61" t="str">
        <f t="shared" si="12"/>
        <v/>
      </c>
      <c r="BD26" s="61" t="str">
        <f t="shared" si="13"/>
        <v/>
      </c>
      <c r="BE26" s="64" t="str">
        <f t="shared" si="14"/>
        <v/>
      </c>
      <c r="BF26" s="64" t="str">
        <f t="shared" si="15"/>
        <v/>
      </c>
      <c r="BG26" s="64" t="str">
        <f t="shared" si="16"/>
        <v/>
      </c>
      <c r="BH26" s="64" t="str">
        <f t="shared" si="17"/>
        <v/>
      </c>
      <c r="BI26" s="65"/>
      <c r="BJ26" s="66" t="str">
        <f t="shared" si="18"/>
        <v/>
      </c>
      <c r="BK26" s="71" t="s">
        <v>120</v>
      </c>
      <c r="BL26" s="70">
        <v>86</v>
      </c>
      <c r="BM26" s="5">
        <v>12.2</v>
      </c>
      <c r="BN26" s="77">
        <v>12.3</v>
      </c>
      <c r="BO26" s="78">
        <f t="shared" si="51"/>
        <v>13.1</v>
      </c>
      <c r="BP26" s="79">
        <v>13.2</v>
      </c>
      <c r="BQ26" s="80">
        <v>19.100000000000001</v>
      </c>
      <c r="BR26" s="81">
        <f t="shared" si="52"/>
        <v>19.2</v>
      </c>
      <c r="BS26" s="82">
        <v>21.8</v>
      </c>
      <c r="BT26" s="83">
        <v>21.8</v>
      </c>
      <c r="BU26" s="41"/>
      <c r="BV26" s="87" t="s">
        <v>120</v>
      </c>
      <c r="BW26" s="86">
        <v>86</v>
      </c>
      <c r="BX26" s="5">
        <v>11.7</v>
      </c>
      <c r="BY26" s="77">
        <v>11.8</v>
      </c>
      <c r="BZ26" s="78">
        <f t="shared" si="53"/>
        <v>12.7</v>
      </c>
      <c r="CA26" s="79">
        <v>12.8</v>
      </c>
      <c r="CB26" s="80">
        <v>19.899999999999999</v>
      </c>
      <c r="CC26" s="92">
        <f t="shared" si="54"/>
        <v>20</v>
      </c>
      <c r="CD26" s="82">
        <v>23.5</v>
      </c>
      <c r="CE26" s="83" t="s">
        <v>121</v>
      </c>
      <c r="CF26" s="63"/>
      <c r="CG26" s="91" t="str">
        <f t="shared" si="19"/>
        <v/>
      </c>
      <c r="CH26" s="91"/>
      <c r="CI26" s="91" t="str">
        <f t="shared" si="20"/>
        <v/>
      </c>
      <c r="CJ26" s="91"/>
      <c r="CK26" s="91" t="str">
        <f t="shared" si="21"/>
        <v/>
      </c>
      <c r="CL26" s="91" t="str">
        <f t="shared" si="22"/>
        <v/>
      </c>
      <c r="CM26" s="91" t="str">
        <f t="shared" si="23"/>
        <v/>
      </c>
      <c r="CN26" s="91" t="str">
        <f t="shared" si="24"/>
        <v/>
      </c>
      <c r="CO26" s="91" t="str">
        <f t="shared" si="25"/>
        <v/>
      </c>
      <c r="CP26" s="91" t="str">
        <f t="shared" si="26"/>
        <v/>
      </c>
      <c r="CQ26" s="91" t="str">
        <f t="shared" si="27"/>
        <v/>
      </c>
      <c r="CR26" s="91" t="str">
        <f t="shared" si="28"/>
        <v/>
      </c>
      <c r="CS26" s="91" t="str">
        <f t="shared" si="29"/>
        <v/>
      </c>
      <c r="CT26" s="91" t="str">
        <f t="shared" si="30"/>
        <v/>
      </c>
      <c r="CV26" s="94"/>
      <c r="CW26" s="95">
        <v>14</v>
      </c>
      <c r="CX26" s="96">
        <f t="shared" si="55"/>
        <v>7.2</v>
      </c>
      <c r="CY26" s="97">
        <v>7.3</v>
      </c>
      <c r="CZ26" s="96">
        <f t="shared" si="56"/>
        <v>8</v>
      </c>
      <c r="DA26" s="97">
        <v>8.1</v>
      </c>
      <c r="DB26" s="97">
        <v>12.6</v>
      </c>
      <c r="DC26" s="96">
        <f t="shared" si="57"/>
        <v>12.7</v>
      </c>
      <c r="DD26" s="41"/>
      <c r="DE26" s="41"/>
      <c r="DF26" s="41"/>
      <c r="DG26" s="94"/>
      <c r="DH26" s="96">
        <f t="shared" si="58"/>
        <v>6.6</v>
      </c>
      <c r="DI26" s="97">
        <v>6.7</v>
      </c>
      <c r="DJ26" s="96">
        <f t="shared" si="59"/>
        <v>7.3</v>
      </c>
      <c r="DK26" s="97">
        <v>7.4</v>
      </c>
      <c r="DL26" s="97">
        <v>12.1</v>
      </c>
      <c r="DM26" s="96">
        <f t="shared" si="60"/>
        <v>12.2</v>
      </c>
      <c r="DN26" s="106">
        <v>12.2</v>
      </c>
      <c r="DO26" s="41"/>
      <c r="DP26" s="66" t="str">
        <f t="shared" si="31"/>
        <v/>
      </c>
      <c r="DQ26" s="60" t="str">
        <f t="shared" si="32"/>
        <v/>
      </c>
      <c r="DR26" s="60" t="str">
        <f t="shared" si="33"/>
        <v/>
      </c>
      <c r="DS26" s="60" t="str">
        <f t="shared" si="34"/>
        <v/>
      </c>
      <c r="DV26" s="115" t="s">
        <v>122</v>
      </c>
      <c r="DW26" s="112">
        <v>51</v>
      </c>
      <c r="DX26" s="113">
        <v>92</v>
      </c>
      <c r="DY26" s="129">
        <v>92.1</v>
      </c>
      <c r="DZ26" s="135">
        <v>96.3</v>
      </c>
      <c r="EA26" s="129">
        <v>96.4</v>
      </c>
      <c r="EB26" s="136">
        <v>113.6</v>
      </c>
      <c r="EC26" s="132">
        <v>113.7</v>
      </c>
      <c r="EE26" s="138" t="s">
        <v>122</v>
      </c>
      <c r="EF26" s="134">
        <v>51</v>
      </c>
      <c r="EG26" s="168">
        <v>91.1</v>
      </c>
      <c r="EH26" s="165">
        <v>91.2</v>
      </c>
      <c r="EI26" s="169">
        <v>95.5</v>
      </c>
      <c r="EJ26" s="165">
        <v>95.6</v>
      </c>
      <c r="EK26" s="168">
        <v>113.3</v>
      </c>
      <c r="EL26" s="167">
        <v>113.4</v>
      </c>
      <c r="EN26" s="154" t="str">
        <f t="shared" si="35"/>
        <v/>
      </c>
      <c r="EO26" s="154" t="e">
        <f t="shared" si="36"/>
        <v>#N/A</v>
      </c>
      <c r="EP26" s="154" t="e">
        <f t="shared" si="37"/>
        <v>#N/A</v>
      </c>
      <c r="EQ26" s="154" t="e">
        <f t="shared" si="38"/>
        <v>#N/A</v>
      </c>
      <c r="ES26" s="154" t="e">
        <f t="shared" si="39"/>
        <v>#N/A</v>
      </c>
      <c r="ET26" s="154" t="e">
        <f t="shared" si="40"/>
        <v>#N/A</v>
      </c>
      <c r="EU26" s="154" t="e">
        <f t="shared" si="41"/>
        <v>#N/A</v>
      </c>
      <c r="EW26" s="60">
        <f t="shared" si="42"/>
        <v>0</v>
      </c>
      <c r="EX26" s="60">
        <f t="shared" si="43"/>
        <v>0</v>
      </c>
      <c r="EY26" s="60">
        <f t="shared" si="44"/>
        <v>0</v>
      </c>
      <c r="EZ26" s="60">
        <f t="shared" si="45"/>
        <v>0</v>
      </c>
      <c r="FA26" s="60">
        <f t="shared" si="46"/>
        <v>0</v>
      </c>
      <c r="FB26" s="60">
        <f t="shared" si="47"/>
        <v>0</v>
      </c>
      <c r="FC26" s="60">
        <f t="shared" si="48"/>
        <v>0</v>
      </c>
      <c r="FD26" s="60">
        <f t="shared" si="49"/>
        <v>0</v>
      </c>
    </row>
    <row r="27" spans="1:160" ht="10.5" customHeight="1">
      <c r="A27" s="8" t="str">
        <f t="shared" si="50"/>
        <v/>
      </c>
      <c r="B27" s="9" t="str">
        <f t="shared" si="0"/>
        <v/>
      </c>
      <c r="C27" s="15"/>
      <c r="D27" s="16"/>
      <c r="E27" s="17"/>
      <c r="F27" s="17"/>
      <c r="G27" s="13"/>
      <c r="H27" s="14" t="str">
        <f t="shared" si="1"/>
        <v/>
      </c>
      <c r="I27" s="8" t="str">
        <f t="shared" si="2"/>
        <v/>
      </c>
      <c r="J27" s="9" t="str">
        <f t="shared" si="3"/>
        <v/>
      </c>
      <c r="K27" s="32" t="str">
        <f t="shared" si="4"/>
        <v/>
      </c>
      <c r="L27" s="33" t="str">
        <f t="shared" si="5"/>
        <v/>
      </c>
      <c r="M27" s="34" t="str">
        <f t="shared" si="6"/>
        <v/>
      </c>
      <c r="N27" s="35" t="str">
        <f t="shared" si="7"/>
        <v/>
      </c>
      <c r="O27" s="36"/>
      <c r="P27" s="36"/>
      <c r="Q27" s="36"/>
      <c r="R27" s="36"/>
      <c r="S27" s="36"/>
      <c r="T27" s="36"/>
      <c r="U27" s="36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53"/>
      <c r="AS27" s="53"/>
      <c r="AT27" s="53"/>
      <c r="AW27" s="5"/>
      <c r="AX27" s="5"/>
      <c r="AY27" s="60" t="str">
        <f t="shared" si="8"/>
        <v/>
      </c>
      <c r="AZ27" s="60" t="str">
        <f t="shared" si="9"/>
        <v/>
      </c>
      <c r="BA27" s="61" t="str">
        <f t="shared" si="10"/>
        <v/>
      </c>
      <c r="BB27" s="61" t="str">
        <f t="shared" si="11"/>
        <v/>
      </c>
      <c r="BC27" s="61" t="str">
        <f t="shared" si="12"/>
        <v/>
      </c>
      <c r="BD27" s="61" t="str">
        <f t="shared" si="13"/>
        <v/>
      </c>
      <c r="BE27" s="64" t="str">
        <f t="shared" si="14"/>
        <v/>
      </c>
      <c r="BF27" s="64" t="str">
        <f t="shared" si="15"/>
        <v/>
      </c>
      <c r="BG27" s="64" t="str">
        <f t="shared" si="16"/>
        <v/>
      </c>
      <c r="BH27" s="64" t="str">
        <f t="shared" si="17"/>
        <v/>
      </c>
      <c r="BI27" s="65"/>
      <c r="BJ27" s="66" t="str">
        <f t="shared" si="18"/>
        <v/>
      </c>
      <c r="BK27" s="71" t="s">
        <v>123</v>
      </c>
      <c r="BL27" s="70">
        <v>87</v>
      </c>
      <c r="BM27" s="5">
        <v>12.2</v>
      </c>
      <c r="BN27" s="77">
        <v>12.3</v>
      </c>
      <c r="BO27" s="78">
        <f t="shared" si="51"/>
        <v>13.1</v>
      </c>
      <c r="BP27" s="79">
        <v>13.2</v>
      </c>
      <c r="BQ27" s="80">
        <v>19.2</v>
      </c>
      <c r="BR27" s="81">
        <f t="shared" si="52"/>
        <v>19.3</v>
      </c>
      <c r="BS27" s="82">
        <v>21.9</v>
      </c>
      <c r="BT27" s="83">
        <v>22</v>
      </c>
      <c r="BU27" s="41"/>
      <c r="BV27" s="87" t="s">
        <v>123</v>
      </c>
      <c r="BW27" s="86">
        <v>87</v>
      </c>
      <c r="BX27" s="5">
        <v>11.7</v>
      </c>
      <c r="BY27" s="77">
        <v>11.8</v>
      </c>
      <c r="BZ27" s="78">
        <f t="shared" si="53"/>
        <v>12.7</v>
      </c>
      <c r="CA27" s="79">
        <v>12.8</v>
      </c>
      <c r="CB27" s="80">
        <v>20</v>
      </c>
      <c r="CC27" s="92">
        <f t="shared" si="54"/>
        <v>20.100000000000001</v>
      </c>
      <c r="CD27" s="82">
        <v>23.6</v>
      </c>
      <c r="CE27" s="83" t="s">
        <v>124</v>
      </c>
      <c r="CF27" s="63"/>
      <c r="CG27" s="91" t="str">
        <f t="shared" si="19"/>
        <v/>
      </c>
      <c r="CH27" s="91"/>
      <c r="CI27" s="91" t="str">
        <f t="shared" si="20"/>
        <v/>
      </c>
      <c r="CJ27" s="91"/>
      <c r="CK27" s="91" t="str">
        <f t="shared" si="21"/>
        <v/>
      </c>
      <c r="CL27" s="91" t="str">
        <f t="shared" si="22"/>
        <v/>
      </c>
      <c r="CM27" s="91" t="str">
        <f t="shared" si="23"/>
        <v/>
      </c>
      <c r="CN27" s="91" t="str">
        <f t="shared" si="24"/>
        <v/>
      </c>
      <c r="CO27" s="91" t="str">
        <f t="shared" si="25"/>
        <v/>
      </c>
      <c r="CP27" s="91" t="str">
        <f t="shared" si="26"/>
        <v/>
      </c>
      <c r="CQ27" s="91" t="str">
        <f t="shared" si="27"/>
        <v/>
      </c>
      <c r="CR27" s="91" t="str">
        <f t="shared" si="28"/>
        <v/>
      </c>
      <c r="CS27" s="91" t="str">
        <f t="shared" si="29"/>
        <v/>
      </c>
      <c r="CT27" s="91" t="str">
        <f t="shared" si="30"/>
        <v/>
      </c>
      <c r="CV27" s="94"/>
      <c r="CW27" s="95">
        <v>15</v>
      </c>
      <c r="CX27" s="96">
        <f t="shared" si="55"/>
        <v>7.4</v>
      </c>
      <c r="CY27" s="97">
        <v>7.5</v>
      </c>
      <c r="CZ27" s="96">
        <f t="shared" si="56"/>
        <v>8.1999999999999993</v>
      </c>
      <c r="DA27" s="97">
        <v>8.3000000000000007</v>
      </c>
      <c r="DB27" s="97">
        <v>12.8</v>
      </c>
      <c r="DC27" s="96">
        <f t="shared" si="57"/>
        <v>12.9</v>
      </c>
      <c r="DD27" s="41"/>
      <c r="DE27" s="41"/>
      <c r="DF27" s="41"/>
      <c r="DG27" s="94"/>
      <c r="DH27" s="96">
        <f t="shared" si="58"/>
        <v>6.7</v>
      </c>
      <c r="DI27" s="97">
        <v>6.8</v>
      </c>
      <c r="DJ27" s="96">
        <f t="shared" si="59"/>
        <v>7.5</v>
      </c>
      <c r="DK27" s="97">
        <v>7.6</v>
      </c>
      <c r="DL27" s="97">
        <v>12.4</v>
      </c>
      <c r="DM27" s="96">
        <f t="shared" si="60"/>
        <v>12.5</v>
      </c>
      <c r="DN27" s="106">
        <v>12.5</v>
      </c>
      <c r="DO27" s="41"/>
      <c r="DP27" s="66" t="str">
        <f t="shared" si="31"/>
        <v/>
      </c>
      <c r="DQ27" s="60" t="str">
        <f t="shared" si="32"/>
        <v/>
      </c>
      <c r="DR27" s="60" t="str">
        <f t="shared" si="33"/>
        <v/>
      </c>
      <c r="DS27" s="60" t="str">
        <f t="shared" si="34"/>
        <v/>
      </c>
      <c r="DV27" s="115" t="s">
        <v>125</v>
      </c>
      <c r="DW27" s="112">
        <v>52</v>
      </c>
      <c r="DX27" s="113" t="s">
        <v>126</v>
      </c>
      <c r="DY27" s="129">
        <v>92.5</v>
      </c>
      <c r="DZ27" s="135">
        <v>96.8</v>
      </c>
      <c r="EA27" s="129">
        <v>96.9</v>
      </c>
      <c r="EB27" s="136">
        <v>114.2</v>
      </c>
      <c r="EC27" s="132">
        <v>114.3</v>
      </c>
      <c r="EE27" s="138" t="s">
        <v>125</v>
      </c>
      <c r="EF27" s="134">
        <v>52</v>
      </c>
      <c r="EG27" s="168">
        <v>91.6</v>
      </c>
      <c r="EH27" s="165">
        <v>91.7</v>
      </c>
      <c r="EI27" s="169">
        <v>96</v>
      </c>
      <c r="EJ27" s="165">
        <v>96.1</v>
      </c>
      <c r="EK27" s="168">
        <v>114</v>
      </c>
      <c r="EL27" s="167">
        <v>114.1</v>
      </c>
      <c r="EN27" s="154" t="str">
        <f t="shared" si="35"/>
        <v/>
      </c>
      <c r="EO27" s="154" t="e">
        <f t="shared" si="36"/>
        <v>#N/A</v>
      </c>
      <c r="EP27" s="154" t="e">
        <f t="shared" si="37"/>
        <v>#N/A</v>
      </c>
      <c r="EQ27" s="154" t="e">
        <f t="shared" si="38"/>
        <v>#N/A</v>
      </c>
      <c r="ES27" s="154" t="e">
        <f t="shared" si="39"/>
        <v>#N/A</v>
      </c>
      <c r="ET27" s="154" t="e">
        <f t="shared" si="40"/>
        <v>#N/A</v>
      </c>
      <c r="EU27" s="154" t="e">
        <f t="shared" si="41"/>
        <v>#N/A</v>
      </c>
      <c r="EW27" s="60">
        <f t="shared" si="42"/>
        <v>0</v>
      </c>
      <c r="EX27" s="60">
        <f t="shared" si="43"/>
        <v>0</v>
      </c>
      <c r="EY27" s="60">
        <f t="shared" si="44"/>
        <v>0</v>
      </c>
      <c r="EZ27" s="60">
        <f t="shared" si="45"/>
        <v>0</v>
      </c>
      <c r="FA27" s="60">
        <f t="shared" si="46"/>
        <v>0</v>
      </c>
      <c r="FB27" s="60">
        <f t="shared" si="47"/>
        <v>0</v>
      </c>
      <c r="FC27" s="60">
        <f t="shared" si="48"/>
        <v>0</v>
      </c>
      <c r="FD27" s="60">
        <f t="shared" si="49"/>
        <v>0</v>
      </c>
    </row>
    <row r="28" spans="1:160" ht="10.5" customHeight="1">
      <c r="A28" s="8" t="str">
        <f t="shared" si="50"/>
        <v/>
      </c>
      <c r="B28" s="9" t="str">
        <f t="shared" si="0"/>
        <v/>
      </c>
      <c r="C28" s="15"/>
      <c r="D28" s="16"/>
      <c r="E28" s="17"/>
      <c r="F28" s="17"/>
      <c r="G28" s="13"/>
      <c r="H28" s="14" t="str">
        <f t="shared" si="1"/>
        <v/>
      </c>
      <c r="I28" s="8" t="str">
        <f t="shared" si="2"/>
        <v/>
      </c>
      <c r="J28" s="9" t="str">
        <f t="shared" si="3"/>
        <v/>
      </c>
      <c r="K28" s="32" t="str">
        <f t="shared" si="4"/>
        <v/>
      </c>
      <c r="L28" s="33" t="str">
        <f t="shared" si="5"/>
        <v/>
      </c>
      <c r="M28" s="34" t="str">
        <f t="shared" si="6"/>
        <v/>
      </c>
      <c r="N28" s="35" t="str">
        <f t="shared" si="7"/>
        <v/>
      </c>
      <c r="O28" s="36"/>
      <c r="P28" s="36"/>
      <c r="Q28" s="36"/>
      <c r="R28" s="36"/>
      <c r="S28" s="36"/>
      <c r="T28" s="36"/>
      <c r="U28" s="36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53"/>
      <c r="AS28" s="53"/>
      <c r="AT28" s="53"/>
      <c r="AW28" s="5"/>
      <c r="AX28" s="5"/>
      <c r="AY28" s="60" t="str">
        <f t="shared" si="8"/>
        <v/>
      </c>
      <c r="AZ28" s="60" t="str">
        <f t="shared" si="9"/>
        <v/>
      </c>
      <c r="BA28" s="61" t="str">
        <f t="shared" si="10"/>
        <v/>
      </c>
      <c r="BB28" s="61" t="str">
        <f t="shared" si="11"/>
        <v/>
      </c>
      <c r="BC28" s="61" t="str">
        <f t="shared" si="12"/>
        <v/>
      </c>
      <c r="BD28" s="61" t="str">
        <f t="shared" si="13"/>
        <v/>
      </c>
      <c r="BE28" s="64" t="str">
        <f t="shared" si="14"/>
        <v/>
      </c>
      <c r="BF28" s="64" t="str">
        <f t="shared" si="15"/>
        <v/>
      </c>
      <c r="BG28" s="64" t="str">
        <f t="shared" si="16"/>
        <v/>
      </c>
      <c r="BH28" s="64" t="str">
        <f t="shared" si="17"/>
        <v/>
      </c>
      <c r="BI28" s="65"/>
      <c r="BJ28" s="66" t="str">
        <f t="shared" si="18"/>
        <v/>
      </c>
      <c r="BK28" s="71" t="s">
        <v>127</v>
      </c>
      <c r="BL28" s="70">
        <v>88</v>
      </c>
      <c r="BM28" s="5">
        <v>12.2</v>
      </c>
      <c r="BN28" s="77">
        <v>12.3</v>
      </c>
      <c r="BO28" s="78">
        <f t="shared" si="51"/>
        <v>13.1</v>
      </c>
      <c r="BP28" s="79">
        <v>13.2</v>
      </c>
      <c r="BQ28" s="80">
        <v>19.2</v>
      </c>
      <c r="BR28" s="81">
        <f t="shared" si="52"/>
        <v>19.3</v>
      </c>
      <c r="BS28" s="82">
        <v>22</v>
      </c>
      <c r="BT28" s="83">
        <v>22.1</v>
      </c>
      <c r="BU28" s="41"/>
      <c r="BV28" s="87" t="s">
        <v>127</v>
      </c>
      <c r="BW28" s="86">
        <v>88</v>
      </c>
      <c r="BX28" s="5">
        <v>11.7</v>
      </c>
      <c r="BY28" s="77">
        <v>11.8</v>
      </c>
      <c r="BZ28" s="78">
        <f t="shared" si="53"/>
        <v>12.7</v>
      </c>
      <c r="CA28" s="79">
        <v>12.8</v>
      </c>
      <c r="CB28" s="80">
        <v>20</v>
      </c>
      <c r="CC28" s="92">
        <f t="shared" si="54"/>
        <v>20.100000000000001</v>
      </c>
      <c r="CD28" s="82">
        <v>23.7</v>
      </c>
      <c r="CE28" s="83" t="s">
        <v>128</v>
      </c>
      <c r="CF28" s="63"/>
      <c r="CG28" s="91" t="str">
        <f t="shared" si="19"/>
        <v/>
      </c>
      <c r="CH28" s="91"/>
      <c r="CI28" s="91" t="str">
        <f t="shared" si="20"/>
        <v/>
      </c>
      <c r="CJ28" s="91"/>
      <c r="CK28" s="91" t="str">
        <f t="shared" si="21"/>
        <v/>
      </c>
      <c r="CL28" s="91" t="str">
        <f t="shared" si="22"/>
        <v/>
      </c>
      <c r="CM28" s="91" t="str">
        <f t="shared" si="23"/>
        <v/>
      </c>
      <c r="CN28" s="91" t="str">
        <f t="shared" si="24"/>
        <v/>
      </c>
      <c r="CO28" s="91" t="str">
        <f t="shared" si="25"/>
        <v/>
      </c>
      <c r="CP28" s="91" t="str">
        <f t="shared" si="26"/>
        <v/>
      </c>
      <c r="CQ28" s="91" t="str">
        <f t="shared" si="27"/>
        <v/>
      </c>
      <c r="CR28" s="91" t="str">
        <f t="shared" si="28"/>
        <v/>
      </c>
      <c r="CS28" s="91" t="str">
        <f t="shared" si="29"/>
        <v/>
      </c>
      <c r="CT28" s="91" t="str">
        <f t="shared" si="30"/>
        <v/>
      </c>
      <c r="CV28" s="94"/>
      <c r="CW28" s="95">
        <v>16</v>
      </c>
      <c r="CX28" s="96">
        <f t="shared" si="55"/>
        <v>7.5</v>
      </c>
      <c r="CY28" s="97">
        <v>7.6</v>
      </c>
      <c r="CZ28" s="96">
        <f t="shared" si="56"/>
        <v>8.3000000000000007</v>
      </c>
      <c r="DA28" s="97">
        <v>8.4</v>
      </c>
      <c r="DB28" s="97">
        <v>13.1</v>
      </c>
      <c r="DC28" s="96">
        <f t="shared" si="57"/>
        <v>13.2</v>
      </c>
      <c r="DD28" s="41"/>
      <c r="DE28" s="41"/>
      <c r="DF28" s="41"/>
      <c r="DG28" s="94"/>
      <c r="DH28" s="96">
        <f t="shared" si="58"/>
        <v>6.9</v>
      </c>
      <c r="DI28" s="97">
        <v>7</v>
      </c>
      <c r="DJ28" s="96">
        <f t="shared" si="59"/>
        <v>7.6</v>
      </c>
      <c r="DK28" s="97">
        <v>7.7</v>
      </c>
      <c r="DL28" s="97">
        <v>12.6</v>
      </c>
      <c r="DM28" s="96">
        <f t="shared" si="60"/>
        <v>12.7</v>
      </c>
      <c r="DN28" s="106">
        <v>12.7</v>
      </c>
      <c r="DO28" s="41"/>
      <c r="DP28" s="66" t="str">
        <f t="shared" si="31"/>
        <v/>
      </c>
      <c r="DQ28" s="60" t="str">
        <f t="shared" si="32"/>
        <v/>
      </c>
      <c r="DR28" s="60" t="str">
        <f t="shared" si="33"/>
        <v/>
      </c>
      <c r="DS28" s="60" t="str">
        <f t="shared" si="34"/>
        <v/>
      </c>
      <c r="DV28" s="115" t="s">
        <v>129</v>
      </c>
      <c r="DW28" s="112">
        <v>53</v>
      </c>
      <c r="DX28" s="113" t="s">
        <v>130</v>
      </c>
      <c r="DY28" s="129">
        <v>93</v>
      </c>
      <c r="DZ28" s="135">
        <v>97.3</v>
      </c>
      <c r="EA28" s="129">
        <v>97.4</v>
      </c>
      <c r="EB28" s="136">
        <v>114.9</v>
      </c>
      <c r="EC28" s="132">
        <v>115</v>
      </c>
      <c r="EE28" s="138" t="s">
        <v>129</v>
      </c>
      <c r="EF28" s="134">
        <v>53</v>
      </c>
      <c r="EG28" s="168">
        <v>92</v>
      </c>
      <c r="EH28" s="165">
        <v>92.1</v>
      </c>
      <c r="EI28" s="169">
        <v>96.5</v>
      </c>
      <c r="EJ28" s="165">
        <v>96.6</v>
      </c>
      <c r="EK28" s="168">
        <v>114.6</v>
      </c>
      <c r="EL28" s="167">
        <v>114.7</v>
      </c>
      <c r="EN28" s="154" t="str">
        <f t="shared" si="35"/>
        <v/>
      </c>
      <c r="EO28" s="154" t="e">
        <f t="shared" si="36"/>
        <v>#N/A</v>
      </c>
      <c r="EP28" s="154" t="e">
        <f t="shared" si="37"/>
        <v>#N/A</v>
      </c>
      <c r="EQ28" s="154" t="e">
        <f t="shared" si="38"/>
        <v>#N/A</v>
      </c>
      <c r="ES28" s="154" t="e">
        <f t="shared" si="39"/>
        <v>#N/A</v>
      </c>
      <c r="ET28" s="154" t="e">
        <f t="shared" si="40"/>
        <v>#N/A</v>
      </c>
      <c r="EU28" s="154" t="e">
        <f t="shared" si="41"/>
        <v>#N/A</v>
      </c>
      <c r="EW28" s="60">
        <f t="shared" si="42"/>
        <v>0</v>
      </c>
      <c r="EX28" s="60">
        <f t="shared" si="43"/>
        <v>0</v>
      </c>
      <c r="EY28" s="60">
        <f t="shared" si="44"/>
        <v>0</v>
      </c>
      <c r="EZ28" s="60">
        <f t="shared" si="45"/>
        <v>0</v>
      </c>
      <c r="FA28" s="60">
        <f t="shared" si="46"/>
        <v>0</v>
      </c>
      <c r="FB28" s="60">
        <f t="shared" si="47"/>
        <v>0</v>
      </c>
      <c r="FC28" s="60">
        <f t="shared" si="48"/>
        <v>0</v>
      </c>
      <c r="FD28" s="60">
        <f t="shared" si="49"/>
        <v>0</v>
      </c>
    </row>
    <row r="29" spans="1:160" ht="10.5" customHeight="1">
      <c r="A29" s="8" t="str">
        <f t="shared" si="50"/>
        <v/>
      </c>
      <c r="B29" s="9" t="str">
        <f t="shared" si="0"/>
        <v/>
      </c>
      <c r="C29" s="18"/>
      <c r="D29" s="16"/>
      <c r="E29" s="17"/>
      <c r="F29" s="17"/>
      <c r="G29" s="13"/>
      <c r="H29" s="14" t="str">
        <f t="shared" si="1"/>
        <v/>
      </c>
      <c r="I29" s="8" t="str">
        <f t="shared" si="2"/>
        <v/>
      </c>
      <c r="J29" s="9" t="str">
        <f t="shared" si="3"/>
        <v/>
      </c>
      <c r="K29" s="32" t="str">
        <f t="shared" si="4"/>
        <v/>
      </c>
      <c r="L29" s="33" t="str">
        <f t="shared" si="5"/>
        <v/>
      </c>
      <c r="M29" s="34" t="str">
        <f t="shared" si="6"/>
        <v/>
      </c>
      <c r="N29" s="35" t="str">
        <f t="shared" si="7"/>
        <v/>
      </c>
      <c r="O29" s="36"/>
      <c r="P29" s="36"/>
      <c r="Q29" s="36"/>
      <c r="R29" s="36"/>
      <c r="S29" s="36"/>
      <c r="T29" s="36"/>
      <c r="U29" s="36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53"/>
      <c r="AS29" s="53"/>
      <c r="AT29" s="53"/>
      <c r="AW29" s="5"/>
      <c r="AX29" s="5"/>
      <c r="AY29" s="60" t="str">
        <f t="shared" si="8"/>
        <v/>
      </c>
      <c r="AZ29" s="60" t="str">
        <f t="shared" si="9"/>
        <v/>
      </c>
      <c r="BA29" s="61" t="str">
        <f t="shared" si="10"/>
        <v/>
      </c>
      <c r="BB29" s="61" t="str">
        <f t="shared" si="11"/>
        <v/>
      </c>
      <c r="BC29" s="61" t="str">
        <f t="shared" si="12"/>
        <v/>
      </c>
      <c r="BD29" s="61" t="str">
        <f t="shared" si="13"/>
        <v/>
      </c>
      <c r="BE29" s="64" t="str">
        <f t="shared" si="14"/>
        <v/>
      </c>
      <c r="BF29" s="64" t="str">
        <f t="shared" si="15"/>
        <v/>
      </c>
      <c r="BG29" s="64" t="str">
        <f t="shared" si="16"/>
        <v/>
      </c>
      <c r="BH29" s="64" t="str">
        <f t="shared" si="17"/>
        <v/>
      </c>
      <c r="BI29" s="65"/>
      <c r="BJ29" s="66" t="str">
        <f t="shared" si="18"/>
        <v/>
      </c>
      <c r="BK29" s="71" t="s">
        <v>131</v>
      </c>
      <c r="BL29" s="70">
        <v>89</v>
      </c>
      <c r="BM29" s="5">
        <v>12.2</v>
      </c>
      <c r="BN29" s="77">
        <v>12.3</v>
      </c>
      <c r="BO29" s="78">
        <f t="shared" si="51"/>
        <v>13.1</v>
      </c>
      <c r="BP29" s="79">
        <v>13.2</v>
      </c>
      <c r="BQ29" s="80">
        <v>19.3</v>
      </c>
      <c r="BR29" s="81">
        <f t="shared" si="52"/>
        <v>19.399999999999999</v>
      </c>
      <c r="BS29" s="82">
        <v>22</v>
      </c>
      <c r="BT29" s="83">
        <v>22.1</v>
      </c>
      <c r="BU29" s="41"/>
      <c r="BV29" s="87" t="s">
        <v>131</v>
      </c>
      <c r="BW29" s="86">
        <v>89</v>
      </c>
      <c r="BX29" s="5">
        <v>11.7</v>
      </c>
      <c r="BY29" s="77">
        <v>11.8</v>
      </c>
      <c r="BZ29" s="78">
        <f t="shared" si="53"/>
        <v>12.7</v>
      </c>
      <c r="CA29" s="79">
        <v>12.8</v>
      </c>
      <c r="CB29" s="80">
        <v>20.100000000000001</v>
      </c>
      <c r="CC29" s="92">
        <f t="shared" si="54"/>
        <v>20.2</v>
      </c>
      <c r="CD29" s="82">
        <v>23.9</v>
      </c>
      <c r="CE29" s="83" t="s">
        <v>132</v>
      </c>
      <c r="CF29" s="63"/>
      <c r="CG29" s="91" t="str">
        <f t="shared" si="19"/>
        <v/>
      </c>
      <c r="CH29" s="91"/>
      <c r="CI29" s="91" t="str">
        <f t="shared" si="20"/>
        <v/>
      </c>
      <c r="CJ29" s="91"/>
      <c r="CK29" s="91" t="str">
        <f t="shared" si="21"/>
        <v/>
      </c>
      <c r="CL29" s="91" t="str">
        <f t="shared" si="22"/>
        <v/>
      </c>
      <c r="CM29" s="91" t="str">
        <f t="shared" si="23"/>
        <v/>
      </c>
      <c r="CN29" s="91" t="str">
        <f t="shared" si="24"/>
        <v/>
      </c>
      <c r="CO29" s="91" t="str">
        <f t="shared" si="25"/>
        <v/>
      </c>
      <c r="CP29" s="91" t="str">
        <f t="shared" si="26"/>
        <v/>
      </c>
      <c r="CQ29" s="91" t="str">
        <f t="shared" si="27"/>
        <v/>
      </c>
      <c r="CR29" s="91" t="str">
        <f t="shared" si="28"/>
        <v/>
      </c>
      <c r="CS29" s="91" t="str">
        <f t="shared" si="29"/>
        <v/>
      </c>
      <c r="CT29" s="91" t="str">
        <f t="shared" si="30"/>
        <v/>
      </c>
      <c r="CV29" s="94"/>
      <c r="CW29" s="95">
        <v>17</v>
      </c>
      <c r="CX29" s="96">
        <f t="shared" si="55"/>
        <v>7.7</v>
      </c>
      <c r="CY29" s="97">
        <v>7.8</v>
      </c>
      <c r="CZ29" s="96">
        <f t="shared" si="56"/>
        <v>8.5</v>
      </c>
      <c r="DA29" s="97">
        <v>8.6</v>
      </c>
      <c r="DB29" s="97">
        <v>13.4</v>
      </c>
      <c r="DC29" s="96">
        <f t="shared" si="57"/>
        <v>13.5</v>
      </c>
      <c r="DD29" s="41"/>
      <c r="DE29" s="41"/>
      <c r="DF29" s="41"/>
      <c r="DG29" s="94"/>
      <c r="DH29" s="96">
        <f t="shared" si="58"/>
        <v>7</v>
      </c>
      <c r="DI29" s="97">
        <v>7.1</v>
      </c>
      <c r="DJ29" s="96">
        <f t="shared" si="59"/>
        <v>7.8</v>
      </c>
      <c r="DK29" s="97">
        <v>7.9</v>
      </c>
      <c r="DL29" s="97">
        <v>12.9</v>
      </c>
      <c r="DM29" s="96">
        <f t="shared" si="60"/>
        <v>13</v>
      </c>
      <c r="DN29" s="106">
        <v>13</v>
      </c>
      <c r="DO29" s="41"/>
      <c r="DP29" s="66" t="str">
        <f t="shared" si="31"/>
        <v/>
      </c>
      <c r="DQ29" s="60" t="str">
        <f t="shared" si="32"/>
        <v/>
      </c>
      <c r="DR29" s="60" t="str">
        <f t="shared" si="33"/>
        <v/>
      </c>
      <c r="DS29" s="60" t="str">
        <f t="shared" si="34"/>
        <v/>
      </c>
      <c r="DV29" s="115" t="s">
        <v>133</v>
      </c>
      <c r="DW29" s="112">
        <v>54</v>
      </c>
      <c r="DX29" s="113" t="s">
        <v>134</v>
      </c>
      <c r="DY29" s="129">
        <v>93.4</v>
      </c>
      <c r="DZ29" s="135">
        <v>97.7</v>
      </c>
      <c r="EA29" s="129">
        <v>97.8</v>
      </c>
      <c r="EB29" s="136">
        <v>115.5</v>
      </c>
      <c r="EC29" s="132">
        <v>115.6</v>
      </c>
      <c r="EE29" s="138" t="s">
        <v>133</v>
      </c>
      <c r="EF29" s="134">
        <v>54</v>
      </c>
      <c r="EG29" s="168">
        <v>92.5</v>
      </c>
      <c r="EH29" s="165">
        <v>92.6</v>
      </c>
      <c r="EI29" s="169">
        <v>97</v>
      </c>
      <c r="EJ29" s="165">
        <v>97.1</v>
      </c>
      <c r="EK29" s="168">
        <v>115.2</v>
      </c>
      <c r="EL29" s="167">
        <v>115.3</v>
      </c>
      <c r="EN29" s="154" t="str">
        <f t="shared" si="35"/>
        <v/>
      </c>
      <c r="EO29" s="154" t="e">
        <f t="shared" si="36"/>
        <v>#N/A</v>
      </c>
      <c r="EP29" s="154" t="e">
        <f t="shared" si="37"/>
        <v>#N/A</v>
      </c>
      <c r="EQ29" s="154" t="e">
        <f t="shared" si="38"/>
        <v>#N/A</v>
      </c>
      <c r="ES29" s="154" t="e">
        <f t="shared" si="39"/>
        <v>#N/A</v>
      </c>
      <c r="ET29" s="154" t="e">
        <f t="shared" si="40"/>
        <v>#N/A</v>
      </c>
      <c r="EU29" s="154" t="e">
        <f t="shared" si="41"/>
        <v>#N/A</v>
      </c>
      <c r="EW29" s="60">
        <f t="shared" si="42"/>
        <v>0</v>
      </c>
      <c r="EX29" s="60">
        <f t="shared" si="43"/>
        <v>0</v>
      </c>
      <c r="EY29" s="60">
        <f t="shared" si="44"/>
        <v>0</v>
      </c>
      <c r="EZ29" s="60">
        <f t="shared" si="45"/>
        <v>0</v>
      </c>
      <c r="FA29" s="60">
        <f t="shared" si="46"/>
        <v>0</v>
      </c>
      <c r="FB29" s="60">
        <f t="shared" si="47"/>
        <v>0</v>
      </c>
      <c r="FC29" s="60">
        <f t="shared" si="48"/>
        <v>0</v>
      </c>
      <c r="FD29" s="60">
        <f t="shared" si="49"/>
        <v>0</v>
      </c>
    </row>
    <row r="30" spans="1:160" ht="10.5" customHeight="1">
      <c r="A30" s="8" t="str">
        <f t="shared" si="50"/>
        <v/>
      </c>
      <c r="B30" s="9" t="str">
        <f t="shared" si="0"/>
        <v/>
      </c>
      <c r="C30" s="19"/>
      <c r="D30" s="16"/>
      <c r="E30" s="17"/>
      <c r="F30" s="17"/>
      <c r="G30" s="13"/>
      <c r="H30" s="14" t="str">
        <f t="shared" si="1"/>
        <v/>
      </c>
      <c r="I30" s="8" t="str">
        <f t="shared" si="2"/>
        <v/>
      </c>
      <c r="J30" s="9" t="str">
        <f t="shared" si="3"/>
        <v/>
      </c>
      <c r="K30" s="32" t="str">
        <f t="shared" si="4"/>
        <v/>
      </c>
      <c r="L30" s="33" t="str">
        <f t="shared" si="5"/>
        <v/>
      </c>
      <c r="M30" s="34" t="str">
        <f t="shared" si="6"/>
        <v/>
      </c>
      <c r="N30" s="35" t="str">
        <f t="shared" si="7"/>
        <v/>
      </c>
      <c r="O30" s="36"/>
      <c r="P30" s="36"/>
      <c r="Q30" s="36"/>
      <c r="R30" s="36"/>
      <c r="S30" s="36"/>
      <c r="T30" s="36"/>
      <c r="U30" s="36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53"/>
      <c r="AS30" s="53"/>
      <c r="AT30" s="53"/>
      <c r="AW30" s="5"/>
      <c r="AX30" s="5"/>
      <c r="AY30" s="60" t="str">
        <f t="shared" si="8"/>
        <v/>
      </c>
      <c r="AZ30" s="60" t="str">
        <f t="shared" si="9"/>
        <v/>
      </c>
      <c r="BA30" s="61" t="str">
        <f t="shared" si="10"/>
        <v/>
      </c>
      <c r="BB30" s="61" t="str">
        <f t="shared" si="11"/>
        <v/>
      </c>
      <c r="BC30" s="61" t="str">
        <f t="shared" si="12"/>
        <v/>
      </c>
      <c r="BD30" s="61" t="str">
        <f t="shared" si="13"/>
        <v/>
      </c>
      <c r="BE30" s="64" t="str">
        <f t="shared" si="14"/>
        <v/>
      </c>
      <c r="BF30" s="64" t="str">
        <f t="shared" si="15"/>
        <v/>
      </c>
      <c r="BG30" s="64" t="str">
        <f t="shared" si="16"/>
        <v/>
      </c>
      <c r="BH30" s="64" t="str">
        <f t="shared" si="17"/>
        <v/>
      </c>
      <c r="BI30" s="65"/>
      <c r="BJ30" s="66" t="str">
        <f t="shared" si="18"/>
        <v/>
      </c>
      <c r="BK30" s="71" t="s">
        <v>135</v>
      </c>
      <c r="BL30" s="70">
        <v>90</v>
      </c>
      <c r="BM30" s="5">
        <v>12.2</v>
      </c>
      <c r="BN30" s="77">
        <v>12.3</v>
      </c>
      <c r="BO30" s="78">
        <f t="shared" si="51"/>
        <v>13.1</v>
      </c>
      <c r="BP30" s="79">
        <v>13.2</v>
      </c>
      <c r="BQ30" s="80">
        <v>19.3</v>
      </c>
      <c r="BR30" s="81">
        <f t="shared" si="52"/>
        <v>19.399999999999999</v>
      </c>
      <c r="BS30" s="82">
        <v>22.1</v>
      </c>
      <c r="BT30" s="83">
        <v>22.2</v>
      </c>
      <c r="BU30" s="41"/>
      <c r="BV30" s="87" t="s">
        <v>135</v>
      </c>
      <c r="BW30" s="86">
        <v>90</v>
      </c>
      <c r="BX30" s="5">
        <v>11.7</v>
      </c>
      <c r="BY30" s="77">
        <v>11.8</v>
      </c>
      <c r="BZ30" s="78">
        <f t="shared" si="53"/>
        <v>12.7</v>
      </c>
      <c r="CA30" s="79">
        <v>12.8</v>
      </c>
      <c r="CB30" s="80">
        <v>20.100000000000001</v>
      </c>
      <c r="CC30" s="92">
        <f t="shared" si="54"/>
        <v>20.2</v>
      </c>
      <c r="CD30" s="82">
        <v>24</v>
      </c>
      <c r="CE30" s="83" t="s">
        <v>136</v>
      </c>
      <c r="CF30" s="63"/>
      <c r="CG30" s="91" t="str">
        <f t="shared" si="19"/>
        <v/>
      </c>
      <c r="CH30" s="91"/>
      <c r="CI30" s="91" t="str">
        <f t="shared" si="20"/>
        <v/>
      </c>
      <c r="CJ30" s="91"/>
      <c r="CK30" s="91" t="str">
        <f t="shared" si="21"/>
        <v/>
      </c>
      <c r="CL30" s="91" t="str">
        <f t="shared" si="22"/>
        <v/>
      </c>
      <c r="CM30" s="91" t="str">
        <f t="shared" si="23"/>
        <v/>
      </c>
      <c r="CN30" s="91" t="str">
        <f t="shared" si="24"/>
        <v/>
      </c>
      <c r="CO30" s="91" t="str">
        <f t="shared" si="25"/>
        <v/>
      </c>
      <c r="CP30" s="91" t="str">
        <f t="shared" si="26"/>
        <v/>
      </c>
      <c r="CQ30" s="91" t="str">
        <f t="shared" si="27"/>
        <v/>
      </c>
      <c r="CR30" s="91" t="str">
        <f t="shared" si="28"/>
        <v/>
      </c>
      <c r="CS30" s="91" t="str">
        <f t="shared" si="29"/>
        <v/>
      </c>
      <c r="CT30" s="91" t="str">
        <f t="shared" si="30"/>
        <v/>
      </c>
      <c r="CV30" s="94"/>
      <c r="CW30" s="95">
        <v>18</v>
      </c>
      <c r="CX30" s="96">
        <f t="shared" si="55"/>
        <v>7.8</v>
      </c>
      <c r="CY30" s="97">
        <v>7.9</v>
      </c>
      <c r="CZ30" s="96">
        <f t="shared" si="56"/>
        <v>8.6999999999999993</v>
      </c>
      <c r="DA30" s="97">
        <v>8.8000000000000007</v>
      </c>
      <c r="DB30" s="97">
        <v>13.7</v>
      </c>
      <c r="DC30" s="96">
        <f t="shared" si="57"/>
        <v>13.8</v>
      </c>
      <c r="DD30" s="41"/>
      <c r="DE30" s="41"/>
      <c r="DF30" s="41"/>
      <c r="DG30" s="94"/>
      <c r="DH30" s="96">
        <f t="shared" si="58"/>
        <v>7.2</v>
      </c>
      <c r="DI30" s="97">
        <v>7.3</v>
      </c>
      <c r="DJ30" s="96">
        <f t="shared" si="59"/>
        <v>8</v>
      </c>
      <c r="DK30" s="97">
        <v>8.1</v>
      </c>
      <c r="DL30" s="97">
        <v>13.2</v>
      </c>
      <c r="DM30" s="96">
        <f t="shared" si="60"/>
        <v>13.3</v>
      </c>
      <c r="DN30" s="106">
        <v>13.3</v>
      </c>
      <c r="DO30" s="41"/>
      <c r="DP30" s="66" t="str">
        <f t="shared" si="31"/>
        <v/>
      </c>
      <c r="DQ30" s="60" t="str">
        <f t="shared" si="32"/>
        <v/>
      </c>
      <c r="DR30" s="60" t="str">
        <f t="shared" si="33"/>
        <v/>
      </c>
      <c r="DS30" s="60" t="str">
        <f t="shared" si="34"/>
        <v/>
      </c>
      <c r="DV30" s="115" t="s">
        <v>137</v>
      </c>
      <c r="DW30" s="112">
        <v>55</v>
      </c>
      <c r="DX30" s="113" t="s">
        <v>138</v>
      </c>
      <c r="DY30" s="129">
        <v>93.9</v>
      </c>
      <c r="DZ30" s="135">
        <v>98.2</v>
      </c>
      <c r="EA30" s="129">
        <v>98.3</v>
      </c>
      <c r="EB30" s="136">
        <v>116.1</v>
      </c>
      <c r="EC30" s="132">
        <v>116.2</v>
      </c>
      <c r="EE30" s="138" t="s">
        <v>137</v>
      </c>
      <c r="EF30" s="134">
        <v>55</v>
      </c>
      <c r="EG30" s="168">
        <v>92.9</v>
      </c>
      <c r="EH30" s="165">
        <v>93</v>
      </c>
      <c r="EI30" s="169">
        <v>97.5</v>
      </c>
      <c r="EJ30" s="165">
        <v>97.6</v>
      </c>
      <c r="EK30" s="168">
        <v>115.9</v>
      </c>
      <c r="EL30" s="167">
        <v>116</v>
      </c>
      <c r="EN30" s="154" t="str">
        <f t="shared" si="35"/>
        <v/>
      </c>
      <c r="EO30" s="154" t="e">
        <f t="shared" si="36"/>
        <v>#N/A</v>
      </c>
      <c r="EP30" s="154" t="e">
        <f t="shared" si="37"/>
        <v>#N/A</v>
      </c>
      <c r="EQ30" s="154" t="e">
        <f t="shared" si="38"/>
        <v>#N/A</v>
      </c>
      <c r="ES30" s="154" t="e">
        <f t="shared" si="39"/>
        <v>#N/A</v>
      </c>
      <c r="ET30" s="154" t="e">
        <f t="shared" si="40"/>
        <v>#N/A</v>
      </c>
      <c r="EU30" s="154" t="e">
        <f t="shared" si="41"/>
        <v>#N/A</v>
      </c>
      <c r="EW30" s="60">
        <f t="shared" si="42"/>
        <v>0</v>
      </c>
      <c r="EX30" s="60">
        <f t="shared" si="43"/>
        <v>0</v>
      </c>
      <c r="EY30" s="60">
        <f t="shared" si="44"/>
        <v>0</v>
      </c>
      <c r="EZ30" s="60">
        <f t="shared" si="45"/>
        <v>0</v>
      </c>
      <c r="FA30" s="60">
        <f t="shared" si="46"/>
        <v>0</v>
      </c>
      <c r="FB30" s="60">
        <f t="shared" si="47"/>
        <v>0</v>
      </c>
      <c r="FC30" s="60">
        <f t="shared" si="48"/>
        <v>0</v>
      </c>
      <c r="FD30" s="60">
        <f t="shared" si="49"/>
        <v>0</v>
      </c>
    </row>
    <row r="31" spans="1:160" ht="10.5" customHeight="1">
      <c r="A31" s="8" t="str">
        <f t="shared" si="50"/>
        <v/>
      </c>
      <c r="B31" s="9" t="str">
        <f t="shared" si="0"/>
        <v/>
      </c>
      <c r="C31" s="18"/>
      <c r="D31" s="16"/>
      <c r="E31" s="17"/>
      <c r="F31" s="17"/>
      <c r="G31" s="13"/>
      <c r="H31" s="14" t="str">
        <f t="shared" si="1"/>
        <v/>
      </c>
      <c r="I31" s="8" t="str">
        <f t="shared" si="2"/>
        <v/>
      </c>
      <c r="J31" s="9" t="str">
        <f t="shared" si="3"/>
        <v/>
      </c>
      <c r="K31" s="32" t="str">
        <f t="shared" si="4"/>
        <v/>
      </c>
      <c r="L31" s="33" t="str">
        <f t="shared" si="5"/>
        <v/>
      </c>
      <c r="M31" s="34" t="str">
        <f t="shared" si="6"/>
        <v/>
      </c>
      <c r="N31" s="35" t="str">
        <f t="shared" si="7"/>
        <v/>
      </c>
      <c r="O31" s="36"/>
      <c r="P31" s="36"/>
      <c r="Q31" s="36"/>
      <c r="R31" s="36"/>
      <c r="S31" s="36"/>
      <c r="T31" s="36"/>
      <c r="U31" s="36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53"/>
      <c r="AS31" s="53"/>
      <c r="AT31" s="53"/>
      <c r="AW31" s="5"/>
      <c r="AX31" s="5"/>
      <c r="AY31" s="60" t="str">
        <f t="shared" si="8"/>
        <v/>
      </c>
      <c r="AZ31" s="60" t="str">
        <f t="shared" si="9"/>
        <v/>
      </c>
      <c r="BA31" s="61" t="str">
        <f t="shared" si="10"/>
        <v/>
      </c>
      <c r="BB31" s="61" t="str">
        <f t="shared" si="11"/>
        <v/>
      </c>
      <c r="BC31" s="61" t="str">
        <f t="shared" si="12"/>
        <v/>
      </c>
      <c r="BD31" s="61" t="str">
        <f t="shared" si="13"/>
        <v/>
      </c>
      <c r="BE31" s="64" t="str">
        <f t="shared" si="14"/>
        <v/>
      </c>
      <c r="BF31" s="64" t="str">
        <f t="shared" si="15"/>
        <v/>
      </c>
      <c r="BG31" s="64" t="str">
        <f t="shared" si="16"/>
        <v/>
      </c>
      <c r="BH31" s="64" t="str">
        <f t="shared" si="17"/>
        <v/>
      </c>
      <c r="BI31" s="65"/>
      <c r="BJ31" s="66" t="str">
        <f t="shared" si="18"/>
        <v/>
      </c>
      <c r="BK31" s="71" t="s">
        <v>139</v>
      </c>
      <c r="BL31" s="70">
        <v>91</v>
      </c>
      <c r="BM31" s="5">
        <v>12.2</v>
      </c>
      <c r="BN31" s="77">
        <v>12.3</v>
      </c>
      <c r="BO31" s="78">
        <f t="shared" si="51"/>
        <v>13.1</v>
      </c>
      <c r="BP31" s="79">
        <v>13.2</v>
      </c>
      <c r="BQ31" s="80">
        <v>19.399999999999999</v>
      </c>
      <c r="BR31" s="81">
        <f t="shared" si="52"/>
        <v>19.5</v>
      </c>
      <c r="BS31" s="82">
        <v>22.2</v>
      </c>
      <c r="BT31" s="83">
        <v>22.3</v>
      </c>
      <c r="BU31" s="41"/>
      <c r="BV31" s="87" t="s">
        <v>139</v>
      </c>
      <c r="BW31" s="86">
        <v>91</v>
      </c>
      <c r="BX31" s="5">
        <v>11.7</v>
      </c>
      <c r="BY31" s="88">
        <v>11.8</v>
      </c>
      <c r="BZ31" s="78">
        <f t="shared" si="53"/>
        <v>12.7</v>
      </c>
      <c r="CA31" s="89">
        <v>12.8</v>
      </c>
      <c r="CB31" s="90">
        <v>20.2</v>
      </c>
      <c r="CC31" s="92">
        <f t="shared" si="54"/>
        <v>20.3</v>
      </c>
      <c r="CD31" s="93">
        <v>24.1</v>
      </c>
      <c r="CE31" s="83" t="s">
        <v>140</v>
      </c>
      <c r="CF31" s="5"/>
      <c r="CG31" s="91" t="str">
        <f t="shared" si="19"/>
        <v/>
      </c>
      <c r="CH31" s="91"/>
      <c r="CI31" s="91" t="str">
        <f t="shared" si="20"/>
        <v/>
      </c>
      <c r="CJ31" s="91"/>
      <c r="CK31" s="91" t="str">
        <f t="shared" si="21"/>
        <v/>
      </c>
      <c r="CL31" s="91" t="str">
        <f t="shared" si="22"/>
        <v/>
      </c>
      <c r="CM31" s="91" t="str">
        <f t="shared" si="23"/>
        <v/>
      </c>
      <c r="CN31" s="91" t="str">
        <f t="shared" si="24"/>
        <v/>
      </c>
      <c r="CO31" s="91" t="str">
        <f t="shared" si="25"/>
        <v/>
      </c>
      <c r="CP31" s="91" t="str">
        <f t="shared" si="26"/>
        <v/>
      </c>
      <c r="CQ31" s="91" t="str">
        <f t="shared" si="27"/>
        <v/>
      </c>
      <c r="CR31" s="91" t="str">
        <f t="shared" si="28"/>
        <v/>
      </c>
      <c r="CS31" s="91" t="str">
        <f t="shared" si="29"/>
        <v/>
      </c>
      <c r="CT31" s="91" t="str">
        <f t="shared" si="30"/>
        <v/>
      </c>
      <c r="CV31" s="94"/>
      <c r="CW31" s="95">
        <v>19</v>
      </c>
      <c r="CX31" s="96">
        <f t="shared" si="55"/>
        <v>8</v>
      </c>
      <c r="CY31" s="97">
        <v>8.1</v>
      </c>
      <c r="CZ31" s="96">
        <f t="shared" si="56"/>
        <v>8.8000000000000007</v>
      </c>
      <c r="DA31" s="97">
        <v>8.9</v>
      </c>
      <c r="DB31" s="97">
        <v>13.9</v>
      </c>
      <c r="DC31" s="96">
        <f t="shared" si="57"/>
        <v>14</v>
      </c>
      <c r="DD31" s="41"/>
      <c r="DE31" s="41"/>
      <c r="DF31" s="41"/>
      <c r="DG31" s="94"/>
      <c r="DH31" s="96">
        <f t="shared" si="58"/>
        <v>7.3</v>
      </c>
      <c r="DI31" s="97">
        <v>7.4</v>
      </c>
      <c r="DJ31" s="96">
        <f t="shared" si="59"/>
        <v>8.1</v>
      </c>
      <c r="DK31" s="97">
        <v>8.1999999999999993</v>
      </c>
      <c r="DL31" s="97">
        <v>13.5</v>
      </c>
      <c r="DM31" s="96">
        <f t="shared" si="60"/>
        <v>13.6</v>
      </c>
      <c r="DN31" s="106">
        <v>13.6</v>
      </c>
      <c r="DO31" s="41"/>
      <c r="DP31" s="66" t="str">
        <f t="shared" si="31"/>
        <v/>
      </c>
      <c r="DQ31" s="60" t="str">
        <f t="shared" si="32"/>
        <v/>
      </c>
      <c r="DR31" s="60" t="str">
        <f t="shared" si="33"/>
        <v/>
      </c>
      <c r="DS31" s="60" t="str">
        <f t="shared" si="34"/>
        <v/>
      </c>
      <c r="DV31" s="115" t="s">
        <v>141</v>
      </c>
      <c r="DW31" s="112">
        <v>56</v>
      </c>
      <c r="DX31" s="113" t="s">
        <v>142</v>
      </c>
      <c r="DY31" s="129">
        <v>94.3</v>
      </c>
      <c r="DZ31" s="135">
        <v>98.7</v>
      </c>
      <c r="EA31" s="129">
        <v>98.8</v>
      </c>
      <c r="EB31" s="136">
        <v>116.7</v>
      </c>
      <c r="EC31" s="132">
        <v>116.8</v>
      </c>
      <c r="EE31" s="138" t="s">
        <v>141</v>
      </c>
      <c r="EF31" s="134">
        <v>56</v>
      </c>
      <c r="EG31" s="168">
        <v>93.3</v>
      </c>
      <c r="EH31" s="165">
        <v>93.4</v>
      </c>
      <c r="EI31" s="169">
        <v>98</v>
      </c>
      <c r="EJ31" s="165">
        <v>98.1</v>
      </c>
      <c r="EK31" s="168">
        <v>116.5</v>
      </c>
      <c r="EL31" s="167">
        <v>116.6</v>
      </c>
      <c r="EN31" s="154" t="str">
        <f t="shared" si="35"/>
        <v/>
      </c>
      <c r="EO31" s="154" t="e">
        <f t="shared" si="36"/>
        <v>#N/A</v>
      </c>
      <c r="EP31" s="154" t="e">
        <f t="shared" si="37"/>
        <v>#N/A</v>
      </c>
      <c r="EQ31" s="154" t="e">
        <f t="shared" si="38"/>
        <v>#N/A</v>
      </c>
      <c r="ES31" s="154" t="e">
        <f t="shared" si="39"/>
        <v>#N/A</v>
      </c>
      <c r="ET31" s="154" t="e">
        <f t="shared" si="40"/>
        <v>#N/A</v>
      </c>
      <c r="EU31" s="154" t="e">
        <f t="shared" si="41"/>
        <v>#N/A</v>
      </c>
      <c r="EW31" s="60">
        <f t="shared" si="42"/>
        <v>0</v>
      </c>
      <c r="EX31" s="60">
        <f t="shared" si="43"/>
        <v>0</v>
      </c>
      <c r="EY31" s="60">
        <f t="shared" si="44"/>
        <v>0</v>
      </c>
      <c r="EZ31" s="60">
        <f t="shared" si="45"/>
        <v>0</v>
      </c>
      <c r="FA31" s="60">
        <f t="shared" si="46"/>
        <v>0</v>
      </c>
      <c r="FB31" s="60">
        <f t="shared" si="47"/>
        <v>0</v>
      </c>
      <c r="FC31" s="60">
        <f t="shared" si="48"/>
        <v>0</v>
      </c>
      <c r="FD31" s="60">
        <f t="shared" si="49"/>
        <v>0</v>
      </c>
    </row>
    <row r="32" spans="1:160" ht="10.5" customHeight="1">
      <c r="A32" s="8" t="str">
        <f t="shared" si="50"/>
        <v/>
      </c>
      <c r="B32" s="9" t="str">
        <f t="shared" si="0"/>
        <v/>
      </c>
      <c r="C32" s="18"/>
      <c r="D32" s="16"/>
      <c r="E32" s="17"/>
      <c r="F32" s="17"/>
      <c r="G32" s="13"/>
      <c r="H32" s="14" t="str">
        <f t="shared" si="1"/>
        <v/>
      </c>
      <c r="I32" s="8" t="str">
        <f t="shared" si="2"/>
        <v/>
      </c>
      <c r="J32" s="9" t="str">
        <f t="shared" si="3"/>
        <v/>
      </c>
      <c r="K32" s="32" t="str">
        <f t="shared" si="4"/>
        <v/>
      </c>
      <c r="L32" s="33" t="str">
        <f t="shared" si="5"/>
        <v/>
      </c>
      <c r="M32" s="34" t="str">
        <f t="shared" si="6"/>
        <v/>
      </c>
      <c r="N32" s="35" t="str">
        <f t="shared" si="7"/>
        <v/>
      </c>
      <c r="O32" s="36"/>
      <c r="P32" s="36"/>
      <c r="Q32" s="36"/>
      <c r="R32" s="36"/>
      <c r="S32" s="36"/>
      <c r="T32" s="36"/>
      <c r="U32" s="36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53"/>
      <c r="AS32" s="53"/>
      <c r="AT32" s="53"/>
      <c r="AW32" s="5"/>
      <c r="AX32" s="5"/>
      <c r="AY32" s="60" t="str">
        <f t="shared" si="8"/>
        <v/>
      </c>
      <c r="AZ32" s="60" t="str">
        <f t="shared" si="9"/>
        <v/>
      </c>
      <c r="BA32" s="61" t="str">
        <f t="shared" si="10"/>
        <v/>
      </c>
      <c r="BB32" s="61" t="str">
        <f t="shared" si="11"/>
        <v/>
      </c>
      <c r="BC32" s="61" t="str">
        <f t="shared" si="12"/>
        <v/>
      </c>
      <c r="BD32" s="61" t="str">
        <f t="shared" si="13"/>
        <v/>
      </c>
      <c r="BE32" s="64" t="str">
        <f t="shared" si="14"/>
        <v/>
      </c>
      <c r="BF32" s="64" t="str">
        <f t="shared" si="15"/>
        <v/>
      </c>
      <c r="BG32" s="64" t="str">
        <f t="shared" si="16"/>
        <v/>
      </c>
      <c r="BH32" s="64" t="str">
        <f t="shared" si="17"/>
        <v/>
      </c>
      <c r="BI32" s="65"/>
      <c r="BJ32" s="66" t="str">
        <f t="shared" si="18"/>
        <v/>
      </c>
      <c r="BK32" s="71" t="s">
        <v>143</v>
      </c>
      <c r="BL32" s="70">
        <v>92</v>
      </c>
      <c r="BM32" s="5">
        <v>12.2</v>
      </c>
      <c r="BN32" s="77">
        <v>12.3</v>
      </c>
      <c r="BO32" s="78">
        <f t="shared" si="51"/>
        <v>13.1</v>
      </c>
      <c r="BP32" s="79">
        <v>13.2</v>
      </c>
      <c r="BQ32" s="80">
        <v>19.399999999999999</v>
      </c>
      <c r="BR32" s="81">
        <f t="shared" si="52"/>
        <v>19.5</v>
      </c>
      <c r="BS32" s="82">
        <v>22.4</v>
      </c>
      <c r="BT32" s="83">
        <v>22.5</v>
      </c>
      <c r="BU32" s="41"/>
      <c r="BV32" s="87" t="s">
        <v>143</v>
      </c>
      <c r="BW32" s="86">
        <v>92</v>
      </c>
      <c r="BX32" s="5">
        <v>11.7</v>
      </c>
      <c r="BY32" s="88">
        <v>11.8</v>
      </c>
      <c r="BZ32" s="78">
        <f t="shared" si="53"/>
        <v>12.7</v>
      </c>
      <c r="CA32" s="89">
        <v>12.8</v>
      </c>
      <c r="CB32" s="90">
        <v>20.3</v>
      </c>
      <c r="CC32" s="92">
        <f t="shared" si="54"/>
        <v>20.399999999999999</v>
      </c>
      <c r="CD32" s="93">
        <v>24.2</v>
      </c>
      <c r="CE32" s="83" t="s">
        <v>144</v>
      </c>
      <c r="CF32" s="5"/>
      <c r="CG32" s="91" t="str">
        <f t="shared" si="19"/>
        <v/>
      </c>
      <c r="CH32" s="91"/>
      <c r="CI32" s="91" t="str">
        <f t="shared" si="20"/>
        <v/>
      </c>
      <c r="CJ32" s="91"/>
      <c r="CK32" s="91" t="str">
        <f t="shared" si="21"/>
        <v/>
      </c>
      <c r="CL32" s="91" t="str">
        <f t="shared" si="22"/>
        <v/>
      </c>
      <c r="CM32" s="91" t="str">
        <f t="shared" si="23"/>
        <v/>
      </c>
      <c r="CN32" s="91" t="str">
        <f t="shared" si="24"/>
        <v/>
      </c>
      <c r="CO32" s="91" t="str">
        <f t="shared" si="25"/>
        <v/>
      </c>
      <c r="CP32" s="91" t="str">
        <f t="shared" si="26"/>
        <v/>
      </c>
      <c r="CQ32" s="91" t="str">
        <f t="shared" si="27"/>
        <v/>
      </c>
      <c r="CR32" s="91" t="str">
        <f t="shared" si="28"/>
        <v/>
      </c>
      <c r="CS32" s="91" t="str">
        <f t="shared" si="29"/>
        <v/>
      </c>
      <c r="CT32" s="91" t="str">
        <f t="shared" si="30"/>
        <v/>
      </c>
      <c r="CV32" s="94"/>
      <c r="CW32" s="95">
        <v>20</v>
      </c>
      <c r="CX32" s="96">
        <f t="shared" si="55"/>
        <v>8.1</v>
      </c>
      <c r="CY32" s="97">
        <v>8.1999999999999993</v>
      </c>
      <c r="CZ32" s="96">
        <f t="shared" si="56"/>
        <v>9</v>
      </c>
      <c r="DA32" s="97">
        <v>9.1</v>
      </c>
      <c r="DB32" s="97">
        <v>14.2</v>
      </c>
      <c r="DC32" s="96">
        <f t="shared" si="57"/>
        <v>14.3</v>
      </c>
      <c r="DD32" s="41"/>
      <c r="DE32" s="41"/>
      <c r="DF32" s="41"/>
      <c r="DG32" s="94"/>
      <c r="DH32" s="96">
        <f t="shared" si="58"/>
        <v>7.5</v>
      </c>
      <c r="DI32" s="97">
        <v>7.6</v>
      </c>
      <c r="DJ32" s="96">
        <f t="shared" si="59"/>
        <v>8.3000000000000007</v>
      </c>
      <c r="DK32" s="97">
        <v>8.4</v>
      </c>
      <c r="DL32" s="97">
        <v>13.7</v>
      </c>
      <c r="DM32" s="96">
        <f t="shared" si="60"/>
        <v>13.8</v>
      </c>
      <c r="DN32" s="106">
        <v>13.8</v>
      </c>
      <c r="DO32" s="41"/>
      <c r="DP32" s="66" t="str">
        <f t="shared" si="31"/>
        <v/>
      </c>
      <c r="DQ32" s="60" t="str">
        <f t="shared" si="32"/>
        <v/>
      </c>
      <c r="DR32" s="60" t="str">
        <f t="shared" si="33"/>
        <v/>
      </c>
      <c r="DS32" s="60" t="str">
        <f t="shared" si="34"/>
        <v/>
      </c>
      <c r="DV32" s="115" t="s">
        <v>145</v>
      </c>
      <c r="DW32" s="112">
        <v>57</v>
      </c>
      <c r="DX32" s="113" t="s">
        <v>146</v>
      </c>
      <c r="DY32" s="129">
        <v>94.7</v>
      </c>
      <c r="DZ32" s="135">
        <v>99.2</v>
      </c>
      <c r="EA32" s="129">
        <v>99.3</v>
      </c>
      <c r="EB32" s="136">
        <v>117.4</v>
      </c>
      <c r="EC32" s="132">
        <v>117.5</v>
      </c>
      <c r="EE32" s="138" t="s">
        <v>145</v>
      </c>
      <c r="EF32" s="134">
        <v>57</v>
      </c>
      <c r="EG32" s="168">
        <v>93.8</v>
      </c>
      <c r="EH32" s="165">
        <v>93.9</v>
      </c>
      <c r="EI32" s="169">
        <v>98.4</v>
      </c>
      <c r="EJ32" s="165">
        <v>98.5</v>
      </c>
      <c r="EK32" s="168">
        <v>117.1</v>
      </c>
      <c r="EL32" s="167">
        <v>117.2</v>
      </c>
      <c r="EN32" s="154" t="str">
        <f t="shared" si="35"/>
        <v/>
      </c>
      <c r="EO32" s="154" t="e">
        <f t="shared" si="36"/>
        <v>#N/A</v>
      </c>
      <c r="EP32" s="154" t="e">
        <f t="shared" si="37"/>
        <v>#N/A</v>
      </c>
      <c r="EQ32" s="154" t="e">
        <f t="shared" si="38"/>
        <v>#N/A</v>
      </c>
      <c r="ES32" s="154" t="e">
        <f t="shared" si="39"/>
        <v>#N/A</v>
      </c>
      <c r="ET32" s="154" t="e">
        <f t="shared" si="40"/>
        <v>#N/A</v>
      </c>
      <c r="EU32" s="154" t="e">
        <f t="shared" si="41"/>
        <v>#N/A</v>
      </c>
      <c r="EW32" s="60">
        <f t="shared" si="42"/>
        <v>0</v>
      </c>
      <c r="EX32" s="60">
        <f t="shared" si="43"/>
        <v>0</v>
      </c>
      <c r="EY32" s="60">
        <f t="shared" si="44"/>
        <v>0</v>
      </c>
      <c r="EZ32" s="60">
        <f t="shared" si="45"/>
        <v>0</v>
      </c>
      <c r="FA32" s="60">
        <f t="shared" si="46"/>
        <v>0</v>
      </c>
      <c r="FB32" s="60">
        <f t="shared" si="47"/>
        <v>0</v>
      </c>
      <c r="FC32" s="60">
        <f t="shared" si="48"/>
        <v>0</v>
      </c>
      <c r="FD32" s="60">
        <f t="shared" si="49"/>
        <v>0</v>
      </c>
    </row>
    <row r="33" spans="1:160" ht="10.5" customHeight="1">
      <c r="A33" s="8" t="str">
        <f t="shared" si="50"/>
        <v/>
      </c>
      <c r="B33" s="9" t="str">
        <f t="shared" si="0"/>
        <v/>
      </c>
      <c r="C33" s="18"/>
      <c r="D33" s="16"/>
      <c r="E33" s="17"/>
      <c r="F33" s="17"/>
      <c r="G33" s="13"/>
      <c r="H33" s="14" t="str">
        <f t="shared" si="1"/>
        <v/>
      </c>
      <c r="I33" s="8" t="str">
        <f t="shared" si="2"/>
        <v/>
      </c>
      <c r="J33" s="9" t="str">
        <f t="shared" si="3"/>
        <v/>
      </c>
      <c r="K33" s="32" t="str">
        <f t="shared" si="4"/>
        <v/>
      </c>
      <c r="L33" s="33" t="str">
        <f t="shared" si="5"/>
        <v/>
      </c>
      <c r="M33" s="34" t="str">
        <f t="shared" si="6"/>
        <v/>
      </c>
      <c r="N33" s="35" t="str">
        <f t="shared" si="7"/>
        <v/>
      </c>
      <c r="O33" s="36"/>
      <c r="P33" s="36"/>
      <c r="Q33" s="36"/>
      <c r="R33" s="36"/>
      <c r="S33" s="36"/>
      <c r="T33" s="36"/>
      <c r="U33" s="36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53"/>
      <c r="AS33" s="53"/>
      <c r="AT33" s="53"/>
      <c r="AW33" s="5"/>
      <c r="AX33" s="5"/>
      <c r="AY33" s="60" t="str">
        <f t="shared" si="8"/>
        <v/>
      </c>
      <c r="AZ33" s="60" t="str">
        <f t="shared" si="9"/>
        <v/>
      </c>
      <c r="BA33" s="61" t="str">
        <f t="shared" si="10"/>
        <v/>
      </c>
      <c r="BB33" s="61" t="str">
        <f t="shared" si="11"/>
        <v/>
      </c>
      <c r="BC33" s="61" t="str">
        <f t="shared" si="12"/>
        <v/>
      </c>
      <c r="BD33" s="61" t="str">
        <f t="shared" si="13"/>
        <v/>
      </c>
      <c r="BE33" s="64" t="str">
        <f t="shared" si="14"/>
        <v/>
      </c>
      <c r="BF33" s="64" t="str">
        <f t="shared" si="15"/>
        <v/>
      </c>
      <c r="BG33" s="64" t="str">
        <f t="shared" si="16"/>
        <v/>
      </c>
      <c r="BH33" s="64" t="str">
        <f t="shared" si="17"/>
        <v/>
      </c>
      <c r="BI33" s="65"/>
      <c r="BJ33" s="66" t="str">
        <f t="shared" si="18"/>
        <v/>
      </c>
      <c r="BK33" s="71" t="s">
        <v>147</v>
      </c>
      <c r="BL33" s="70">
        <v>93</v>
      </c>
      <c r="BM33" s="5">
        <v>12.3</v>
      </c>
      <c r="BN33" s="77">
        <v>12.4</v>
      </c>
      <c r="BO33" s="78">
        <f t="shared" si="51"/>
        <v>13.2</v>
      </c>
      <c r="BP33" s="79">
        <v>13.3</v>
      </c>
      <c r="BQ33" s="80">
        <v>19.5</v>
      </c>
      <c r="BR33" s="81">
        <f t="shared" si="52"/>
        <v>19.600000000000001</v>
      </c>
      <c r="BS33" s="82">
        <v>22.5</v>
      </c>
      <c r="BT33" s="83">
        <v>22.6</v>
      </c>
      <c r="BU33" s="41"/>
      <c r="BV33" s="87" t="s">
        <v>147</v>
      </c>
      <c r="BW33" s="86">
        <v>93</v>
      </c>
      <c r="BX33" s="5">
        <v>11.7</v>
      </c>
      <c r="BY33" s="88">
        <v>11.8</v>
      </c>
      <c r="BZ33" s="78">
        <f t="shared" si="53"/>
        <v>12.7</v>
      </c>
      <c r="CA33" s="89">
        <v>12.8</v>
      </c>
      <c r="CB33" s="90">
        <v>20.3</v>
      </c>
      <c r="CC33" s="92">
        <f t="shared" si="54"/>
        <v>20.399999999999999</v>
      </c>
      <c r="CD33" s="93">
        <v>24.4</v>
      </c>
      <c r="CE33" s="83" t="s">
        <v>148</v>
      </c>
      <c r="CF33" s="5"/>
      <c r="CG33" s="91" t="str">
        <f t="shared" si="19"/>
        <v/>
      </c>
      <c r="CH33" s="91"/>
      <c r="CI33" s="91" t="str">
        <f t="shared" si="20"/>
        <v/>
      </c>
      <c r="CJ33" s="91"/>
      <c r="CK33" s="91" t="str">
        <f t="shared" si="21"/>
        <v/>
      </c>
      <c r="CL33" s="91" t="str">
        <f t="shared" si="22"/>
        <v/>
      </c>
      <c r="CM33" s="91" t="str">
        <f t="shared" si="23"/>
        <v/>
      </c>
      <c r="CN33" s="91" t="str">
        <f t="shared" si="24"/>
        <v/>
      </c>
      <c r="CO33" s="91" t="str">
        <f t="shared" si="25"/>
        <v/>
      </c>
      <c r="CP33" s="91" t="str">
        <f t="shared" si="26"/>
        <v/>
      </c>
      <c r="CQ33" s="91" t="str">
        <f t="shared" si="27"/>
        <v/>
      </c>
      <c r="CR33" s="91" t="str">
        <f t="shared" si="28"/>
        <v/>
      </c>
      <c r="CS33" s="91" t="str">
        <f t="shared" si="29"/>
        <v/>
      </c>
      <c r="CT33" s="91" t="str">
        <f t="shared" si="30"/>
        <v/>
      </c>
      <c r="CV33" s="94"/>
      <c r="CW33" s="95">
        <v>21</v>
      </c>
      <c r="CX33" s="96">
        <f t="shared" si="55"/>
        <v>8.1999999999999993</v>
      </c>
      <c r="CY33" s="97">
        <v>8.3000000000000007</v>
      </c>
      <c r="CZ33" s="96">
        <f t="shared" si="56"/>
        <v>9.1</v>
      </c>
      <c r="DA33" s="97">
        <v>9.1999999999999993</v>
      </c>
      <c r="DB33" s="97">
        <v>14.5</v>
      </c>
      <c r="DC33" s="96">
        <f t="shared" si="57"/>
        <v>14.6</v>
      </c>
      <c r="DD33" s="41"/>
      <c r="DE33" s="41"/>
      <c r="DF33" s="41"/>
      <c r="DG33" s="94"/>
      <c r="DH33" s="96">
        <f t="shared" si="58"/>
        <v>7.6</v>
      </c>
      <c r="DI33" s="97">
        <v>7.7</v>
      </c>
      <c r="DJ33" s="96">
        <f t="shared" si="59"/>
        <v>8.5</v>
      </c>
      <c r="DK33" s="97">
        <v>8.6</v>
      </c>
      <c r="DL33" s="97">
        <v>14</v>
      </c>
      <c r="DM33" s="96">
        <f t="shared" si="60"/>
        <v>14.1</v>
      </c>
      <c r="DN33" s="106">
        <v>14.1</v>
      </c>
      <c r="DO33" s="41"/>
      <c r="DP33" s="66" t="str">
        <f t="shared" si="31"/>
        <v/>
      </c>
      <c r="DQ33" s="60" t="str">
        <f t="shared" si="32"/>
        <v/>
      </c>
      <c r="DR33" s="60" t="str">
        <f t="shared" si="33"/>
        <v/>
      </c>
      <c r="DS33" s="60" t="str">
        <f t="shared" si="34"/>
        <v/>
      </c>
      <c r="DV33" s="115" t="s">
        <v>149</v>
      </c>
      <c r="DW33" s="112">
        <v>58</v>
      </c>
      <c r="DX33" s="113" t="s">
        <v>150</v>
      </c>
      <c r="DY33" s="129">
        <v>95.2</v>
      </c>
      <c r="DZ33" s="135">
        <v>99.6</v>
      </c>
      <c r="EA33" s="129">
        <v>99.7</v>
      </c>
      <c r="EB33" s="136">
        <v>118</v>
      </c>
      <c r="EC33" s="132">
        <v>118.1</v>
      </c>
      <c r="EE33" s="138" t="s">
        <v>149</v>
      </c>
      <c r="EF33" s="134">
        <v>58</v>
      </c>
      <c r="EG33" s="168">
        <v>94.2</v>
      </c>
      <c r="EH33" s="165">
        <v>94.3</v>
      </c>
      <c r="EI33" s="169">
        <v>98.9</v>
      </c>
      <c r="EJ33" s="165">
        <v>99</v>
      </c>
      <c r="EK33" s="168">
        <v>117.7</v>
      </c>
      <c r="EL33" s="167">
        <v>117.8</v>
      </c>
      <c r="EN33" s="154" t="str">
        <f t="shared" si="35"/>
        <v/>
      </c>
      <c r="EO33" s="154" t="e">
        <f t="shared" si="36"/>
        <v>#N/A</v>
      </c>
      <c r="EP33" s="154" t="e">
        <f t="shared" si="37"/>
        <v>#N/A</v>
      </c>
      <c r="EQ33" s="154" t="e">
        <f t="shared" si="38"/>
        <v>#N/A</v>
      </c>
      <c r="ES33" s="154" t="e">
        <f t="shared" si="39"/>
        <v>#N/A</v>
      </c>
      <c r="ET33" s="154" t="e">
        <f t="shared" si="40"/>
        <v>#N/A</v>
      </c>
      <c r="EU33" s="154" t="e">
        <f t="shared" si="41"/>
        <v>#N/A</v>
      </c>
      <c r="EW33" s="60">
        <f t="shared" si="42"/>
        <v>0</v>
      </c>
      <c r="EX33" s="60">
        <f t="shared" si="43"/>
        <v>0</v>
      </c>
      <c r="EY33" s="60">
        <f t="shared" si="44"/>
        <v>0</v>
      </c>
      <c r="EZ33" s="60">
        <f t="shared" si="45"/>
        <v>0</v>
      </c>
      <c r="FA33" s="60">
        <f t="shared" si="46"/>
        <v>0</v>
      </c>
      <c r="FB33" s="60">
        <f t="shared" si="47"/>
        <v>0</v>
      </c>
      <c r="FC33" s="60">
        <f t="shared" si="48"/>
        <v>0</v>
      </c>
      <c r="FD33" s="60">
        <f t="shared" si="49"/>
        <v>0</v>
      </c>
    </row>
    <row r="34" spans="1:160" ht="10.5" customHeight="1">
      <c r="A34" s="8" t="str">
        <f t="shared" si="50"/>
        <v/>
      </c>
      <c r="B34" s="9" t="str">
        <f t="shared" si="0"/>
        <v/>
      </c>
      <c r="C34" s="18"/>
      <c r="D34" s="16"/>
      <c r="E34" s="17"/>
      <c r="F34" s="17"/>
      <c r="G34" s="13"/>
      <c r="H34" s="14" t="str">
        <f t="shared" si="1"/>
        <v/>
      </c>
      <c r="I34" s="8" t="str">
        <f t="shared" si="2"/>
        <v/>
      </c>
      <c r="J34" s="9" t="str">
        <f t="shared" si="3"/>
        <v/>
      </c>
      <c r="K34" s="32" t="str">
        <f t="shared" si="4"/>
        <v/>
      </c>
      <c r="L34" s="33" t="str">
        <f t="shared" si="5"/>
        <v/>
      </c>
      <c r="M34" s="34" t="str">
        <f t="shared" si="6"/>
        <v/>
      </c>
      <c r="N34" s="35" t="str">
        <f t="shared" si="7"/>
        <v/>
      </c>
      <c r="O34" s="36"/>
      <c r="P34" s="36"/>
      <c r="Q34" s="36"/>
      <c r="R34" s="36"/>
      <c r="S34" s="36"/>
      <c r="T34" s="36"/>
      <c r="U34" s="36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53"/>
      <c r="AS34" s="53"/>
      <c r="AT34" s="53"/>
      <c r="AW34" s="5"/>
      <c r="AX34" s="5"/>
      <c r="AY34" s="60" t="str">
        <f t="shared" si="8"/>
        <v/>
      </c>
      <c r="AZ34" s="60" t="str">
        <f t="shared" si="9"/>
        <v/>
      </c>
      <c r="BA34" s="61" t="str">
        <f t="shared" si="10"/>
        <v/>
      </c>
      <c r="BB34" s="61" t="str">
        <f t="shared" si="11"/>
        <v/>
      </c>
      <c r="BC34" s="61" t="str">
        <f t="shared" si="12"/>
        <v/>
      </c>
      <c r="BD34" s="61" t="str">
        <f t="shared" si="13"/>
        <v/>
      </c>
      <c r="BE34" s="64" t="str">
        <f t="shared" si="14"/>
        <v/>
      </c>
      <c r="BF34" s="64" t="str">
        <f t="shared" si="15"/>
        <v/>
      </c>
      <c r="BG34" s="64" t="str">
        <f t="shared" si="16"/>
        <v/>
      </c>
      <c r="BH34" s="64" t="str">
        <f t="shared" si="17"/>
        <v/>
      </c>
      <c r="BI34" s="65"/>
      <c r="BJ34" s="66" t="str">
        <f t="shared" si="18"/>
        <v/>
      </c>
      <c r="BK34" s="71" t="s">
        <v>151</v>
      </c>
      <c r="BL34" s="70">
        <v>94</v>
      </c>
      <c r="BM34" s="5">
        <v>12.3</v>
      </c>
      <c r="BN34" s="77">
        <v>12.4</v>
      </c>
      <c r="BO34" s="78">
        <f t="shared" si="51"/>
        <v>13.2</v>
      </c>
      <c r="BP34" s="79">
        <v>13.3</v>
      </c>
      <c r="BQ34" s="80">
        <v>19.600000000000001</v>
      </c>
      <c r="BR34" s="81">
        <f t="shared" si="52"/>
        <v>19.7</v>
      </c>
      <c r="BS34" s="82">
        <v>22.6</v>
      </c>
      <c r="BT34" s="83">
        <v>22.7</v>
      </c>
      <c r="BU34" s="41"/>
      <c r="BV34" s="87" t="s">
        <v>151</v>
      </c>
      <c r="BW34" s="86">
        <v>94</v>
      </c>
      <c r="BX34" s="5">
        <v>11.8</v>
      </c>
      <c r="BY34" s="88">
        <v>11.9</v>
      </c>
      <c r="BZ34" s="78">
        <f t="shared" si="53"/>
        <v>12.8</v>
      </c>
      <c r="CA34" s="89">
        <v>12.9</v>
      </c>
      <c r="CB34" s="90">
        <v>20.399999999999999</v>
      </c>
      <c r="CC34" s="92">
        <f t="shared" si="54"/>
        <v>20.5</v>
      </c>
      <c r="CD34" s="93">
        <v>24.5</v>
      </c>
      <c r="CE34" s="83" t="s">
        <v>152</v>
      </c>
      <c r="CF34" s="5"/>
      <c r="CG34" s="91" t="str">
        <f t="shared" si="19"/>
        <v/>
      </c>
      <c r="CH34" s="91"/>
      <c r="CI34" s="91" t="str">
        <f t="shared" si="20"/>
        <v/>
      </c>
      <c r="CJ34" s="91"/>
      <c r="CK34" s="91" t="str">
        <f t="shared" si="21"/>
        <v/>
      </c>
      <c r="CL34" s="91" t="str">
        <f t="shared" si="22"/>
        <v/>
      </c>
      <c r="CM34" s="91" t="str">
        <f t="shared" si="23"/>
        <v/>
      </c>
      <c r="CN34" s="91" t="str">
        <f t="shared" si="24"/>
        <v/>
      </c>
      <c r="CO34" s="91" t="str">
        <f t="shared" si="25"/>
        <v/>
      </c>
      <c r="CP34" s="91" t="str">
        <f t="shared" si="26"/>
        <v/>
      </c>
      <c r="CQ34" s="91" t="str">
        <f t="shared" si="27"/>
        <v/>
      </c>
      <c r="CR34" s="91" t="str">
        <f t="shared" si="28"/>
        <v/>
      </c>
      <c r="CS34" s="91" t="str">
        <f t="shared" si="29"/>
        <v/>
      </c>
      <c r="CT34" s="91" t="str">
        <f t="shared" si="30"/>
        <v/>
      </c>
      <c r="CV34" s="94"/>
      <c r="CW34" s="95">
        <v>22</v>
      </c>
      <c r="CX34" s="96">
        <f t="shared" si="55"/>
        <v>8.4</v>
      </c>
      <c r="CY34" s="97">
        <v>8.5</v>
      </c>
      <c r="CZ34" s="96">
        <f t="shared" si="56"/>
        <v>9.3000000000000007</v>
      </c>
      <c r="DA34" s="97">
        <v>9.4</v>
      </c>
      <c r="DB34" s="97">
        <v>14.7</v>
      </c>
      <c r="DC34" s="96">
        <f t="shared" si="57"/>
        <v>14.8</v>
      </c>
      <c r="DD34" s="41"/>
      <c r="DE34" s="41"/>
      <c r="DF34" s="41"/>
      <c r="DG34" s="94"/>
      <c r="DH34" s="96">
        <f t="shared" si="58"/>
        <v>7.8</v>
      </c>
      <c r="DI34" s="97">
        <v>7.9</v>
      </c>
      <c r="DJ34" s="96">
        <f t="shared" si="59"/>
        <v>8.6</v>
      </c>
      <c r="DK34" s="97">
        <v>8.6999999999999993</v>
      </c>
      <c r="DL34" s="97">
        <v>14.3</v>
      </c>
      <c r="DM34" s="96">
        <f t="shared" si="60"/>
        <v>14.4</v>
      </c>
      <c r="DN34" s="106">
        <v>14.4</v>
      </c>
      <c r="DO34" s="41"/>
      <c r="DP34" s="66" t="str">
        <f t="shared" si="31"/>
        <v/>
      </c>
      <c r="DQ34" s="60" t="str">
        <f t="shared" si="32"/>
        <v/>
      </c>
      <c r="DR34" s="60" t="str">
        <f t="shared" si="33"/>
        <v/>
      </c>
      <c r="DS34" s="60" t="str">
        <f t="shared" si="34"/>
        <v/>
      </c>
      <c r="DV34" s="115" t="s">
        <v>153</v>
      </c>
      <c r="DW34" s="112">
        <v>59</v>
      </c>
      <c r="DX34" s="113" t="s">
        <v>154</v>
      </c>
      <c r="DY34" s="129">
        <v>95.6</v>
      </c>
      <c r="DZ34" s="135">
        <v>100.1</v>
      </c>
      <c r="EA34" s="129">
        <v>100.2</v>
      </c>
      <c r="EB34" s="136">
        <v>118.6</v>
      </c>
      <c r="EC34" s="132">
        <v>118.7</v>
      </c>
      <c r="EE34" s="138" t="s">
        <v>153</v>
      </c>
      <c r="EF34" s="134">
        <v>59</v>
      </c>
      <c r="EG34" s="168">
        <v>94.6</v>
      </c>
      <c r="EH34" s="165">
        <v>94.7</v>
      </c>
      <c r="EI34" s="169">
        <v>99.4</v>
      </c>
      <c r="EJ34" s="165">
        <v>99.5</v>
      </c>
      <c r="EK34" s="168">
        <v>118.3</v>
      </c>
      <c r="EL34" s="167">
        <v>118.4</v>
      </c>
      <c r="EN34" s="154" t="str">
        <f t="shared" si="35"/>
        <v/>
      </c>
      <c r="EO34" s="154" t="e">
        <f t="shared" si="36"/>
        <v>#N/A</v>
      </c>
      <c r="EP34" s="154" t="e">
        <f t="shared" si="37"/>
        <v>#N/A</v>
      </c>
      <c r="EQ34" s="154" t="e">
        <f t="shared" si="38"/>
        <v>#N/A</v>
      </c>
      <c r="ES34" s="154" t="e">
        <f t="shared" si="39"/>
        <v>#N/A</v>
      </c>
      <c r="ET34" s="154" t="e">
        <f t="shared" si="40"/>
        <v>#N/A</v>
      </c>
      <c r="EU34" s="154" t="e">
        <f t="shared" si="41"/>
        <v>#N/A</v>
      </c>
      <c r="EW34" s="60">
        <f t="shared" si="42"/>
        <v>0</v>
      </c>
      <c r="EX34" s="60">
        <f t="shared" si="43"/>
        <v>0</v>
      </c>
      <c r="EY34" s="60">
        <f t="shared" si="44"/>
        <v>0</v>
      </c>
      <c r="EZ34" s="60">
        <f t="shared" si="45"/>
        <v>0</v>
      </c>
      <c r="FA34" s="60">
        <f t="shared" si="46"/>
        <v>0</v>
      </c>
      <c r="FB34" s="60">
        <f t="shared" si="47"/>
        <v>0</v>
      </c>
      <c r="FC34" s="60">
        <f t="shared" si="48"/>
        <v>0</v>
      </c>
      <c r="FD34" s="60">
        <f t="shared" si="49"/>
        <v>0</v>
      </c>
    </row>
    <row r="35" spans="1:160" ht="10.5" customHeight="1">
      <c r="A35" s="8" t="str">
        <f t="shared" si="50"/>
        <v/>
      </c>
      <c r="B35" s="9" t="str">
        <f t="shared" si="0"/>
        <v/>
      </c>
      <c r="C35" s="18"/>
      <c r="D35" s="16"/>
      <c r="E35" s="17"/>
      <c r="F35" s="17"/>
      <c r="G35" s="13"/>
      <c r="H35" s="14" t="str">
        <f t="shared" si="1"/>
        <v/>
      </c>
      <c r="I35" s="8" t="str">
        <f t="shared" si="2"/>
        <v/>
      </c>
      <c r="J35" s="9" t="str">
        <f t="shared" si="3"/>
        <v/>
      </c>
      <c r="K35" s="32" t="str">
        <f t="shared" si="4"/>
        <v/>
      </c>
      <c r="L35" s="33" t="str">
        <f t="shared" si="5"/>
        <v/>
      </c>
      <c r="M35" s="34" t="str">
        <f t="shared" si="6"/>
        <v/>
      </c>
      <c r="N35" s="35" t="str">
        <f t="shared" si="7"/>
        <v/>
      </c>
      <c r="O35" s="36"/>
      <c r="P35" s="36"/>
      <c r="Q35" s="36"/>
      <c r="R35" s="36"/>
      <c r="S35" s="36"/>
      <c r="T35" s="36"/>
      <c r="U35" s="36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53"/>
      <c r="AS35" s="53"/>
      <c r="AT35" s="53"/>
      <c r="AW35" s="5"/>
      <c r="AX35" s="5"/>
      <c r="AY35" s="60" t="str">
        <f t="shared" si="8"/>
        <v/>
      </c>
      <c r="AZ35" s="60" t="str">
        <f t="shared" si="9"/>
        <v/>
      </c>
      <c r="BA35" s="61" t="str">
        <f t="shared" si="10"/>
        <v/>
      </c>
      <c r="BB35" s="61" t="str">
        <f t="shared" si="11"/>
        <v/>
      </c>
      <c r="BC35" s="61" t="str">
        <f t="shared" si="12"/>
        <v/>
      </c>
      <c r="BD35" s="61" t="str">
        <f t="shared" si="13"/>
        <v/>
      </c>
      <c r="BE35" s="64" t="str">
        <f t="shared" si="14"/>
        <v/>
      </c>
      <c r="BF35" s="64" t="str">
        <f t="shared" si="15"/>
        <v/>
      </c>
      <c r="BG35" s="64" t="str">
        <f t="shared" si="16"/>
        <v/>
      </c>
      <c r="BH35" s="64" t="str">
        <f t="shared" si="17"/>
        <v/>
      </c>
      <c r="BI35" s="65"/>
      <c r="BJ35" s="66" t="str">
        <f t="shared" si="18"/>
        <v/>
      </c>
      <c r="BK35" s="71" t="s">
        <v>155</v>
      </c>
      <c r="BL35" s="70">
        <v>95</v>
      </c>
      <c r="BM35" s="5">
        <v>12.3</v>
      </c>
      <c r="BN35" s="77">
        <v>12.4</v>
      </c>
      <c r="BO35" s="78">
        <f t="shared" si="51"/>
        <v>13.2</v>
      </c>
      <c r="BP35" s="79">
        <v>13.3</v>
      </c>
      <c r="BQ35" s="80">
        <v>19.600000000000001</v>
      </c>
      <c r="BR35" s="81">
        <f t="shared" si="52"/>
        <v>19.7</v>
      </c>
      <c r="BS35" s="82">
        <v>22.7</v>
      </c>
      <c r="BT35" s="83">
        <v>22.8</v>
      </c>
      <c r="BU35" s="41"/>
      <c r="BV35" s="87" t="s">
        <v>155</v>
      </c>
      <c r="BW35" s="86">
        <v>95</v>
      </c>
      <c r="BX35" s="5">
        <v>11.8</v>
      </c>
      <c r="BY35" s="88">
        <v>11.9</v>
      </c>
      <c r="BZ35" s="78">
        <f t="shared" si="53"/>
        <v>12.8</v>
      </c>
      <c r="CA35" s="89">
        <v>12.9</v>
      </c>
      <c r="CB35" s="90">
        <v>20.5</v>
      </c>
      <c r="CC35" s="92">
        <f t="shared" si="54"/>
        <v>20.6</v>
      </c>
      <c r="CD35" s="93">
        <v>24.6</v>
      </c>
      <c r="CE35" s="83" t="s">
        <v>156</v>
      </c>
      <c r="CF35" s="5"/>
      <c r="CG35" s="91" t="str">
        <f t="shared" si="19"/>
        <v/>
      </c>
      <c r="CH35" s="91"/>
      <c r="CI35" s="91" t="str">
        <f t="shared" si="20"/>
        <v/>
      </c>
      <c r="CJ35" s="91"/>
      <c r="CK35" s="91" t="str">
        <f t="shared" si="21"/>
        <v/>
      </c>
      <c r="CL35" s="91" t="str">
        <f t="shared" si="22"/>
        <v/>
      </c>
      <c r="CM35" s="91" t="str">
        <f t="shared" si="23"/>
        <v/>
      </c>
      <c r="CN35" s="91" t="str">
        <f t="shared" si="24"/>
        <v/>
      </c>
      <c r="CO35" s="91" t="str">
        <f t="shared" si="25"/>
        <v/>
      </c>
      <c r="CP35" s="91" t="str">
        <f t="shared" si="26"/>
        <v/>
      </c>
      <c r="CQ35" s="91" t="str">
        <f t="shared" si="27"/>
        <v/>
      </c>
      <c r="CR35" s="91" t="str">
        <f t="shared" si="28"/>
        <v/>
      </c>
      <c r="CS35" s="91" t="str">
        <f t="shared" si="29"/>
        <v/>
      </c>
      <c r="CT35" s="91" t="str">
        <f t="shared" si="30"/>
        <v/>
      </c>
      <c r="CV35" s="94"/>
      <c r="CW35" s="95">
        <v>23</v>
      </c>
      <c r="CX35" s="96">
        <f t="shared" si="55"/>
        <v>8.5</v>
      </c>
      <c r="CY35" s="97">
        <v>8.6</v>
      </c>
      <c r="CZ35" s="96">
        <f t="shared" si="56"/>
        <v>9.4</v>
      </c>
      <c r="DA35" s="97">
        <v>9.5</v>
      </c>
      <c r="DB35" s="97">
        <v>15</v>
      </c>
      <c r="DC35" s="96">
        <f t="shared" si="57"/>
        <v>15.1</v>
      </c>
      <c r="DD35" s="41"/>
      <c r="DE35" s="41"/>
      <c r="DF35" s="41"/>
      <c r="DG35" s="94"/>
      <c r="DH35" s="96">
        <f t="shared" si="58"/>
        <v>7.9</v>
      </c>
      <c r="DI35" s="97">
        <v>8</v>
      </c>
      <c r="DJ35" s="96">
        <f t="shared" si="59"/>
        <v>8.8000000000000007</v>
      </c>
      <c r="DK35" s="97">
        <v>8.9</v>
      </c>
      <c r="DL35" s="97">
        <v>14.6</v>
      </c>
      <c r="DM35" s="96">
        <f t="shared" si="60"/>
        <v>14.7</v>
      </c>
      <c r="DN35" s="106">
        <v>14.7</v>
      </c>
      <c r="DO35" s="41"/>
      <c r="DP35" s="66" t="str">
        <f t="shared" si="31"/>
        <v/>
      </c>
      <c r="DQ35" s="60" t="str">
        <f t="shared" si="32"/>
        <v/>
      </c>
      <c r="DR35" s="60" t="str">
        <f t="shared" si="33"/>
        <v/>
      </c>
      <c r="DS35" s="60" t="str">
        <f t="shared" si="34"/>
        <v/>
      </c>
      <c r="DV35" s="115" t="s">
        <v>157</v>
      </c>
      <c r="DW35" s="112">
        <v>60</v>
      </c>
      <c r="DX35" s="113">
        <v>96</v>
      </c>
      <c r="DY35" s="129">
        <f>DX35+0.1</f>
        <v>96.1</v>
      </c>
      <c r="DZ35" s="135">
        <v>100.6</v>
      </c>
      <c r="EA35" s="129">
        <f>DZ35+0.1</f>
        <v>100.7</v>
      </c>
      <c r="EB35" s="136">
        <v>119.2</v>
      </c>
      <c r="EC35" s="132">
        <f>EB35+0.1</f>
        <v>119.3</v>
      </c>
      <c r="EE35" s="138" t="s">
        <v>157</v>
      </c>
      <c r="EF35" s="134">
        <v>60</v>
      </c>
      <c r="EG35" s="168">
        <v>95.1</v>
      </c>
      <c r="EH35" s="165">
        <v>95.2</v>
      </c>
      <c r="EI35" s="169">
        <v>99.8</v>
      </c>
      <c r="EJ35" s="165">
        <v>99.9</v>
      </c>
      <c r="EK35" s="169">
        <v>118.9</v>
      </c>
      <c r="EL35" s="167">
        <v>119</v>
      </c>
      <c r="EN35" s="154" t="str">
        <f t="shared" si="35"/>
        <v/>
      </c>
      <c r="EO35" s="154" t="e">
        <f t="shared" si="36"/>
        <v>#N/A</v>
      </c>
      <c r="EP35" s="154" t="e">
        <f t="shared" si="37"/>
        <v>#N/A</v>
      </c>
      <c r="EQ35" s="154" t="e">
        <f t="shared" si="38"/>
        <v>#N/A</v>
      </c>
      <c r="ES35" s="154" t="e">
        <f t="shared" si="39"/>
        <v>#N/A</v>
      </c>
      <c r="ET35" s="154" t="e">
        <f t="shared" si="40"/>
        <v>#N/A</v>
      </c>
      <c r="EU35" s="154" t="e">
        <f t="shared" si="41"/>
        <v>#N/A</v>
      </c>
      <c r="EW35" s="60">
        <f t="shared" si="42"/>
        <v>0</v>
      </c>
      <c r="EX35" s="60">
        <f t="shared" si="43"/>
        <v>0</v>
      </c>
      <c r="EY35" s="60">
        <f t="shared" si="44"/>
        <v>0</v>
      </c>
      <c r="EZ35" s="60">
        <f t="shared" si="45"/>
        <v>0</v>
      </c>
      <c r="FA35" s="60">
        <f t="shared" si="46"/>
        <v>0</v>
      </c>
      <c r="FB35" s="60">
        <f t="shared" si="47"/>
        <v>0</v>
      </c>
      <c r="FC35" s="60">
        <f t="shared" si="48"/>
        <v>0</v>
      </c>
      <c r="FD35" s="60">
        <f t="shared" si="49"/>
        <v>0</v>
      </c>
    </row>
    <row r="36" spans="1:160" ht="10.5" customHeight="1">
      <c r="A36" s="8" t="str">
        <f t="shared" si="50"/>
        <v/>
      </c>
      <c r="B36" s="9" t="str">
        <f t="shared" si="0"/>
        <v/>
      </c>
      <c r="C36" s="18"/>
      <c r="D36" s="16"/>
      <c r="E36" s="17"/>
      <c r="F36" s="17"/>
      <c r="G36" s="13"/>
      <c r="H36" s="14" t="str">
        <f t="shared" si="1"/>
        <v/>
      </c>
      <c r="I36" s="8" t="str">
        <f t="shared" si="2"/>
        <v/>
      </c>
      <c r="J36" s="9" t="str">
        <f t="shared" si="3"/>
        <v/>
      </c>
      <c r="K36" s="32" t="str">
        <f t="shared" si="4"/>
        <v/>
      </c>
      <c r="L36" s="33" t="str">
        <f t="shared" si="5"/>
        <v/>
      </c>
      <c r="M36" s="34" t="str">
        <f t="shared" si="6"/>
        <v/>
      </c>
      <c r="N36" s="35" t="str">
        <f t="shared" si="7"/>
        <v/>
      </c>
      <c r="O36" s="36"/>
      <c r="P36" s="36"/>
      <c r="Q36" s="36"/>
      <c r="R36" s="36"/>
      <c r="S36" s="36"/>
      <c r="T36" s="36"/>
      <c r="U36" s="36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53"/>
      <c r="AS36" s="53"/>
      <c r="AT36" s="53"/>
      <c r="AW36" s="5"/>
      <c r="AX36" s="5"/>
      <c r="AY36" s="60" t="str">
        <f t="shared" si="8"/>
        <v/>
      </c>
      <c r="AZ36" s="60" t="str">
        <f t="shared" si="9"/>
        <v/>
      </c>
      <c r="BA36" s="61" t="str">
        <f t="shared" si="10"/>
        <v/>
      </c>
      <c r="BB36" s="61" t="str">
        <f t="shared" si="11"/>
        <v/>
      </c>
      <c r="BC36" s="61" t="str">
        <f t="shared" si="12"/>
        <v/>
      </c>
      <c r="BD36" s="61" t="str">
        <f t="shared" si="13"/>
        <v/>
      </c>
      <c r="BE36" s="64" t="str">
        <f t="shared" si="14"/>
        <v/>
      </c>
      <c r="BF36" s="64" t="str">
        <f t="shared" si="15"/>
        <v/>
      </c>
      <c r="BG36" s="64" t="str">
        <f t="shared" si="16"/>
        <v/>
      </c>
      <c r="BH36" s="64" t="str">
        <f t="shared" si="17"/>
        <v/>
      </c>
      <c r="BI36" s="65"/>
      <c r="BJ36" s="66" t="str">
        <f t="shared" si="18"/>
        <v/>
      </c>
      <c r="BK36" s="71" t="s">
        <v>158</v>
      </c>
      <c r="BL36" s="70">
        <v>96</v>
      </c>
      <c r="BM36" s="5">
        <v>12.3</v>
      </c>
      <c r="BN36" s="77">
        <v>12.4</v>
      </c>
      <c r="BO36" s="78">
        <f t="shared" si="51"/>
        <v>13.2</v>
      </c>
      <c r="BP36" s="79">
        <v>13.3</v>
      </c>
      <c r="BQ36" s="80">
        <v>19.7</v>
      </c>
      <c r="BR36" s="81">
        <f t="shared" si="52"/>
        <v>19.8</v>
      </c>
      <c r="BS36" s="82">
        <v>22.8</v>
      </c>
      <c r="BT36" s="83">
        <v>22.9</v>
      </c>
      <c r="BU36" s="41"/>
      <c r="BV36" s="87" t="s">
        <v>158</v>
      </c>
      <c r="BW36" s="86">
        <v>96</v>
      </c>
      <c r="BX36" s="5">
        <v>11.8</v>
      </c>
      <c r="BY36" s="88">
        <v>11.9</v>
      </c>
      <c r="BZ36" s="78">
        <f t="shared" si="53"/>
        <v>12.8</v>
      </c>
      <c r="CA36" s="89">
        <v>12.9</v>
      </c>
      <c r="CB36" s="90">
        <v>20.6</v>
      </c>
      <c r="CC36" s="92">
        <f t="shared" si="54"/>
        <v>20.7</v>
      </c>
      <c r="CD36" s="93">
        <v>24.8</v>
      </c>
      <c r="CE36" s="83" t="s">
        <v>159</v>
      </c>
      <c r="CF36" s="5"/>
      <c r="CG36" s="91" t="str">
        <f t="shared" si="19"/>
        <v/>
      </c>
      <c r="CH36" s="91"/>
      <c r="CI36" s="91" t="str">
        <f t="shared" si="20"/>
        <v/>
      </c>
      <c r="CJ36" s="91"/>
      <c r="CK36" s="91" t="str">
        <f t="shared" si="21"/>
        <v/>
      </c>
      <c r="CL36" s="91" t="str">
        <f t="shared" si="22"/>
        <v/>
      </c>
      <c r="CM36" s="91" t="str">
        <f t="shared" si="23"/>
        <v/>
      </c>
      <c r="CN36" s="91" t="str">
        <f t="shared" si="24"/>
        <v/>
      </c>
      <c r="CO36" s="91" t="str">
        <f t="shared" si="25"/>
        <v/>
      </c>
      <c r="CP36" s="91" t="str">
        <f t="shared" si="26"/>
        <v/>
      </c>
      <c r="CQ36" s="91" t="str">
        <f t="shared" si="27"/>
        <v/>
      </c>
      <c r="CR36" s="91" t="str">
        <f t="shared" si="28"/>
        <v/>
      </c>
      <c r="CS36" s="91" t="str">
        <f t="shared" si="29"/>
        <v/>
      </c>
      <c r="CT36" s="91" t="str">
        <f t="shared" si="30"/>
        <v/>
      </c>
      <c r="CV36" s="94"/>
      <c r="CW36" s="98">
        <v>24</v>
      </c>
      <c r="CX36" s="99">
        <f t="shared" si="55"/>
        <v>8.6</v>
      </c>
      <c r="CY36" s="100">
        <v>8.6999999999999993</v>
      </c>
      <c r="CZ36" s="99">
        <f t="shared" si="56"/>
        <v>9.6</v>
      </c>
      <c r="DA36" s="100">
        <v>9.6999999999999993</v>
      </c>
      <c r="DB36" s="100">
        <v>15.3</v>
      </c>
      <c r="DC36" s="99">
        <f t="shared" si="57"/>
        <v>15.4</v>
      </c>
      <c r="DD36" s="41"/>
      <c r="DE36" s="41"/>
      <c r="DF36" s="41"/>
      <c r="DG36" s="94"/>
      <c r="DH36" s="99">
        <f t="shared" si="58"/>
        <v>8.1</v>
      </c>
      <c r="DI36" s="100">
        <v>8.1999999999999993</v>
      </c>
      <c r="DJ36" s="99">
        <f t="shared" si="59"/>
        <v>8.9</v>
      </c>
      <c r="DK36" s="100">
        <v>9</v>
      </c>
      <c r="DL36" s="100">
        <v>14.8</v>
      </c>
      <c r="DM36" s="99">
        <f t="shared" si="60"/>
        <v>14.9</v>
      </c>
      <c r="DN36" s="106">
        <v>14.9</v>
      </c>
      <c r="DO36" s="41"/>
      <c r="DP36" s="66" t="str">
        <f t="shared" si="31"/>
        <v/>
      </c>
      <c r="DQ36" s="60" t="str">
        <f t="shared" si="32"/>
        <v/>
      </c>
      <c r="DR36" s="60" t="str">
        <f t="shared" si="33"/>
        <v/>
      </c>
      <c r="DS36" s="60" t="str">
        <f t="shared" si="34"/>
        <v/>
      </c>
      <c r="DV36" s="116" t="s">
        <v>160</v>
      </c>
      <c r="DW36" s="117">
        <v>61</v>
      </c>
      <c r="DX36" s="118">
        <v>96.4</v>
      </c>
      <c r="DY36" s="139">
        <v>96.5</v>
      </c>
      <c r="DZ36" s="140">
        <v>101</v>
      </c>
      <c r="EA36" s="141" t="s">
        <v>161</v>
      </c>
      <c r="EB36" s="140" t="s">
        <v>162</v>
      </c>
      <c r="EC36" s="142">
        <v>119.5</v>
      </c>
      <c r="EE36" s="143" t="s">
        <v>160</v>
      </c>
      <c r="EF36" s="144">
        <v>61</v>
      </c>
      <c r="EG36" s="170">
        <v>95.2</v>
      </c>
      <c r="EH36" s="171">
        <v>95.3</v>
      </c>
      <c r="EI36" s="172">
        <v>100</v>
      </c>
      <c r="EJ36" s="171">
        <v>100.1</v>
      </c>
      <c r="EK36" s="172">
        <v>119.1</v>
      </c>
      <c r="EL36" s="173">
        <v>119.2</v>
      </c>
      <c r="EN36" s="154" t="str">
        <f t="shared" si="35"/>
        <v/>
      </c>
      <c r="EO36" s="154" t="e">
        <f t="shared" si="36"/>
        <v>#N/A</v>
      </c>
      <c r="EP36" s="154" t="e">
        <f t="shared" si="37"/>
        <v>#N/A</v>
      </c>
      <c r="EQ36" s="154" t="e">
        <f t="shared" si="38"/>
        <v>#N/A</v>
      </c>
      <c r="ES36" s="154" t="e">
        <f t="shared" si="39"/>
        <v>#N/A</v>
      </c>
      <c r="ET36" s="154" t="e">
        <f t="shared" si="40"/>
        <v>#N/A</v>
      </c>
      <c r="EU36" s="154" t="e">
        <f t="shared" si="41"/>
        <v>#N/A</v>
      </c>
      <c r="EW36" s="60">
        <f t="shared" si="42"/>
        <v>0</v>
      </c>
      <c r="EX36" s="60">
        <f t="shared" si="43"/>
        <v>0</v>
      </c>
      <c r="EY36" s="60">
        <f t="shared" si="44"/>
        <v>0</v>
      </c>
      <c r="EZ36" s="60">
        <f t="shared" si="45"/>
        <v>0</v>
      </c>
      <c r="FA36" s="60">
        <f t="shared" si="46"/>
        <v>0</v>
      </c>
      <c r="FB36" s="60">
        <f t="shared" si="47"/>
        <v>0</v>
      </c>
      <c r="FC36" s="60">
        <f t="shared" si="48"/>
        <v>0</v>
      </c>
      <c r="FD36" s="60">
        <f t="shared" si="49"/>
        <v>0</v>
      </c>
    </row>
    <row r="37" spans="1:160" ht="10.5" customHeight="1">
      <c r="A37" s="8" t="str">
        <f t="shared" si="50"/>
        <v/>
      </c>
      <c r="B37" s="9" t="str">
        <f t="shared" si="0"/>
        <v/>
      </c>
      <c r="C37" s="18"/>
      <c r="D37" s="16"/>
      <c r="E37" s="17"/>
      <c r="F37" s="17"/>
      <c r="G37" s="13"/>
      <c r="H37" s="14" t="str">
        <f t="shared" si="1"/>
        <v/>
      </c>
      <c r="I37" s="8" t="str">
        <f t="shared" si="2"/>
        <v/>
      </c>
      <c r="J37" s="9" t="str">
        <f t="shared" si="3"/>
        <v/>
      </c>
      <c r="K37" s="32" t="str">
        <f t="shared" si="4"/>
        <v/>
      </c>
      <c r="L37" s="33" t="str">
        <f t="shared" si="5"/>
        <v/>
      </c>
      <c r="M37" s="34" t="str">
        <f t="shared" si="6"/>
        <v/>
      </c>
      <c r="N37" s="35" t="str">
        <f t="shared" si="7"/>
        <v/>
      </c>
      <c r="O37" s="36"/>
      <c r="P37" s="36"/>
      <c r="Q37" s="36"/>
      <c r="R37" s="36"/>
      <c r="S37" s="36"/>
      <c r="T37" s="36"/>
      <c r="U37" s="36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53"/>
      <c r="AS37" s="53"/>
      <c r="AT37" s="53"/>
      <c r="AW37" s="5"/>
      <c r="AX37" s="5"/>
      <c r="AY37" s="60" t="str">
        <f t="shared" si="8"/>
        <v/>
      </c>
      <c r="AZ37" s="60" t="str">
        <f t="shared" si="9"/>
        <v/>
      </c>
      <c r="BA37" s="61" t="str">
        <f t="shared" si="10"/>
        <v/>
      </c>
      <c r="BB37" s="61" t="str">
        <f t="shared" si="11"/>
        <v/>
      </c>
      <c r="BC37" s="61" t="str">
        <f t="shared" si="12"/>
        <v/>
      </c>
      <c r="BD37" s="61" t="str">
        <f t="shared" si="13"/>
        <v/>
      </c>
      <c r="BE37" s="64" t="str">
        <f t="shared" si="14"/>
        <v/>
      </c>
      <c r="BF37" s="64" t="str">
        <f t="shared" si="15"/>
        <v/>
      </c>
      <c r="BG37" s="64" t="str">
        <f t="shared" si="16"/>
        <v/>
      </c>
      <c r="BH37" s="64" t="str">
        <f t="shared" si="17"/>
        <v/>
      </c>
      <c r="BI37" s="65"/>
      <c r="BJ37" s="66" t="str">
        <f t="shared" si="18"/>
        <v/>
      </c>
      <c r="BK37" s="71" t="s">
        <v>163</v>
      </c>
      <c r="BL37" s="70">
        <v>97</v>
      </c>
      <c r="BM37" s="5">
        <v>12.3</v>
      </c>
      <c r="BN37" s="77">
        <v>12.4</v>
      </c>
      <c r="BO37" s="78">
        <f t="shared" si="51"/>
        <v>13.2</v>
      </c>
      <c r="BP37" s="79">
        <v>13.3</v>
      </c>
      <c r="BQ37" s="80">
        <v>19.7</v>
      </c>
      <c r="BR37" s="81">
        <f t="shared" si="52"/>
        <v>19.8</v>
      </c>
      <c r="BS37" s="82">
        <v>22.9</v>
      </c>
      <c r="BT37" s="83">
        <v>23</v>
      </c>
      <c r="BU37" s="41"/>
      <c r="BV37" s="87" t="s">
        <v>163</v>
      </c>
      <c r="BW37" s="86">
        <v>97</v>
      </c>
      <c r="BX37" s="5">
        <v>11.8</v>
      </c>
      <c r="BY37" s="88">
        <v>11.9</v>
      </c>
      <c r="BZ37" s="78">
        <f t="shared" si="53"/>
        <v>12.8</v>
      </c>
      <c r="CA37" s="89">
        <v>12.9</v>
      </c>
      <c r="CB37" s="90">
        <v>20.6</v>
      </c>
      <c r="CC37" s="92">
        <f t="shared" si="54"/>
        <v>20.7</v>
      </c>
      <c r="CD37" s="93">
        <v>24.9</v>
      </c>
      <c r="CE37" s="83" t="s">
        <v>164</v>
      </c>
      <c r="CF37" s="5"/>
      <c r="CG37" s="91" t="str">
        <f t="shared" si="19"/>
        <v/>
      </c>
      <c r="CH37" s="91"/>
      <c r="CI37" s="91" t="str">
        <f t="shared" si="20"/>
        <v/>
      </c>
      <c r="CJ37" s="91"/>
      <c r="CK37" s="91" t="str">
        <f t="shared" si="21"/>
        <v/>
      </c>
      <c r="CL37" s="91" t="str">
        <f t="shared" si="22"/>
        <v/>
      </c>
      <c r="CM37" s="91" t="str">
        <f t="shared" si="23"/>
        <v/>
      </c>
      <c r="CN37" s="91" t="str">
        <f t="shared" si="24"/>
        <v/>
      </c>
      <c r="CO37" s="91" t="str">
        <f t="shared" si="25"/>
        <v/>
      </c>
      <c r="CP37" s="91" t="str">
        <f t="shared" si="26"/>
        <v/>
      </c>
      <c r="CQ37" s="91" t="str">
        <f t="shared" si="27"/>
        <v/>
      </c>
      <c r="CR37" s="91" t="str">
        <f t="shared" si="28"/>
        <v/>
      </c>
      <c r="CS37" s="91" t="str">
        <f t="shared" si="29"/>
        <v/>
      </c>
      <c r="CT37" s="91" t="str">
        <f t="shared" si="30"/>
        <v/>
      </c>
      <c r="CV37" s="94"/>
      <c r="CW37" s="95">
        <v>25</v>
      </c>
      <c r="CX37" s="96">
        <f t="shared" si="55"/>
        <v>8.8000000000000007</v>
      </c>
      <c r="CY37" s="97">
        <v>8.9</v>
      </c>
      <c r="CZ37" s="96">
        <f t="shared" si="56"/>
        <v>9.6999999999999993</v>
      </c>
      <c r="DA37" s="97">
        <v>9.8000000000000007</v>
      </c>
      <c r="DB37" s="97">
        <v>15.5</v>
      </c>
      <c r="DC37" s="96">
        <f t="shared" si="57"/>
        <v>15.6</v>
      </c>
      <c r="DD37" s="41"/>
      <c r="DE37" s="41"/>
      <c r="DF37" s="41"/>
      <c r="DG37" s="94"/>
      <c r="DH37" s="96">
        <f t="shared" si="58"/>
        <v>8.1999999999999993</v>
      </c>
      <c r="DI37" s="97">
        <v>8.3000000000000007</v>
      </c>
      <c r="DJ37" s="96">
        <f t="shared" si="59"/>
        <v>9.1</v>
      </c>
      <c r="DK37" s="97">
        <v>9.1999999999999993</v>
      </c>
      <c r="DL37" s="97">
        <v>15.1</v>
      </c>
      <c r="DM37" s="96">
        <f t="shared" si="60"/>
        <v>15.2</v>
      </c>
      <c r="DN37" s="106">
        <v>15.2</v>
      </c>
      <c r="DO37" s="41"/>
      <c r="DP37" s="66" t="str">
        <f t="shared" si="31"/>
        <v/>
      </c>
      <c r="DQ37" s="60" t="str">
        <f t="shared" si="32"/>
        <v/>
      </c>
      <c r="DR37" s="60" t="str">
        <f t="shared" si="33"/>
        <v/>
      </c>
      <c r="DS37" s="60" t="str">
        <f t="shared" si="34"/>
        <v/>
      </c>
      <c r="DV37" s="119" t="s">
        <v>165</v>
      </c>
      <c r="DW37" s="120">
        <v>62</v>
      </c>
      <c r="DX37" s="121">
        <v>96.8</v>
      </c>
      <c r="DY37" s="145">
        <v>96.9</v>
      </c>
      <c r="DZ37" s="146">
        <v>101.5</v>
      </c>
      <c r="EA37" s="139" t="s">
        <v>166</v>
      </c>
      <c r="EB37" s="147">
        <v>120</v>
      </c>
      <c r="EC37" s="148">
        <v>120.1</v>
      </c>
      <c r="EE37" s="143" t="s">
        <v>165</v>
      </c>
      <c r="EF37" s="144">
        <v>62</v>
      </c>
      <c r="EG37" s="170">
        <v>95.6</v>
      </c>
      <c r="EH37" s="174">
        <v>95.7</v>
      </c>
      <c r="EI37" s="175">
        <v>100.4</v>
      </c>
      <c r="EJ37" s="176">
        <v>100.5</v>
      </c>
      <c r="EK37" s="177">
        <v>119.7</v>
      </c>
      <c r="EL37" s="173">
        <v>119.8</v>
      </c>
      <c r="EN37" s="178" t="str">
        <f t="shared" si="35"/>
        <v/>
      </c>
      <c r="EO37" s="154" t="e">
        <f t="shared" si="36"/>
        <v>#N/A</v>
      </c>
      <c r="EP37" s="154" t="e">
        <f t="shared" si="37"/>
        <v>#N/A</v>
      </c>
      <c r="EQ37" s="154" t="e">
        <f t="shared" si="38"/>
        <v>#N/A</v>
      </c>
      <c r="ES37" s="154" t="e">
        <f t="shared" si="39"/>
        <v>#N/A</v>
      </c>
      <c r="ET37" s="154" t="e">
        <f t="shared" si="40"/>
        <v>#N/A</v>
      </c>
      <c r="EU37" s="154" t="e">
        <f t="shared" si="41"/>
        <v>#N/A</v>
      </c>
      <c r="EW37" s="60">
        <f t="shared" si="42"/>
        <v>0</v>
      </c>
      <c r="EX37" s="60">
        <f t="shared" si="43"/>
        <v>0</v>
      </c>
      <c r="EY37" s="60">
        <f t="shared" si="44"/>
        <v>0</v>
      </c>
      <c r="EZ37" s="60">
        <f t="shared" si="45"/>
        <v>0</v>
      </c>
      <c r="FA37" s="60">
        <f t="shared" si="46"/>
        <v>0</v>
      </c>
      <c r="FB37" s="60">
        <f t="shared" si="47"/>
        <v>0</v>
      </c>
      <c r="FC37" s="60">
        <f t="shared" si="48"/>
        <v>0</v>
      </c>
      <c r="FD37" s="60">
        <f t="shared" si="49"/>
        <v>0</v>
      </c>
    </row>
    <row r="38" spans="1:160" ht="10.5" customHeight="1">
      <c r="A38" s="8" t="str">
        <f t="shared" si="50"/>
        <v/>
      </c>
      <c r="B38" s="9" t="str">
        <f t="shared" si="0"/>
        <v/>
      </c>
      <c r="C38" s="18"/>
      <c r="D38" s="16"/>
      <c r="E38" s="17"/>
      <c r="F38" s="17"/>
      <c r="G38" s="13"/>
      <c r="H38" s="14" t="str">
        <f t="shared" si="1"/>
        <v/>
      </c>
      <c r="I38" s="8" t="str">
        <f t="shared" si="2"/>
        <v/>
      </c>
      <c r="J38" s="9" t="str">
        <f t="shared" si="3"/>
        <v/>
      </c>
      <c r="K38" s="32" t="str">
        <f t="shared" si="4"/>
        <v/>
      </c>
      <c r="L38" s="33" t="str">
        <f t="shared" si="5"/>
        <v/>
      </c>
      <c r="M38" s="34" t="str">
        <f t="shared" si="6"/>
        <v/>
      </c>
      <c r="N38" s="35" t="str">
        <f t="shared" si="7"/>
        <v/>
      </c>
      <c r="O38" s="36"/>
      <c r="P38" s="36"/>
      <c r="Q38" s="36"/>
      <c r="R38" s="36"/>
      <c r="S38" s="36"/>
      <c r="T38" s="36"/>
      <c r="U38" s="36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53"/>
      <c r="AS38" s="53"/>
      <c r="AT38" s="53"/>
      <c r="AW38" s="5"/>
      <c r="AX38" s="5"/>
      <c r="AY38" s="60" t="str">
        <f t="shared" si="8"/>
        <v/>
      </c>
      <c r="AZ38" s="60" t="str">
        <f t="shared" si="9"/>
        <v/>
      </c>
      <c r="BA38" s="61" t="str">
        <f t="shared" si="10"/>
        <v/>
      </c>
      <c r="BB38" s="61" t="str">
        <f t="shared" si="11"/>
        <v/>
      </c>
      <c r="BC38" s="61" t="str">
        <f t="shared" si="12"/>
        <v/>
      </c>
      <c r="BD38" s="61" t="str">
        <f t="shared" si="13"/>
        <v/>
      </c>
      <c r="BE38" s="64" t="str">
        <f t="shared" si="14"/>
        <v/>
      </c>
      <c r="BF38" s="64" t="str">
        <f t="shared" si="15"/>
        <v/>
      </c>
      <c r="BG38" s="64" t="str">
        <f t="shared" si="16"/>
        <v/>
      </c>
      <c r="BH38" s="64" t="str">
        <f t="shared" si="17"/>
        <v/>
      </c>
      <c r="BI38" s="65"/>
      <c r="BJ38" s="66" t="str">
        <f t="shared" si="18"/>
        <v/>
      </c>
      <c r="BK38" s="71" t="s">
        <v>167</v>
      </c>
      <c r="BL38" s="70">
        <v>98</v>
      </c>
      <c r="BM38" s="5">
        <v>12.3</v>
      </c>
      <c r="BN38" s="77">
        <v>12.4</v>
      </c>
      <c r="BO38" s="78">
        <f t="shared" si="51"/>
        <v>13.2</v>
      </c>
      <c r="BP38" s="79">
        <v>13.3</v>
      </c>
      <c r="BQ38" s="80">
        <v>19.8</v>
      </c>
      <c r="BR38" s="81">
        <f t="shared" si="52"/>
        <v>19.899999999999999</v>
      </c>
      <c r="BS38" s="82">
        <v>23</v>
      </c>
      <c r="BT38" s="83">
        <v>23.1</v>
      </c>
      <c r="BU38" s="41"/>
      <c r="BV38" s="87" t="s">
        <v>167</v>
      </c>
      <c r="BW38" s="86">
        <v>98</v>
      </c>
      <c r="BX38" s="5">
        <v>11.8</v>
      </c>
      <c r="BY38" s="88">
        <v>11.9</v>
      </c>
      <c r="BZ38" s="78">
        <f t="shared" si="53"/>
        <v>12.8</v>
      </c>
      <c r="CA38" s="89">
        <v>12.9</v>
      </c>
      <c r="CB38" s="90">
        <v>20.7</v>
      </c>
      <c r="CC38" s="92">
        <f t="shared" si="54"/>
        <v>20.8</v>
      </c>
      <c r="CD38" s="93">
        <v>25.1</v>
      </c>
      <c r="CE38" s="83" t="s">
        <v>168</v>
      </c>
      <c r="CF38" s="5"/>
      <c r="CG38" s="91" t="str">
        <f t="shared" si="19"/>
        <v/>
      </c>
      <c r="CH38" s="91"/>
      <c r="CI38" s="91" t="str">
        <f t="shared" si="20"/>
        <v/>
      </c>
      <c r="CJ38" s="91"/>
      <c r="CK38" s="91" t="str">
        <f t="shared" si="21"/>
        <v/>
      </c>
      <c r="CL38" s="91" t="str">
        <f t="shared" si="22"/>
        <v/>
      </c>
      <c r="CM38" s="91" t="str">
        <f t="shared" si="23"/>
        <v/>
      </c>
      <c r="CN38" s="91" t="str">
        <f t="shared" si="24"/>
        <v/>
      </c>
      <c r="CO38" s="91" t="str">
        <f t="shared" si="25"/>
        <v/>
      </c>
      <c r="CP38" s="91" t="str">
        <f t="shared" si="26"/>
        <v/>
      </c>
      <c r="CQ38" s="91" t="str">
        <f t="shared" si="27"/>
        <v/>
      </c>
      <c r="CR38" s="91" t="str">
        <f t="shared" si="28"/>
        <v/>
      </c>
      <c r="CS38" s="91" t="str">
        <f t="shared" si="29"/>
        <v/>
      </c>
      <c r="CT38" s="91" t="str">
        <f t="shared" si="30"/>
        <v/>
      </c>
      <c r="CV38" s="94"/>
      <c r="CW38" s="95">
        <v>26</v>
      </c>
      <c r="CX38" s="96">
        <f t="shared" si="55"/>
        <v>8.9</v>
      </c>
      <c r="CY38" s="97">
        <v>9</v>
      </c>
      <c r="CZ38" s="96">
        <f t="shared" si="56"/>
        <v>9.9</v>
      </c>
      <c r="DA38" s="97">
        <v>10</v>
      </c>
      <c r="DB38" s="97">
        <v>15.8</v>
      </c>
      <c r="DC38" s="96">
        <f t="shared" si="57"/>
        <v>15.9</v>
      </c>
      <c r="DD38" s="41"/>
      <c r="DE38" s="41"/>
      <c r="DF38" s="41"/>
      <c r="DG38" s="94"/>
      <c r="DH38" s="96">
        <f t="shared" si="58"/>
        <v>8.4</v>
      </c>
      <c r="DI38" s="97">
        <v>8.5</v>
      </c>
      <c r="DJ38" s="96">
        <f t="shared" si="59"/>
        <v>9.3000000000000007</v>
      </c>
      <c r="DK38" s="97">
        <v>9.4</v>
      </c>
      <c r="DL38" s="97">
        <v>15.4</v>
      </c>
      <c r="DM38" s="96">
        <f t="shared" si="60"/>
        <v>15.5</v>
      </c>
      <c r="DN38" s="106">
        <v>15.5</v>
      </c>
      <c r="DO38" s="41"/>
      <c r="DP38" s="66" t="str">
        <f t="shared" si="31"/>
        <v/>
      </c>
      <c r="DQ38" s="60" t="str">
        <f t="shared" si="32"/>
        <v/>
      </c>
      <c r="DR38" s="60" t="str">
        <f t="shared" si="33"/>
        <v/>
      </c>
      <c r="DS38" s="60" t="str">
        <f t="shared" si="34"/>
        <v/>
      </c>
      <c r="DV38" s="119" t="s">
        <v>169</v>
      </c>
      <c r="DW38" s="120">
        <v>63</v>
      </c>
      <c r="DX38" s="121">
        <v>97.3</v>
      </c>
      <c r="DY38" s="145">
        <v>97.4</v>
      </c>
      <c r="DZ38" s="146">
        <v>101.9</v>
      </c>
      <c r="EA38" s="139" t="s">
        <v>170</v>
      </c>
      <c r="EB38" s="147">
        <v>120.6</v>
      </c>
      <c r="EC38" s="148">
        <v>120.7</v>
      </c>
      <c r="EE38" s="143" t="s">
        <v>169</v>
      </c>
      <c r="EF38" s="144">
        <v>63</v>
      </c>
      <c r="EG38" s="170">
        <v>96</v>
      </c>
      <c r="EH38" s="174">
        <v>96.1</v>
      </c>
      <c r="EI38" s="175">
        <v>100.9</v>
      </c>
      <c r="EJ38" s="176">
        <v>101</v>
      </c>
      <c r="EK38" s="177">
        <v>120.3</v>
      </c>
      <c r="EL38" s="173">
        <v>120.4</v>
      </c>
      <c r="EN38" s="179" t="str">
        <f t="shared" si="35"/>
        <v/>
      </c>
      <c r="EO38" s="154" t="e">
        <f t="shared" si="36"/>
        <v>#N/A</v>
      </c>
      <c r="EP38" s="154" t="e">
        <f t="shared" si="37"/>
        <v>#N/A</v>
      </c>
      <c r="EQ38" s="154" t="e">
        <f t="shared" si="38"/>
        <v>#N/A</v>
      </c>
      <c r="ES38" s="154" t="e">
        <f t="shared" si="39"/>
        <v>#N/A</v>
      </c>
      <c r="ET38" s="154" t="e">
        <f t="shared" si="40"/>
        <v>#N/A</v>
      </c>
      <c r="EU38" s="154" t="e">
        <f t="shared" si="41"/>
        <v>#N/A</v>
      </c>
      <c r="EW38" s="60">
        <f t="shared" si="42"/>
        <v>0</v>
      </c>
      <c r="EX38" s="60">
        <f t="shared" si="43"/>
        <v>0</v>
      </c>
      <c r="EY38" s="60">
        <f t="shared" si="44"/>
        <v>0</v>
      </c>
      <c r="EZ38" s="60">
        <f t="shared" si="45"/>
        <v>0</v>
      </c>
      <c r="FA38" s="60">
        <f t="shared" si="46"/>
        <v>0</v>
      </c>
      <c r="FB38" s="60">
        <f t="shared" si="47"/>
        <v>0</v>
      </c>
      <c r="FC38" s="60">
        <f t="shared" si="48"/>
        <v>0</v>
      </c>
      <c r="FD38" s="60">
        <f t="shared" si="49"/>
        <v>0</v>
      </c>
    </row>
    <row r="39" spans="1:160" ht="10.5" customHeight="1">
      <c r="A39" s="8" t="str">
        <f t="shared" si="50"/>
        <v/>
      </c>
      <c r="B39" s="9" t="str">
        <f t="shared" si="0"/>
        <v/>
      </c>
      <c r="C39" s="18"/>
      <c r="D39" s="16"/>
      <c r="E39" s="17"/>
      <c r="F39" s="17"/>
      <c r="G39" s="13"/>
      <c r="H39" s="14" t="str">
        <f t="shared" si="1"/>
        <v/>
      </c>
      <c r="I39" s="8" t="str">
        <f t="shared" si="2"/>
        <v/>
      </c>
      <c r="J39" s="9" t="str">
        <f t="shared" si="3"/>
        <v/>
      </c>
      <c r="K39" s="32" t="str">
        <f t="shared" si="4"/>
        <v/>
      </c>
      <c r="L39" s="33" t="str">
        <f t="shared" si="5"/>
        <v/>
      </c>
      <c r="M39" s="34" t="str">
        <f t="shared" si="6"/>
        <v/>
      </c>
      <c r="N39" s="35" t="str">
        <f t="shared" si="7"/>
        <v/>
      </c>
      <c r="O39" s="36"/>
      <c r="P39" s="36"/>
      <c r="Q39" s="36"/>
      <c r="R39" s="36"/>
      <c r="S39" s="36"/>
      <c r="T39" s="36"/>
      <c r="U39" s="36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53"/>
      <c r="AS39" s="53"/>
      <c r="AT39" s="53"/>
      <c r="AW39" s="5"/>
      <c r="AX39" s="5"/>
      <c r="AY39" s="60" t="str">
        <f t="shared" si="8"/>
        <v/>
      </c>
      <c r="AZ39" s="60" t="str">
        <f t="shared" si="9"/>
        <v/>
      </c>
      <c r="BA39" s="61" t="str">
        <f t="shared" si="10"/>
        <v/>
      </c>
      <c r="BB39" s="61" t="str">
        <f t="shared" si="11"/>
        <v/>
      </c>
      <c r="BC39" s="61" t="str">
        <f t="shared" si="12"/>
        <v/>
      </c>
      <c r="BD39" s="61" t="str">
        <f t="shared" si="13"/>
        <v/>
      </c>
      <c r="BE39" s="64" t="str">
        <f t="shared" si="14"/>
        <v/>
      </c>
      <c r="BF39" s="64" t="str">
        <f t="shared" si="15"/>
        <v/>
      </c>
      <c r="BG39" s="64" t="str">
        <f t="shared" si="16"/>
        <v/>
      </c>
      <c r="BH39" s="64" t="str">
        <f t="shared" si="17"/>
        <v/>
      </c>
      <c r="BI39" s="65"/>
      <c r="BJ39" s="66" t="str">
        <f t="shared" si="18"/>
        <v/>
      </c>
      <c r="BK39" s="71" t="s">
        <v>171</v>
      </c>
      <c r="BL39" s="70">
        <v>99</v>
      </c>
      <c r="BM39" s="5">
        <v>12.3</v>
      </c>
      <c r="BN39" s="77">
        <v>12.4</v>
      </c>
      <c r="BO39" s="78">
        <f t="shared" si="51"/>
        <v>13.2</v>
      </c>
      <c r="BP39" s="79">
        <v>13.3</v>
      </c>
      <c r="BQ39" s="80">
        <v>19.899999999999999</v>
      </c>
      <c r="BR39" s="81">
        <f t="shared" si="52"/>
        <v>20</v>
      </c>
      <c r="BS39" s="82">
        <v>23.1</v>
      </c>
      <c r="BT39" s="83">
        <v>23.2</v>
      </c>
      <c r="BU39" s="41"/>
      <c r="BV39" s="87" t="s">
        <v>171</v>
      </c>
      <c r="BW39" s="86">
        <v>99</v>
      </c>
      <c r="BX39" s="5">
        <v>11.8</v>
      </c>
      <c r="BY39" s="88">
        <v>11.9</v>
      </c>
      <c r="BZ39" s="78">
        <f t="shared" si="53"/>
        <v>12.8</v>
      </c>
      <c r="CA39" s="89">
        <v>12.9</v>
      </c>
      <c r="CB39" s="90">
        <v>20.8</v>
      </c>
      <c r="CC39" s="92">
        <f t="shared" si="54"/>
        <v>20.9</v>
      </c>
      <c r="CD39" s="93">
        <v>25.2</v>
      </c>
      <c r="CE39" s="83" t="s">
        <v>172</v>
      </c>
      <c r="CF39" s="5"/>
      <c r="CG39" s="91" t="str">
        <f t="shared" si="19"/>
        <v/>
      </c>
      <c r="CH39" s="91"/>
      <c r="CI39" s="91" t="str">
        <f t="shared" si="20"/>
        <v/>
      </c>
      <c r="CJ39" s="91"/>
      <c r="CK39" s="91" t="str">
        <f t="shared" si="21"/>
        <v/>
      </c>
      <c r="CL39" s="91" t="str">
        <f t="shared" si="22"/>
        <v/>
      </c>
      <c r="CM39" s="91" t="str">
        <f t="shared" si="23"/>
        <v/>
      </c>
      <c r="CN39" s="91" t="str">
        <f t="shared" si="24"/>
        <v/>
      </c>
      <c r="CO39" s="91" t="str">
        <f t="shared" si="25"/>
        <v/>
      </c>
      <c r="CP39" s="91" t="str">
        <f t="shared" si="26"/>
        <v/>
      </c>
      <c r="CQ39" s="91" t="str">
        <f t="shared" si="27"/>
        <v/>
      </c>
      <c r="CR39" s="91" t="str">
        <f t="shared" si="28"/>
        <v/>
      </c>
      <c r="CS39" s="91" t="str">
        <f t="shared" si="29"/>
        <v/>
      </c>
      <c r="CT39" s="91" t="str">
        <f t="shared" si="30"/>
        <v/>
      </c>
      <c r="CV39" s="94"/>
      <c r="CW39" s="95">
        <v>27</v>
      </c>
      <c r="CX39" s="96">
        <f t="shared" si="55"/>
        <v>9</v>
      </c>
      <c r="CY39" s="97">
        <v>9.1</v>
      </c>
      <c r="CZ39" s="96">
        <f t="shared" si="56"/>
        <v>10</v>
      </c>
      <c r="DA39" s="97">
        <v>10.1</v>
      </c>
      <c r="DB39" s="97">
        <v>16.100000000000001</v>
      </c>
      <c r="DC39" s="96">
        <f t="shared" si="57"/>
        <v>16.2</v>
      </c>
      <c r="DD39" s="41"/>
      <c r="DE39" s="41"/>
      <c r="DF39" s="41"/>
      <c r="DG39" s="94"/>
      <c r="DH39" s="96">
        <f t="shared" si="58"/>
        <v>8.5</v>
      </c>
      <c r="DI39" s="97">
        <v>8.6</v>
      </c>
      <c r="DJ39" s="96">
        <f t="shared" si="59"/>
        <v>9.4</v>
      </c>
      <c r="DK39" s="97">
        <v>9.5</v>
      </c>
      <c r="DL39" s="97">
        <v>15.7</v>
      </c>
      <c r="DM39" s="96">
        <f t="shared" si="60"/>
        <v>15.8</v>
      </c>
      <c r="DN39" s="106">
        <v>15.8</v>
      </c>
      <c r="DO39" s="41"/>
      <c r="DP39" s="66" t="str">
        <f t="shared" si="31"/>
        <v/>
      </c>
      <c r="DQ39" s="60" t="str">
        <f t="shared" si="32"/>
        <v/>
      </c>
      <c r="DR39" s="60" t="str">
        <f t="shared" si="33"/>
        <v/>
      </c>
      <c r="DS39" s="60" t="str">
        <f t="shared" si="34"/>
        <v/>
      </c>
      <c r="DV39" s="119" t="s">
        <v>173</v>
      </c>
      <c r="DW39" s="120">
        <v>64</v>
      </c>
      <c r="DX39" s="121">
        <v>97.7</v>
      </c>
      <c r="DY39" s="145">
        <v>97.8</v>
      </c>
      <c r="DZ39" s="146">
        <v>102.4</v>
      </c>
      <c r="EA39" s="139" t="s">
        <v>174</v>
      </c>
      <c r="EB39" s="147">
        <v>121.2</v>
      </c>
      <c r="EC39" s="148">
        <v>121.3</v>
      </c>
      <c r="EE39" s="143" t="s">
        <v>173</v>
      </c>
      <c r="EF39" s="144">
        <v>64</v>
      </c>
      <c r="EG39" s="170">
        <v>96.4</v>
      </c>
      <c r="EH39" s="174">
        <v>96.5</v>
      </c>
      <c r="EI39" s="175">
        <v>101.3</v>
      </c>
      <c r="EJ39" s="176">
        <v>101.4</v>
      </c>
      <c r="EK39" s="177">
        <v>120.9</v>
      </c>
      <c r="EL39" s="173">
        <v>121</v>
      </c>
      <c r="EN39" s="154" t="str">
        <f t="shared" si="35"/>
        <v/>
      </c>
      <c r="EO39" s="154" t="e">
        <f t="shared" si="36"/>
        <v>#N/A</v>
      </c>
      <c r="EP39" s="154" t="e">
        <f t="shared" si="37"/>
        <v>#N/A</v>
      </c>
      <c r="EQ39" s="154" t="e">
        <f t="shared" si="38"/>
        <v>#N/A</v>
      </c>
      <c r="ES39" s="154" t="e">
        <f t="shared" si="39"/>
        <v>#N/A</v>
      </c>
      <c r="ET39" s="154" t="e">
        <f t="shared" si="40"/>
        <v>#N/A</v>
      </c>
      <c r="EU39" s="154" t="e">
        <f t="shared" si="41"/>
        <v>#N/A</v>
      </c>
      <c r="EW39" s="60">
        <f t="shared" si="42"/>
        <v>0</v>
      </c>
      <c r="EX39" s="60">
        <f t="shared" si="43"/>
        <v>0</v>
      </c>
      <c r="EY39" s="60">
        <f t="shared" si="44"/>
        <v>0</v>
      </c>
      <c r="EZ39" s="60">
        <f t="shared" si="45"/>
        <v>0</v>
      </c>
      <c r="FA39" s="60">
        <f t="shared" si="46"/>
        <v>0</v>
      </c>
      <c r="FB39" s="60">
        <f t="shared" si="47"/>
        <v>0</v>
      </c>
      <c r="FC39" s="60">
        <f t="shared" si="48"/>
        <v>0</v>
      </c>
      <c r="FD39" s="60">
        <f t="shared" si="49"/>
        <v>0</v>
      </c>
    </row>
    <row r="40" spans="1:160" ht="10.5" customHeight="1">
      <c r="A40" s="8" t="str">
        <f t="shared" si="50"/>
        <v/>
      </c>
      <c r="B40" s="9" t="str">
        <f t="shared" si="0"/>
        <v/>
      </c>
      <c r="C40" s="18"/>
      <c r="D40" s="16"/>
      <c r="E40" s="17"/>
      <c r="F40" s="17"/>
      <c r="G40" s="13"/>
      <c r="H40" s="14" t="str">
        <f t="shared" si="1"/>
        <v/>
      </c>
      <c r="I40" s="8" t="str">
        <f t="shared" si="2"/>
        <v/>
      </c>
      <c r="J40" s="9" t="str">
        <f t="shared" si="3"/>
        <v/>
      </c>
      <c r="K40" s="32" t="str">
        <f t="shared" si="4"/>
        <v/>
      </c>
      <c r="L40" s="33" t="str">
        <f t="shared" si="5"/>
        <v/>
      </c>
      <c r="M40" s="34" t="str">
        <f t="shared" si="6"/>
        <v/>
      </c>
      <c r="N40" s="35" t="str">
        <f t="shared" si="7"/>
        <v/>
      </c>
      <c r="O40" s="36"/>
      <c r="P40" s="36"/>
      <c r="Q40" s="36"/>
      <c r="R40" s="36"/>
      <c r="S40" s="36"/>
      <c r="T40" s="36"/>
      <c r="U40" s="36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53"/>
      <c r="AS40" s="53"/>
      <c r="AT40" s="53"/>
      <c r="AW40" s="5"/>
      <c r="AX40" s="5"/>
      <c r="AY40" s="60" t="str">
        <f t="shared" si="8"/>
        <v/>
      </c>
      <c r="AZ40" s="60" t="str">
        <f t="shared" si="9"/>
        <v/>
      </c>
      <c r="BA40" s="61" t="str">
        <f t="shared" si="10"/>
        <v/>
      </c>
      <c r="BB40" s="61" t="str">
        <f t="shared" si="11"/>
        <v/>
      </c>
      <c r="BC40" s="61" t="str">
        <f t="shared" si="12"/>
        <v/>
      </c>
      <c r="BD40" s="61" t="str">
        <f t="shared" si="13"/>
        <v/>
      </c>
      <c r="BE40" s="64" t="str">
        <f t="shared" si="14"/>
        <v/>
      </c>
      <c r="BF40" s="64" t="str">
        <f t="shared" si="15"/>
        <v/>
      </c>
      <c r="BG40" s="64" t="str">
        <f t="shared" si="16"/>
        <v/>
      </c>
      <c r="BH40" s="64" t="str">
        <f t="shared" si="17"/>
        <v/>
      </c>
      <c r="BI40" s="65"/>
      <c r="BJ40" s="66" t="str">
        <f t="shared" si="18"/>
        <v/>
      </c>
      <c r="BK40" s="71" t="s">
        <v>175</v>
      </c>
      <c r="BL40" s="70">
        <v>100</v>
      </c>
      <c r="BM40" s="5">
        <v>12.3</v>
      </c>
      <c r="BN40" s="77">
        <v>12.4</v>
      </c>
      <c r="BO40" s="78">
        <f t="shared" si="51"/>
        <v>13.3</v>
      </c>
      <c r="BP40" s="79">
        <v>13.4</v>
      </c>
      <c r="BQ40" s="80">
        <v>19.899999999999999</v>
      </c>
      <c r="BR40" s="81">
        <f t="shared" si="52"/>
        <v>20</v>
      </c>
      <c r="BS40" s="82">
        <v>23.3</v>
      </c>
      <c r="BT40" s="83">
        <v>23.4</v>
      </c>
      <c r="BU40" s="41"/>
      <c r="BV40" s="87" t="s">
        <v>175</v>
      </c>
      <c r="BW40" s="86">
        <v>100</v>
      </c>
      <c r="BX40" s="5">
        <v>11.8</v>
      </c>
      <c r="BY40" s="88">
        <v>11.9</v>
      </c>
      <c r="BZ40" s="78">
        <f t="shared" si="53"/>
        <v>12.9</v>
      </c>
      <c r="CA40" s="89">
        <v>13</v>
      </c>
      <c r="CB40" s="90">
        <v>20.9</v>
      </c>
      <c r="CC40" s="92">
        <f t="shared" si="54"/>
        <v>21</v>
      </c>
      <c r="CD40" s="93">
        <v>25.3</v>
      </c>
      <c r="CE40" s="83" t="s">
        <v>176</v>
      </c>
      <c r="CF40" s="5"/>
      <c r="CG40" s="91" t="str">
        <f t="shared" si="19"/>
        <v/>
      </c>
      <c r="CH40" s="91"/>
      <c r="CI40" s="91" t="str">
        <f t="shared" si="20"/>
        <v/>
      </c>
      <c r="CJ40" s="91"/>
      <c r="CK40" s="91" t="str">
        <f t="shared" si="21"/>
        <v/>
      </c>
      <c r="CL40" s="91" t="str">
        <f t="shared" si="22"/>
        <v/>
      </c>
      <c r="CM40" s="91" t="str">
        <f t="shared" si="23"/>
        <v/>
      </c>
      <c r="CN40" s="91" t="str">
        <f t="shared" si="24"/>
        <v/>
      </c>
      <c r="CO40" s="91" t="str">
        <f t="shared" si="25"/>
        <v/>
      </c>
      <c r="CP40" s="91" t="str">
        <f t="shared" si="26"/>
        <v/>
      </c>
      <c r="CQ40" s="91" t="str">
        <f t="shared" si="27"/>
        <v/>
      </c>
      <c r="CR40" s="91" t="str">
        <f t="shared" si="28"/>
        <v/>
      </c>
      <c r="CS40" s="91" t="str">
        <f t="shared" si="29"/>
        <v/>
      </c>
      <c r="CT40" s="91" t="str">
        <f t="shared" si="30"/>
        <v/>
      </c>
      <c r="CV40" s="94"/>
      <c r="CW40" s="95">
        <v>28</v>
      </c>
      <c r="CX40" s="96">
        <f t="shared" si="55"/>
        <v>9.1</v>
      </c>
      <c r="CY40" s="97">
        <v>9.1999999999999993</v>
      </c>
      <c r="CZ40" s="96">
        <f t="shared" si="56"/>
        <v>10.1</v>
      </c>
      <c r="DA40" s="97">
        <v>10.199999999999999</v>
      </c>
      <c r="DB40" s="97">
        <v>16.3</v>
      </c>
      <c r="DC40" s="96">
        <f t="shared" si="57"/>
        <v>16.399999999999999</v>
      </c>
      <c r="DD40" s="41"/>
      <c r="DE40" s="41"/>
      <c r="DF40" s="41"/>
      <c r="DG40" s="94"/>
      <c r="DH40" s="96">
        <f t="shared" si="58"/>
        <v>8.6</v>
      </c>
      <c r="DI40" s="97">
        <v>8.6999999999999993</v>
      </c>
      <c r="DJ40" s="96">
        <f t="shared" si="59"/>
        <v>9.6</v>
      </c>
      <c r="DK40" s="97">
        <v>9.6999999999999993</v>
      </c>
      <c r="DL40" s="97">
        <v>16</v>
      </c>
      <c r="DM40" s="96">
        <f t="shared" si="60"/>
        <v>16.100000000000001</v>
      </c>
      <c r="DN40" s="106">
        <v>16.100000000000001</v>
      </c>
      <c r="DO40" s="41"/>
      <c r="DP40" s="66" t="str">
        <f t="shared" si="31"/>
        <v/>
      </c>
      <c r="DQ40" s="60" t="str">
        <f t="shared" si="32"/>
        <v/>
      </c>
      <c r="DR40" s="60" t="str">
        <f t="shared" si="33"/>
        <v/>
      </c>
      <c r="DS40" s="60" t="str">
        <f t="shared" si="34"/>
        <v/>
      </c>
      <c r="DV40" s="119" t="s">
        <v>177</v>
      </c>
      <c r="DW40" s="120">
        <v>65</v>
      </c>
      <c r="DX40" s="121">
        <v>98.1</v>
      </c>
      <c r="DY40" s="145">
        <v>98.2</v>
      </c>
      <c r="DZ40" s="146">
        <v>102.9</v>
      </c>
      <c r="EA40" s="139" t="s">
        <v>178</v>
      </c>
      <c r="EB40" s="147">
        <v>121.8</v>
      </c>
      <c r="EC40" s="148">
        <v>121.9</v>
      </c>
      <c r="EE40" s="143" t="s">
        <v>177</v>
      </c>
      <c r="EF40" s="144">
        <v>65</v>
      </c>
      <c r="EG40" s="170">
        <v>96.9</v>
      </c>
      <c r="EH40" s="174">
        <v>97</v>
      </c>
      <c r="EI40" s="175">
        <v>101.8</v>
      </c>
      <c r="EJ40" s="176">
        <v>101.9</v>
      </c>
      <c r="EK40" s="177">
        <v>121.5</v>
      </c>
      <c r="EL40" s="173">
        <v>121.6</v>
      </c>
      <c r="EN40" s="154" t="str">
        <f t="shared" si="35"/>
        <v/>
      </c>
      <c r="EO40" s="154" t="e">
        <f t="shared" si="36"/>
        <v>#N/A</v>
      </c>
      <c r="EP40" s="154" t="e">
        <f t="shared" si="37"/>
        <v>#N/A</v>
      </c>
      <c r="EQ40" s="154" t="e">
        <f t="shared" si="38"/>
        <v>#N/A</v>
      </c>
      <c r="ES40" s="154" t="e">
        <f t="shared" si="39"/>
        <v>#N/A</v>
      </c>
      <c r="ET40" s="154" t="e">
        <f t="shared" si="40"/>
        <v>#N/A</v>
      </c>
      <c r="EU40" s="154" t="e">
        <f t="shared" si="41"/>
        <v>#N/A</v>
      </c>
      <c r="EW40" s="60">
        <f t="shared" si="42"/>
        <v>0</v>
      </c>
      <c r="EX40" s="60">
        <f t="shared" si="43"/>
        <v>0</v>
      </c>
      <c r="EY40" s="60">
        <f t="shared" si="44"/>
        <v>0</v>
      </c>
      <c r="EZ40" s="60">
        <f t="shared" si="45"/>
        <v>0</v>
      </c>
      <c r="FA40" s="60">
        <f t="shared" si="46"/>
        <v>0</v>
      </c>
      <c r="FB40" s="60">
        <f t="shared" si="47"/>
        <v>0</v>
      </c>
      <c r="FC40" s="60">
        <f t="shared" si="48"/>
        <v>0</v>
      </c>
      <c r="FD40" s="60">
        <f t="shared" si="49"/>
        <v>0</v>
      </c>
    </row>
    <row r="41" spans="1:160" ht="10.5" customHeight="1">
      <c r="A41" s="8" t="str">
        <f t="shared" si="50"/>
        <v/>
      </c>
      <c r="B41" s="9" t="str">
        <f t="shared" ref="B41:B72" si="61">IF(A41="","",".")</f>
        <v/>
      </c>
      <c r="C41" s="18"/>
      <c r="D41" s="16"/>
      <c r="E41" s="17"/>
      <c r="F41" s="17"/>
      <c r="G41" s="13"/>
      <c r="H41" s="14" t="str">
        <f t="shared" ref="H41:H73" si="62">IF(F41="","",IF(AY41&lt;6,"",ROUNDDOWN(F41^2,4)))</f>
        <v/>
      </c>
      <c r="I41" s="8" t="str">
        <f t="shared" ref="I41:I73" si="63">IF(D41="","",IF(AY41&lt;=5,"",AY41))</f>
        <v/>
      </c>
      <c r="J41" s="9" t="str">
        <f t="shared" ref="J41:J72" si="64">IF(I41="","",",")</f>
        <v/>
      </c>
      <c r="K41" s="32" t="str">
        <f t="shared" ref="K41:K73" si="65">IF(D41="","",IF(I41="",BC41,AZ41))</f>
        <v/>
      </c>
      <c r="L41" s="33" t="str">
        <f t="shared" ref="L41:L73" si="66">IF(F41="","",IF(I41="","",ROUNDDOWN(E41/H41,1)))</f>
        <v/>
      </c>
      <c r="M41" s="34" t="str">
        <f t="shared" ref="M41:M73" si="67">IF(G41="","",IF(AY41&lt;6,DP41,BJ41))</f>
        <v/>
      </c>
      <c r="N41" s="35" t="str">
        <f t="shared" ref="N41:N73" si="68">IF(G41="","",IF(BC41=229,"Adult",IF(F41&lt;=ES41,$ES$8,IF(F41&lt;=ET41,$ET$8,IF(F41&lt;=EU41,$EU$8,$EV$8)))))</f>
        <v/>
      </c>
      <c r="O41" s="36"/>
      <c r="P41" s="36"/>
      <c r="Q41" s="36"/>
      <c r="R41" s="36"/>
      <c r="S41" s="36"/>
      <c r="T41" s="36"/>
      <c r="U41" s="36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53"/>
      <c r="AS41" s="53"/>
      <c r="AT41" s="53"/>
      <c r="AW41" s="5"/>
      <c r="AX41" s="5"/>
      <c r="AY41" s="60" t="str">
        <f t="shared" ref="AY41:AY73" si="69">IF(D41="","",BA41-YEAR(D41))</f>
        <v/>
      </c>
      <c r="AZ41" s="60" t="str">
        <f t="shared" ref="AZ41:AZ73" si="70">IF(D41="","",IF(BB41&gt;=MONTH(D41),BB41-MONTH(D41),BB41+12-MONTH(D41)))</f>
        <v/>
      </c>
      <c r="BA41" s="61" t="str">
        <f t="shared" ref="BA41:BA72" si="71">IF(D41="","",IF(R$1=G$84,IF(BB41&gt;=MONTH(D41),YEAR(D$6),YEAR(D$6)-1),""))</f>
        <v/>
      </c>
      <c r="BB41" s="61" t="str">
        <f t="shared" ref="BB41:BB73" si="72">IF(D41="","",IF(DAY(D$6)&gt;=DAY(D41),MONTH(D$6),MONTH(D$6)-1))</f>
        <v/>
      </c>
      <c r="BC41" s="61" t="str">
        <f t="shared" ref="BC41:BC73" si="73">IF(D41="","",IF(AY41*12+AZ41&gt;228,229,AY41*12+AZ41))</f>
        <v/>
      </c>
      <c r="BD41" s="61" t="str">
        <f t="shared" ref="BD41:BD73" si="74">IF(L41="","",L41)</f>
        <v/>
      </c>
      <c r="BE41" s="64" t="str">
        <f t="shared" ref="BE41:BE73" si="75">IF(F41="","",IF(G41="m",LOOKUP($BC41,$BL$12:$BL$184,$BM$12:$BM$184),LOOKUP($BC41,$BW$12:$BW$184,$BX$12:$BX$184)))</f>
        <v/>
      </c>
      <c r="BF41" s="64" t="str">
        <f t="shared" ref="BF41:BF73" si="76">IF(F41="","",IF(G41="m",LOOKUP($BC41,$BL$12:$BL$184,$BO$12:$BO$184),LOOKUP($BC41,$BW$12:$BW$184,$BZ$12:$BZ$184)))</f>
        <v/>
      </c>
      <c r="BG41" s="64" t="str">
        <f t="shared" ref="BG41:BG73" si="77">IF(F41="","",IF(G41="m",LOOKUP($BC41,$BL$12:$BL$184,$BQ$12:$BQ$184),LOOKUP($BC41,$BW$12:$BW$184,$CB$12:$CB$184)))</f>
        <v/>
      </c>
      <c r="BH41" s="64" t="str">
        <f t="shared" ref="BH41:BH73" si="78">IF(F41="","",IF(G41="m",LOOKUP($BC41,$BL$12:$BL$184,$BS$12:$BS$184),LOOKUP($BC41,$BW$12:$BW$184,$CD$12:$CD$184)))</f>
        <v/>
      </c>
      <c r="BI41" s="65"/>
      <c r="BJ41" s="66" t="str">
        <f t="shared" ref="BJ41:BJ73" si="79">IF(BD41="","",IF(AY41&lt;5,"",IF(BD41&lt;=BE41,$BE$7,IF(BD41&lt;=BF41,$BF$7,IF(BD41&lt;=BG41,$BG$7,IF(BD41&lt;=BH41,$BH$7,$BI$7))))))</f>
        <v/>
      </c>
      <c r="BK41" s="71" t="s">
        <v>179</v>
      </c>
      <c r="BL41" s="70">
        <v>101</v>
      </c>
      <c r="BM41" s="5">
        <v>12.4</v>
      </c>
      <c r="BN41" s="77">
        <v>12.5</v>
      </c>
      <c r="BO41" s="78">
        <f t="shared" si="51"/>
        <v>13.3</v>
      </c>
      <c r="BP41" s="79">
        <v>13.4</v>
      </c>
      <c r="BQ41" s="80">
        <v>20</v>
      </c>
      <c r="BR41" s="81">
        <f t="shared" si="52"/>
        <v>20.100000000000001</v>
      </c>
      <c r="BS41" s="82">
        <v>23.4</v>
      </c>
      <c r="BT41" s="83">
        <v>23.5</v>
      </c>
      <c r="BU41" s="41"/>
      <c r="BV41" s="87" t="s">
        <v>179</v>
      </c>
      <c r="BW41" s="86">
        <v>101</v>
      </c>
      <c r="BX41" s="5">
        <v>11.9</v>
      </c>
      <c r="BY41" s="88">
        <v>12</v>
      </c>
      <c r="BZ41" s="78">
        <f t="shared" si="53"/>
        <v>12.9</v>
      </c>
      <c r="CA41" s="89">
        <v>13</v>
      </c>
      <c r="CB41" s="90">
        <v>20.9</v>
      </c>
      <c r="CC41" s="92">
        <f t="shared" si="54"/>
        <v>21</v>
      </c>
      <c r="CD41" s="93">
        <v>25.5</v>
      </c>
      <c r="CE41" s="83" t="s">
        <v>180</v>
      </c>
      <c r="CF41" s="5"/>
      <c r="CG41" s="91" t="str">
        <f t="shared" ref="CG41:CG73" si="80">IF($G41="","",IF($G41="f","",IF($M41=$CG$7,1,0)))</f>
        <v/>
      </c>
      <c r="CH41" s="91"/>
      <c r="CI41" s="91" t="str">
        <f t="shared" ref="CI41:CI73" si="81">IF($G41="","",IF($G41="f","",IF($M41=$CI$7,1,0)))</f>
        <v/>
      </c>
      <c r="CJ41" s="91"/>
      <c r="CK41" s="91" t="str">
        <f t="shared" ref="CK41:CK73" si="82">IF($G41="","",IF($G41="f","",IF($M41=$CK$7,1,0)))</f>
        <v/>
      </c>
      <c r="CL41" s="91" t="str">
        <f t="shared" ref="CL41:CL73" si="83">IF($G41="","",IF($G41="f","",IF($M41=$CL$7,1,0)))</f>
        <v/>
      </c>
      <c r="CM41" s="91" t="str">
        <f t="shared" ref="CM41:CM73" si="84">IF($G41="","",IF($G41="f","",IF($M41=$CM$7,1,0)))</f>
        <v/>
      </c>
      <c r="CN41" s="91" t="str">
        <f t="shared" ref="CN41:CN73" si="85">IF(G41="","",IF(G41="m","",IF($M41=$CN$7,1,0)))</f>
        <v/>
      </c>
      <c r="CO41" s="91" t="str">
        <f t="shared" ref="CO41:CO73" si="86">IF(G41="","",IF(G41="m","",IF($M41=$CO$7,1,0)))</f>
        <v/>
      </c>
      <c r="CP41" s="91" t="str">
        <f t="shared" ref="CP41:CP73" si="87">IF(G41="","",IF(G41="m","",IF($M41=$CP$7,1,0)))</f>
        <v/>
      </c>
      <c r="CQ41" s="91" t="str">
        <f t="shared" ref="CQ41:CQ73" si="88">IF(G41="","",IF(G41="m","",IF($M41=$CQ$7,1,0)))</f>
        <v/>
      </c>
      <c r="CR41" s="91" t="str">
        <f t="shared" ref="CR41:CR73" si="89">IF(G41="","",IF(G41="m","",IF($M41=$CR$7,1,0)))</f>
        <v/>
      </c>
      <c r="CS41" s="91" t="str">
        <f t="shared" ref="CS41:CS73" si="90">IF(G41="","",IF(G41="m","",IF($M41=$CS$7,1,0)))</f>
        <v/>
      </c>
      <c r="CT41" s="91" t="str">
        <f t="shared" ref="CT41:CT73" si="91">IF(G41="","",IF(G41="m","",IF($M41=$CT$7,1,0)))</f>
        <v/>
      </c>
      <c r="CV41" s="94"/>
      <c r="CW41" s="95">
        <v>29</v>
      </c>
      <c r="CX41" s="96">
        <f t="shared" si="55"/>
        <v>9.1999999999999993</v>
      </c>
      <c r="CY41" s="97">
        <v>9.3000000000000007</v>
      </c>
      <c r="CZ41" s="96">
        <f t="shared" si="56"/>
        <v>10.3</v>
      </c>
      <c r="DA41" s="97">
        <v>10.4</v>
      </c>
      <c r="DB41" s="97">
        <v>16.600000000000001</v>
      </c>
      <c r="DC41" s="96">
        <f t="shared" si="57"/>
        <v>16.7</v>
      </c>
      <c r="DD41" s="41"/>
      <c r="DE41" s="41"/>
      <c r="DF41" s="41"/>
      <c r="DG41" s="94"/>
      <c r="DH41" s="96">
        <f t="shared" si="58"/>
        <v>8.8000000000000007</v>
      </c>
      <c r="DI41" s="97">
        <v>8.9</v>
      </c>
      <c r="DJ41" s="96">
        <f t="shared" si="59"/>
        <v>9.6999999999999993</v>
      </c>
      <c r="DK41" s="97">
        <v>9.8000000000000007</v>
      </c>
      <c r="DL41" s="97">
        <v>16.2</v>
      </c>
      <c r="DM41" s="96">
        <f t="shared" si="60"/>
        <v>16.3</v>
      </c>
      <c r="DN41" s="106">
        <v>16.3</v>
      </c>
      <c r="DO41" s="41"/>
      <c r="DP41" s="66" t="str">
        <f t="shared" ref="DP41:DP72" si="92">IF(AY41&gt;5,"",IF(E41&lt;=DQ41,$DI$9,IF(E41&lt;=DR41,$DJ$9,IF(E41&lt;=DS41,$DL$9,$DN$9))))</f>
        <v/>
      </c>
      <c r="DQ41" s="60" t="str">
        <f t="shared" ref="DQ41:DQ74" si="93">IF(G41="","",IF(AY41&gt;=6,"",IF(G41="m",LOOKUP(BC41,$CW$12:$CW$83,$CX$12:$CX$83),LOOKUP(BC41,$CW$12:$CW$83,$DI$12:$DI$83))))</f>
        <v/>
      </c>
      <c r="DR41" s="60" t="str">
        <f t="shared" ref="DR41:DR74" si="94">IF(G41="","",IF(AY41&gt;=6,"",IF(G41="m",LOOKUP(BC41,$CW$12:$CW$83,$CZ$12:$CZ$83),LOOKUP(BC41,$CW$12:$CW$83,$DK$12:$DK$83))))</f>
        <v/>
      </c>
      <c r="DS41" s="60" t="str">
        <f t="shared" ref="DS41:DS74" si="95">IF(G41="","",IF(AY41&gt;=6,"",IF(G41="m",LOOKUP(BC41,$CW$12:$CW$83,$DB$12:$DB$83),LOOKUP(BC41,$CW$12:$CW$83,$DM$12:$DM$83))))</f>
        <v/>
      </c>
      <c r="DV41" s="119" t="s">
        <v>181</v>
      </c>
      <c r="DW41" s="120">
        <v>66</v>
      </c>
      <c r="DX41" s="121">
        <v>98.6</v>
      </c>
      <c r="DY41" s="145">
        <v>98.7</v>
      </c>
      <c r="DZ41" s="146">
        <v>103.3</v>
      </c>
      <c r="EA41" s="139" t="s">
        <v>182</v>
      </c>
      <c r="EB41" s="147">
        <v>122.4</v>
      </c>
      <c r="EC41" s="148">
        <v>122.5</v>
      </c>
      <c r="EE41" s="143" t="s">
        <v>181</v>
      </c>
      <c r="EF41" s="144">
        <v>66</v>
      </c>
      <c r="EG41" s="170">
        <v>97.3</v>
      </c>
      <c r="EH41" s="174">
        <v>97.4</v>
      </c>
      <c r="EI41" s="175">
        <v>102.2</v>
      </c>
      <c r="EJ41" s="176">
        <v>102.3</v>
      </c>
      <c r="EK41" s="177">
        <v>122</v>
      </c>
      <c r="EL41" s="173">
        <v>122.1</v>
      </c>
      <c r="EN41" s="154" t="str">
        <f t="shared" ref="EN41:EN73" si="96">BC41</f>
        <v/>
      </c>
      <c r="EO41" s="154" t="e">
        <f t="shared" ref="EO41:EO72" si="97">IF(G41="m",LOOKUP(EN41,$DW$11:$DW$179,$DX$11:$DX$179),LOOKUP(EN41,$DW$11:$DW$179,$EG$11:$EG$179))</f>
        <v>#N/A</v>
      </c>
      <c r="EP41" s="154" t="e">
        <f t="shared" ref="EP41:EP73" si="98">IF(G41="m",LOOKUP(EN41,$DW$11:$DW$205,$DZ$11:$DZ$205),LOOKUP(EN41,$DW$11:$DW$205,$EI$11:$EI$205))</f>
        <v>#N/A</v>
      </c>
      <c r="EQ41" s="154" t="e">
        <f t="shared" ref="EQ41:EQ73" si="99">IF(G41="m",LOOKUP(EN41,$DW$11:$DW$205,$EB$11:$EB$205),LOOKUP(EN41,$DW$11:$DW$179,$EK$11:$EK$179))</f>
        <v>#N/A</v>
      </c>
      <c r="ES41" s="154" t="e">
        <f t="shared" ref="ES41:ES73" si="100">EO41/100</f>
        <v>#N/A</v>
      </c>
      <c r="ET41" s="154" t="e">
        <f t="shared" ref="ET41:ET73" si="101">EP41/100</f>
        <v>#N/A</v>
      </c>
      <c r="EU41" s="154" t="e">
        <f t="shared" ref="EU41:EU73" si="102">EQ41/100</f>
        <v>#N/A</v>
      </c>
      <c r="EW41" s="60">
        <f t="shared" ref="EW41:EW73" si="103">IF(G41="f","",IF($N41=$EW$8,1,0))</f>
        <v>0</v>
      </c>
      <c r="EX41" s="60">
        <f t="shared" ref="EX41:EX73" si="104">IF(G41="f","",IF($N41=$EX$8,1,0))</f>
        <v>0</v>
      </c>
      <c r="EY41" s="60">
        <f t="shared" ref="EY41:EY73" si="105">IF(G41="f","",IF($N41=$EY$8,1,0))</f>
        <v>0</v>
      </c>
      <c r="EZ41" s="60">
        <f t="shared" ref="EZ41:EZ73" si="106">IF(G41="f","",IF($N41=$EZ$8,1,0))</f>
        <v>0</v>
      </c>
      <c r="FA41" s="60">
        <f t="shared" ref="FA41:FA73" si="107">IF(G41="m","",IF($N41=$FA$8,1,0))</f>
        <v>0</v>
      </c>
      <c r="FB41" s="60">
        <f t="shared" ref="FB41:FB73" si="108">IF(G41="m","",IF($N41=$FB$8,1,0))</f>
        <v>0</v>
      </c>
      <c r="FC41" s="60">
        <f t="shared" ref="FC41:FC73" si="109">IF(G41="m","",IF($N41=$FC$8,1,0))</f>
        <v>0</v>
      </c>
      <c r="FD41" s="60">
        <f t="shared" ref="FD41:FD73" si="110">IF(G41="m","",IF($N41=$FD$8,1,0))</f>
        <v>0</v>
      </c>
    </row>
    <row r="42" spans="1:160" ht="10.5" customHeight="1">
      <c r="A42" s="8" t="str">
        <f t="shared" ref="A42:A73" si="111">IF(C42="","",IF(C42="female","",IF(C41="female","1",A41+1)))</f>
        <v/>
      </c>
      <c r="B42" s="9" t="str">
        <f t="shared" si="61"/>
        <v/>
      </c>
      <c r="C42" s="18"/>
      <c r="D42" s="16"/>
      <c r="E42" s="17"/>
      <c r="F42" s="17"/>
      <c r="G42" s="13"/>
      <c r="H42" s="14" t="str">
        <f t="shared" si="62"/>
        <v/>
      </c>
      <c r="I42" s="8" t="str">
        <f t="shared" si="63"/>
        <v/>
      </c>
      <c r="J42" s="9" t="str">
        <f t="shared" si="64"/>
        <v/>
      </c>
      <c r="K42" s="32" t="str">
        <f t="shared" si="65"/>
        <v/>
      </c>
      <c r="L42" s="33" t="str">
        <f t="shared" si="66"/>
        <v/>
      </c>
      <c r="M42" s="34" t="str">
        <f t="shared" si="67"/>
        <v/>
      </c>
      <c r="N42" s="35" t="str">
        <f t="shared" si="68"/>
        <v/>
      </c>
      <c r="O42" s="36"/>
      <c r="P42" s="36"/>
      <c r="Q42" s="36"/>
      <c r="R42" s="36"/>
      <c r="S42" s="36"/>
      <c r="T42" s="36"/>
      <c r="U42" s="36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53"/>
      <c r="AS42" s="53"/>
      <c r="AT42" s="53"/>
      <c r="AW42" s="5"/>
      <c r="AX42" s="5"/>
      <c r="AY42" s="60" t="str">
        <f t="shared" si="69"/>
        <v/>
      </c>
      <c r="AZ42" s="60" t="str">
        <f t="shared" si="70"/>
        <v/>
      </c>
      <c r="BA42" s="61" t="str">
        <f t="shared" si="71"/>
        <v/>
      </c>
      <c r="BB42" s="61" t="str">
        <f t="shared" si="72"/>
        <v/>
      </c>
      <c r="BC42" s="61" t="str">
        <f t="shared" si="73"/>
        <v/>
      </c>
      <c r="BD42" s="61" t="str">
        <f t="shared" si="74"/>
        <v/>
      </c>
      <c r="BE42" s="64" t="str">
        <f t="shared" si="75"/>
        <v/>
      </c>
      <c r="BF42" s="64" t="str">
        <f t="shared" si="76"/>
        <v/>
      </c>
      <c r="BG42" s="64" t="str">
        <f t="shared" si="77"/>
        <v/>
      </c>
      <c r="BH42" s="64" t="str">
        <f t="shared" si="78"/>
        <v/>
      </c>
      <c r="BI42" s="65"/>
      <c r="BJ42" s="66" t="str">
        <f t="shared" si="79"/>
        <v/>
      </c>
      <c r="BK42" s="71" t="s">
        <v>183</v>
      </c>
      <c r="BL42" s="70">
        <v>102</v>
      </c>
      <c r="BM42" s="5">
        <v>12.4</v>
      </c>
      <c r="BN42" s="77">
        <v>12.5</v>
      </c>
      <c r="BO42" s="78">
        <f t="shared" si="51"/>
        <v>13.3</v>
      </c>
      <c r="BP42" s="79">
        <v>13.4</v>
      </c>
      <c r="BQ42" s="80">
        <v>20.100000000000001</v>
      </c>
      <c r="BR42" s="81">
        <f t="shared" si="52"/>
        <v>20.2</v>
      </c>
      <c r="BS42" s="82">
        <v>23.5</v>
      </c>
      <c r="BT42" s="83">
        <v>23.6</v>
      </c>
      <c r="BU42" s="41"/>
      <c r="BV42" s="87" t="s">
        <v>183</v>
      </c>
      <c r="BW42" s="86">
        <v>102</v>
      </c>
      <c r="BX42" s="5">
        <v>11.9</v>
      </c>
      <c r="BY42" s="88">
        <v>12</v>
      </c>
      <c r="BZ42" s="78">
        <f t="shared" si="53"/>
        <v>12.9</v>
      </c>
      <c r="CA42" s="89">
        <v>13</v>
      </c>
      <c r="CB42" s="90">
        <v>21</v>
      </c>
      <c r="CC42" s="92">
        <f t="shared" si="54"/>
        <v>21.1</v>
      </c>
      <c r="CD42" s="93">
        <v>25.6</v>
      </c>
      <c r="CE42" s="83" t="s">
        <v>184</v>
      </c>
      <c r="CF42" s="5"/>
      <c r="CG42" s="91" t="str">
        <f t="shared" si="80"/>
        <v/>
      </c>
      <c r="CH42" s="91"/>
      <c r="CI42" s="91" t="str">
        <f t="shared" si="81"/>
        <v/>
      </c>
      <c r="CJ42" s="91"/>
      <c r="CK42" s="91" t="str">
        <f t="shared" si="82"/>
        <v/>
      </c>
      <c r="CL42" s="91" t="str">
        <f t="shared" si="83"/>
        <v/>
      </c>
      <c r="CM42" s="91" t="str">
        <f t="shared" si="84"/>
        <v/>
      </c>
      <c r="CN42" s="91" t="str">
        <f t="shared" si="85"/>
        <v/>
      </c>
      <c r="CO42" s="91" t="str">
        <f t="shared" si="86"/>
        <v/>
      </c>
      <c r="CP42" s="91" t="str">
        <f t="shared" si="87"/>
        <v/>
      </c>
      <c r="CQ42" s="91" t="str">
        <f t="shared" si="88"/>
        <v/>
      </c>
      <c r="CR42" s="91" t="str">
        <f t="shared" si="89"/>
        <v/>
      </c>
      <c r="CS42" s="91" t="str">
        <f t="shared" si="90"/>
        <v/>
      </c>
      <c r="CT42" s="91" t="str">
        <f t="shared" si="91"/>
        <v/>
      </c>
      <c r="CV42" s="94"/>
      <c r="CW42" s="95">
        <v>30</v>
      </c>
      <c r="CX42" s="96">
        <f t="shared" si="55"/>
        <v>9.4</v>
      </c>
      <c r="CY42" s="97">
        <v>9.5</v>
      </c>
      <c r="CZ42" s="96">
        <f t="shared" si="56"/>
        <v>10.4</v>
      </c>
      <c r="DA42" s="97">
        <v>10.5</v>
      </c>
      <c r="DB42" s="97">
        <v>16.899999999999999</v>
      </c>
      <c r="DC42" s="96">
        <f t="shared" si="57"/>
        <v>17</v>
      </c>
      <c r="DD42" s="41"/>
      <c r="DE42" s="41"/>
      <c r="DF42" s="41"/>
      <c r="DG42" s="94"/>
      <c r="DH42" s="96">
        <f t="shared" si="58"/>
        <v>8.9</v>
      </c>
      <c r="DI42" s="97">
        <v>9</v>
      </c>
      <c r="DJ42" s="96">
        <f t="shared" si="59"/>
        <v>9.9</v>
      </c>
      <c r="DK42" s="97">
        <v>10</v>
      </c>
      <c r="DL42" s="97">
        <v>16.5</v>
      </c>
      <c r="DM42" s="96">
        <f t="shared" si="60"/>
        <v>16.600000000000001</v>
      </c>
      <c r="DN42" s="107">
        <v>16.600000000000001</v>
      </c>
      <c r="DO42" s="41"/>
      <c r="DP42" s="66" t="str">
        <f t="shared" si="92"/>
        <v/>
      </c>
      <c r="DQ42" s="60" t="str">
        <f t="shared" si="93"/>
        <v/>
      </c>
      <c r="DR42" s="60" t="str">
        <f t="shared" si="94"/>
        <v/>
      </c>
      <c r="DS42" s="60" t="str">
        <f t="shared" si="95"/>
        <v/>
      </c>
      <c r="DV42" s="119" t="s">
        <v>185</v>
      </c>
      <c r="DW42" s="120">
        <v>67</v>
      </c>
      <c r="DX42" s="121">
        <v>99</v>
      </c>
      <c r="DY42" s="145">
        <v>99.1</v>
      </c>
      <c r="DZ42" s="146">
        <v>103.8</v>
      </c>
      <c r="EA42" s="139" t="s">
        <v>186</v>
      </c>
      <c r="EB42" s="147">
        <v>123</v>
      </c>
      <c r="EC42" s="148">
        <v>123.1</v>
      </c>
      <c r="EE42" s="143" t="s">
        <v>185</v>
      </c>
      <c r="EF42" s="144">
        <v>67</v>
      </c>
      <c r="EG42" s="170">
        <v>97.7</v>
      </c>
      <c r="EH42" s="174">
        <v>97.8</v>
      </c>
      <c r="EI42" s="175">
        <v>102.6</v>
      </c>
      <c r="EJ42" s="176">
        <v>102.7</v>
      </c>
      <c r="EK42" s="177">
        <v>122.6</v>
      </c>
      <c r="EL42" s="173">
        <v>122.7</v>
      </c>
      <c r="EN42" s="154" t="str">
        <f t="shared" si="96"/>
        <v/>
      </c>
      <c r="EO42" s="154" t="e">
        <f t="shared" si="97"/>
        <v>#N/A</v>
      </c>
      <c r="EP42" s="154" t="e">
        <f t="shared" si="98"/>
        <v>#N/A</v>
      </c>
      <c r="EQ42" s="154" t="e">
        <f t="shared" si="99"/>
        <v>#N/A</v>
      </c>
      <c r="ES42" s="154" t="e">
        <f t="shared" si="100"/>
        <v>#N/A</v>
      </c>
      <c r="ET42" s="154" t="e">
        <f t="shared" si="101"/>
        <v>#N/A</v>
      </c>
      <c r="EU42" s="154" t="e">
        <f t="shared" si="102"/>
        <v>#N/A</v>
      </c>
      <c r="EW42" s="60">
        <f t="shared" si="103"/>
        <v>0</v>
      </c>
      <c r="EX42" s="60">
        <f t="shared" si="104"/>
        <v>0</v>
      </c>
      <c r="EY42" s="60">
        <f t="shared" si="105"/>
        <v>0</v>
      </c>
      <c r="EZ42" s="60">
        <f t="shared" si="106"/>
        <v>0</v>
      </c>
      <c r="FA42" s="60">
        <f t="shared" si="107"/>
        <v>0</v>
      </c>
      <c r="FB42" s="60">
        <f t="shared" si="108"/>
        <v>0</v>
      </c>
      <c r="FC42" s="60">
        <f t="shared" si="109"/>
        <v>0</v>
      </c>
      <c r="FD42" s="60">
        <f t="shared" si="110"/>
        <v>0</v>
      </c>
    </row>
    <row r="43" spans="1:160" ht="10.5" customHeight="1">
      <c r="A43" s="8" t="str">
        <f t="shared" si="111"/>
        <v/>
      </c>
      <c r="B43" s="9" t="str">
        <f t="shared" si="61"/>
        <v/>
      </c>
      <c r="C43" s="18"/>
      <c r="D43" s="16"/>
      <c r="E43" s="17"/>
      <c r="F43" s="17"/>
      <c r="G43" s="13"/>
      <c r="H43" s="14" t="str">
        <f t="shared" si="62"/>
        <v/>
      </c>
      <c r="I43" s="8" t="str">
        <f t="shared" si="63"/>
        <v/>
      </c>
      <c r="J43" s="9" t="str">
        <f t="shared" si="64"/>
        <v/>
      </c>
      <c r="K43" s="32" t="str">
        <f t="shared" si="65"/>
        <v/>
      </c>
      <c r="L43" s="33" t="str">
        <f t="shared" si="66"/>
        <v/>
      </c>
      <c r="M43" s="34" t="str">
        <f t="shared" si="67"/>
        <v/>
      </c>
      <c r="N43" s="35" t="str">
        <f t="shared" si="68"/>
        <v/>
      </c>
      <c r="O43" s="36"/>
      <c r="P43" s="36"/>
      <c r="Q43" s="36"/>
      <c r="R43" s="36"/>
      <c r="S43" s="36"/>
      <c r="T43" s="36"/>
      <c r="U43" s="36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53"/>
      <c r="AS43" s="53"/>
      <c r="AT43" s="53"/>
      <c r="AW43" s="5"/>
      <c r="AX43" s="5"/>
      <c r="AY43" s="60" t="str">
        <f t="shared" si="69"/>
        <v/>
      </c>
      <c r="AZ43" s="60" t="str">
        <f t="shared" si="70"/>
        <v/>
      </c>
      <c r="BA43" s="61" t="str">
        <f t="shared" si="71"/>
        <v/>
      </c>
      <c r="BB43" s="61" t="str">
        <f t="shared" si="72"/>
        <v/>
      </c>
      <c r="BC43" s="61" t="str">
        <f t="shared" si="73"/>
        <v/>
      </c>
      <c r="BD43" s="61" t="str">
        <f t="shared" si="74"/>
        <v/>
      </c>
      <c r="BE43" s="64" t="str">
        <f t="shared" si="75"/>
        <v/>
      </c>
      <c r="BF43" s="64" t="str">
        <f t="shared" si="76"/>
        <v/>
      </c>
      <c r="BG43" s="64" t="str">
        <f t="shared" si="77"/>
        <v/>
      </c>
      <c r="BH43" s="64" t="str">
        <f t="shared" si="78"/>
        <v/>
      </c>
      <c r="BI43" s="65"/>
      <c r="BJ43" s="66" t="str">
        <f t="shared" si="79"/>
        <v/>
      </c>
      <c r="BK43" s="71" t="s">
        <v>187</v>
      </c>
      <c r="BL43" s="70">
        <v>103</v>
      </c>
      <c r="BM43" s="5">
        <v>12.4</v>
      </c>
      <c r="BN43" s="77">
        <v>12.5</v>
      </c>
      <c r="BO43" s="78">
        <f t="shared" si="51"/>
        <v>13.3</v>
      </c>
      <c r="BP43" s="79">
        <v>13.4</v>
      </c>
      <c r="BQ43" s="80">
        <v>20.100000000000001</v>
      </c>
      <c r="BR43" s="81">
        <f t="shared" si="52"/>
        <v>20.2</v>
      </c>
      <c r="BS43" s="82">
        <v>23.6</v>
      </c>
      <c r="BT43" s="83">
        <v>23.7</v>
      </c>
      <c r="BU43" s="41"/>
      <c r="BV43" s="87" t="s">
        <v>187</v>
      </c>
      <c r="BW43" s="86">
        <v>103</v>
      </c>
      <c r="BX43" s="5">
        <v>11.9</v>
      </c>
      <c r="BY43" s="88">
        <v>12</v>
      </c>
      <c r="BZ43" s="78">
        <f t="shared" si="53"/>
        <v>12.9</v>
      </c>
      <c r="CA43" s="89">
        <v>13</v>
      </c>
      <c r="CB43" s="90">
        <v>21.1</v>
      </c>
      <c r="CC43" s="92">
        <f t="shared" si="54"/>
        <v>21.2</v>
      </c>
      <c r="CD43" s="93">
        <v>25.8</v>
      </c>
      <c r="CE43" s="83" t="s">
        <v>188</v>
      </c>
      <c r="CF43" s="5"/>
      <c r="CG43" s="91" t="str">
        <f t="shared" si="80"/>
        <v/>
      </c>
      <c r="CH43" s="91"/>
      <c r="CI43" s="91" t="str">
        <f t="shared" si="81"/>
        <v/>
      </c>
      <c r="CJ43" s="91"/>
      <c r="CK43" s="91" t="str">
        <f t="shared" si="82"/>
        <v/>
      </c>
      <c r="CL43" s="91" t="str">
        <f t="shared" si="83"/>
        <v/>
      </c>
      <c r="CM43" s="91" t="str">
        <f t="shared" si="84"/>
        <v/>
      </c>
      <c r="CN43" s="91" t="str">
        <f t="shared" si="85"/>
        <v/>
      </c>
      <c r="CO43" s="91" t="str">
        <f t="shared" si="86"/>
        <v/>
      </c>
      <c r="CP43" s="91" t="str">
        <f t="shared" si="87"/>
        <v/>
      </c>
      <c r="CQ43" s="91" t="str">
        <f t="shared" si="88"/>
        <v/>
      </c>
      <c r="CR43" s="91" t="str">
        <f t="shared" si="89"/>
        <v/>
      </c>
      <c r="CS43" s="91" t="str">
        <f t="shared" si="90"/>
        <v/>
      </c>
      <c r="CT43" s="91" t="str">
        <f t="shared" si="91"/>
        <v/>
      </c>
      <c r="CV43" s="94"/>
      <c r="CW43" s="95">
        <v>31</v>
      </c>
      <c r="CX43" s="96">
        <f t="shared" si="55"/>
        <v>9.5</v>
      </c>
      <c r="CY43" s="97">
        <v>9.6</v>
      </c>
      <c r="CZ43" s="96">
        <f t="shared" si="56"/>
        <v>10.6</v>
      </c>
      <c r="DA43" s="97">
        <v>10.7</v>
      </c>
      <c r="DB43" s="97">
        <v>17.100000000000001</v>
      </c>
      <c r="DC43" s="96">
        <f t="shared" si="57"/>
        <v>17.2</v>
      </c>
      <c r="DD43" s="41"/>
      <c r="DE43" s="41"/>
      <c r="DF43" s="41"/>
      <c r="DG43" s="94"/>
      <c r="DH43" s="96">
        <f t="shared" si="58"/>
        <v>9</v>
      </c>
      <c r="DI43" s="97">
        <v>9.1</v>
      </c>
      <c r="DJ43" s="96">
        <f t="shared" si="59"/>
        <v>10</v>
      </c>
      <c r="DK43" s="97">
        <v>10.1</v>
      </c>
      <c r="DL43" s="97">
        <v>16.8</v>
      </c>
      <c r="DM43" s="96">
        <f t="shared" si="60"/>
        <v>16.899999999999999</v>
      </c>
      <c r="DN43" s="107">
        <v>16.899999999999999</v>
      </c>
      <c r="DO43" s="41"/>
      <c r="DP43" s="66" t="str">
        <f t="shared" si="92"/>
        <v/>
      </c>
      <c r="DQ43" s="60" t="str">
        <f t="shared" si="93"/>
        <v/>
      </c>
      <c r="DR43" s="60" t="str">
        <f t="shared" si="94"/>
        <v/>
      </c>
      <c r="DS43" s="60" t="str">
        <f t="shared" si="95"/>
        <v/>
      </c>
      <c r="DV43" s="119" t="s">
        <v>189</v>
      </c>
      <c r="DW43" s="120">
        <v>68</v>
      </c>
      <c r="DX43" s="121">
        <v>99.4</v>
      </c>
      <c r="DY43" s="145">
        <v>99.5</v>
      </c>
      <c r="DZ43" s="146">
        <v>104.2</v>
      </c>
      <c r="EA43" s="139" t="s">
        <v>190</v>
      </c>
      <c r="EB43" s="147">
        <v>123.6</v>
      </c>
      <c r="EC43" s="148">
        <v>123.7</v>
      </c>
      <c r="EE43" s="143" t="s">
        <v>189</v>
      </c>
      <c r="EF43" s="144">
        <v>68</v>
      </c>
      <c r="EG43" s="170">
        <v>98.1</v>
      </c>
      <c r="EH43" s="174">
        <v>98.2</v>
      </c>
      <c r="EI43" s="175">
        <v>103.1</v>
      </c>
      <c r="EJ43" s="176">
        <v>103.2</v>
      </c>
      <c r="EK43" s="177">
        <v>123.2</v>
      </c>
      <c r="EL43" s="173">
        <v>123.3</v>
      </c>
      <c r="EN43" s="154" t="str">
        <f t="shared" si="96"/>
        <v/>
      </c>
      <c r="EO43" s="154" t="e">
        <f t="shared" si="97"/>
        <v>#N/A</v>
      </c>
      <c r="EP43" s="154" t="e">
        <f t="shared" si="98"/>
        <v>#N/A</v>
      </c>
      <c r="EQ43" s="154" t="e">
        <f t="shared" si="99"/>
        <v>#N/A</v>
      </c>
      <c r="ES43" s="154" t="e">
        <f t="shared" si="100"/>
        <v>#N/A</v>
      </c>
      <c r="ET43" s="154" t="e">
        <f t="shared" si="101"/>
        <v>#N/A</v>
      </c>
      <c r="EU43" s="154" t="e">
        <f t="shared" si="102"/>
        <v>#N/A</v>
      </c>
      <c r="EW43" s="60">
        <f t="shared" si="103"/>
        <v>0</v>
      </c>
      <c r="EX43" s="60">
        <f t="shared" si="104"/>
        <v>0</v>
      </c>
      <c r="EY43" s="60">
        <f t="shared" si="105"/>
        <v>0</v>
      </c>
      <c r="EZ43" s="60">
        <f t="shared" si="106"/>
        <v>0</v>
      </c>
      <c r="FA43" s="60">
        <f t="shared" si="107"/>
        <v>0</v>
      </c>
      <c r="FB43" s="60">
        <f t="shared" si="108"/>
        <v>0</v>
      </c>
      <c r="FC43" s="60">
        <f t="shared" si="109"/>
        <v>0</v>
      </c>
      <c r="FD43" s="60">
        <f t="shared" si="110"/>
        <v>0</v>
      </c>
    </row>
    <row r="44" spans="1:160" ht="10.5" customHeight="1">
      <c r="A44" s="8" t="str">
        <f t="shared" si="111"/>
        <v/>
      </c>
      <c r="B44" s="9" t="str">
        <f t="shared" si="61"/>
        <v/>
      </c>
      <c r="C44" s="18"/>
      <c r="D44" s="16"/>
      <c r="E44" s="17"/>
      <c r="F44" s="17"/>
      <c r="G44" s="13"/>
      <c r="H44" s="14" t="str">
        <f t="shared" si="62"/>
        <v/>
      </c>
      <c r="I44" s="8" t="str">
        <f t="shared" si="63"/>
        <v/>
      </c>
      <c r="J44" s="9" t="str">
        <f t="shared" si="64"/>
        <v/>
      </c>
      <c r="K44" s="32" t="str">
        <f t="shared" si="65"/>
        <v/>
      </c>
      <c r="L44" s="33" t="str">
        <f t="shared" si="66"/>
        <v/>
      </c>
      <c r="M44" s="34" t="str">
        <f t="shared" si="67"/>
        <v/>
      </c>
      <c r="N44" s="35" t="str">
        <f t="shared" si="68"/>
        <v/>
      </c>
      <c r="O44" s="36"/>
      <c r="P44" s="36"/>
      <c r="Q44" s="36"/>
      <c r="R44" s="36"/>
      <c r="S44" s="36"/>
      <c r="T44" s="36"/>
      <c r="U44" s="36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53"/>
      <c r="AS44" s="53"/>
      <c r="AT44" s="53"/>
      <c r="AW44" s="5"/>
      <c r="AX44" s="5"/>
      <c r="AY44" s="60" t="str">
        <f t="shared" si="69"/>
        <v/>
      </c>
      <c r="AZ44" s="60" t="str">
        <f t="shared" si="70"/>
        <v/>
      </c>
      <c r="BA44" s="61" t="str">
        <f t="shared" si="71"/>
        <v/>
      </c>
      <c r="BB44" s="61" t="str">
        <f t="shared" si="72"/>
        <v/>
      </c>
      <c r="BC44" s="61" t="str">
        <f t="shared" si="73"/>
        <v/>
      </c>
      <c r="BD44" s="61" t="str">
        <f t="shared" si="74"/>
        <v/>
      </c>
      <c r="BE44" s="64" t="str">
        <f t="shared" si="75"/>
        <v/>
      </c>
      <c r="BF44" s="64" t="str">
        <f t="shared" si="76"/>
        <v/>
      </c>
      <c r="BG44" s="64" t="str">
        <f t="shared" si="77"/>
        <v/>
      </c>
      <c r="BH44" s="64" t="str">
        <f t="shared" si="78"/>
        <v/>
      </c>
      <c r="BI44" s="65"/>
      <c r="BJ44" s="66" t="str">
        <f t="shared" si="79"/>
        <v/>
      </c>
      <c r="BK44" s="71" t="s">
        <v>191</v>
      </c>
      <c r="BL44" s="70">
        <v>104</v>
      </c>
      <c r="BM44" s="5">
        <v>12.4</v>
      </c>
      <c r="BN44" s="77">
        <v>12.5</v>
      </c>
      <c r="BO44" s="78">
        <f t="shared" ref="BO44:BO75" si="112">BP44-0.1</f>
        <v>13.3</v>
      </c>
      <c r="BP44" s="79">
        <v>13.4</v>
      </c>
      <c r="BQ44" s="80">
        <v>20.2</v>
      </c>
      <c r="BR44" s="81">
        <f t="shared" ref="BR44:BR75" si="113">BQ44+0.1</f>
        <v>20.3</v>
      </c>
      <c r="BS44" s="82">
        <v>23.8</v>
      </c>
      <c r="BT44" s="83">
        <v>23.9</v>
      </c>
      <c r="BU44" s="41"/>
      <c r="BV44" s="87" t="s">
        <v>191</v>
      </c>
      <c r="BW44" s="86">
        <v>104</v>
      </c>
      <c r="BX44" s="5">
        <v>11.9</v>
      </c>
      <c r="BY44" s="88">
        <v>12</v>
      </c>
      <c r="BZ44" s="78">
        <f t="shared" ref="BZ44:BZ75" si="114">CA44-0.1</f>
        <v>12.9</v>
      </c>
      <c r="CA44" s="89">
        <v>13</v>
      </c>
      <c r="CB44" s="90">
        <v>21.2</v>
      </c>
      <c r="CC44" s="92">
        <f t="shared" ref="CC44:CC75" si="115">CB44+0.1</f>
        <v>21.3</v>
      </c>
      <c r="CD44" s="93">
        <v>25.9</v>
      </c>
      <c r="CE44" s="83" t="s">
        <v>192</v>
      </c>
      <c r="CF44" s="5"/>
      <c r="CG44" s="91" t="str">
        <f t="shared" si="80"/>
        <v/>
      </c>
      <c r="CH44" s="91"/>
      <c r="CI44" s="91" t="str">
        <f t="shared" si="81"/>
        <v/>
      </c>
      <c r="CJ44" s="91"/>
      <c r="CK44" s="91" t="str">
        <f t="shared" si="82"/>
        <v/>
      </c>
      <c r="CL44" s="91" t="str">
        <f t="shared" si="83"/>
        <v/>
      </c>
      <c r="CM44" s="91" t="str">
        <f t="shared" si="84"/>
        <v/>
      </c>
      <c r="CN44" s="91" t="str">
        <f t="shared" si="85"/>
        <v/>
      </c>
      <c r="CO44" s="91" t="str">
        <f t="shared" si="86"/>
        <v/>
      </c>
      <c r="CP44" s="91" t="str">
        <f t="shared" si="87"/>
        <v/>
      </c>
      <c r="CQ44" s="91" t="str">
        <f t="shared" si="88"/>
        <v/>
      </c>
      <c r="CR44" s="91" t="str">
        <f t="shared" si="89"/>
        <v/>
      </c>
      <c r="CS44" s="91" t="str">
        <f t="shared" si="90"/>
        <v/>
      </c>
      <c r="CT44" s="91" t="str">
        <f t="shared" si="91"/>
        <v/>
      </c>
      <c r="CV44" s="94"/>
      <c r="CW44" s="95">
        <v>32</v>
      </c>
      <c r="CX44" s="96">
        <f t="shared" ref="CX44:CX75" si="116">SUM(CY44)-0.1</f>
        <v>9.6</v>
      </c>
      <c r="CY44" s="97">
        <v>9.6999999999999993</v>
      </c>
      <c r="CZ44" s="96">
        <f t="shared" ref="CZ44:CZ75" si="117">SUM(DA44)-0.1</f>
        <v>10.7</v>
      </c>
      <c r="DA44" s="97">
        <v>10.8</v>
      </c>
      <c r="DB44" s="97">
        <v>17.399999999999999</v>
      </c>
      <c r="DC44" s="96">
        <f t="shared" ref="DC44:DC75" si="118">DB44+0.1</f>
        <v>17.5</v>
      </c>
      <c r="DD44" s="41"/>
      <c r="DE44" s="41"/>
      <c r="DF44" s="41"/>
      <c r="DG44" s="94"/>
      <c r="DH44" s="96">
        <f t="shared" ref="DH44:DH75" si="119">SUM(DI44)-0.1</f>
        <v>9.1</v>
      </c>
      <c r="DI44" s="97">
        <v>9.1999999999999993</v>
      </c>
      <c r="DJ44" s="96">
        <f t="shared" ref="DJ44:DJ75" si="120">SUM(DK44)-0.1</f>
        <v>10.199999999999999</v>
      </c>
      <c r="DK44" s="97">
        <v>10.3</v>
      </c>
      <c r="DL44" s="97">
        <v>17.100000000000001</v>
      </c>
      <c r="DM44" s="96">
        <f t="shared" ref="DM44:DM75" si="121">DL44+0.1</f>
        <v>17.2</v>
      </c>
      <c r="DN44" s="107">
        <v>17.2</v>
      </c>
      <c r="DO44" s="41"/>
      <c r="DP44" s="66" t="str">
        <f t="shared" si="92"/>
        <v/>
      </c>
      <c r="DQ44" s="60" t="str">
        <f t="shared" si="93"/>
        <v/>
      </c>
      <c r="DR44" s="60" t="str">
        <f t="shared" si="94"/>
        <v/>
      </c>
      <c r="DS44" s="60" t="str">
        <f t="shared" si="95"/>
        <v/>
      </c>
      <c r="DV44" s="119" t="s">
        <v>193</v>
      </c>
      <c r="DW44" s="120">
        <v>69</v>
      </c>
      <c r="DX44" s="121">
        <v>99.8</v>
      </c>
      <c r="DY44" s="145">
        <v>99.9</v>
      </c>
      <c r="DZ44" s="146">
        <v>104.7</v>
      </c>
      <c r="EA44" s="139" t="s">
        <v>194</v>
      </c>
      <c r="EB44" s="147">
        <v>124.1</v>
      </c>
      <c r="EC44" s="148">
        <v>124.2</v>
      </c>
      <c r="EE44" s="143" t="s">
        <v>193</v>
      </c>
      <c r="EF44" s="144">
        <v>69</v>
      </c>
      <c r="EG44" s="170">
        <v>98.5</v>
      </c>
      <c r="EH44" s="174">
        <v>98.6</v>
      </c>
      <c r="EI44" s="175">
        <v>103.5</v>
      </c>
      <c r="EJ44" s="176">
        <v>103.6</v>
      </c>
      <c r="EK44" s="177">
        <v>123.7</v>
      </c>
      <c r="EL44" s="173">
        <v>123.8</v>
      </c>
      <c r="EN44" s="154" t="str">
        <f t="shared" si="96"/>
        <v/>
      </c>
      <c r="EO44" s="154" t="e">
        <f t="shared" si="97"/>
        <v>#N/A</v>
      </c>
      <c r="EP44" s="154" t="e">
        <f t="shared" si="98"/>
        <v>#N/A</v>
      </c>
      <c r="EQ44" s="154" t="e">
        <f t="shared" si="99"/>
        <v>#N/A</v>
      </c>
      <c r="ES44" s="154" t="e">
        <f t="shared" si="100"/>
        <v>#N/A</v>
      </c>
      <c r="ET44" s="154" t="e">
        <f t="shared" si="101"/>
        <v>#N/A</v>
      </c>
      <c r="EU44" s="154" t="e">
        <f t="shared" si="102"/>
        <v>#N/A</v>
      </c>
      <c r="EW44" s="60">
        <f t="shared" si="103"/>
        <v>0</v>
      </c>
      <c r="EX44" s="60">
        <f t="shared" si="104"/>
        <v>0</v>
      </c>
      <c r="EY44" s="60">
        <f t="shared" si="105"/>
        <v>0</v>
      </c>
      <c r="EZ44" s="60">
        <f t="shared" si="106"/>
        <v>0</v>
      </c>
      <c r="FA44" s="60">
        <f t="shared" si="107"/>
        <v>0</v>
      </c>
      <c r="FB44" s="60">
        <f t="shared" si="108"/>
        <v>0</v>
      </c>
      <c r="FC44" s="60">
        <f t="shared" si="109"/>
        <v>0</v>
      </c>
      <c r="FD44" s="60">
        <f t="shared" si="110"/>
        <v>0</v>
      </c>
    </row>
    <row r="45" spans="1:160" ht="10.5" customHeight="1">
      <c r="A45" s="8" t="str">
        <f t="shared" si="111"/>
        <v/>
      </c>
      <c r="B45" s="9" t="str">
        <f t="shared" si="61"/>
        <v/>
      </c>
      <c r="C45" s="18"/>
      <c r="D45" s="16"/>
      <c r="E45" s="17"/>
      <c r="F45" s="17"/>
      <c r="G45" s="13"/>
      <c r="H45" s="14" t="str">
        <f t="shared" si="62"/>
        <v/>
      </c>
      <c r="I45" s="8" t="str">
        <f t="shared" si="63"/>
        <v/>
      </c>
      <c r="J45" s="9" t="str">
        <f t="shared" si="64"/>
        <v/>
      </c>
      <c r="K45" s="32" t="str">
        <f t="shared" si="65"/>
        <v/>
      </c>
      <c r="L45" s="33" t="str">
        <f t="shared" si="66"/>
        <v/>
      </c>
      <c r="M45" s="34" t="str">
        <f t="shared" si="67"/>
        <v/>
      </c>
      <c r="N45" s="35" t="str">
        <f t="shared" si="68"/>
        <v/>
      </c>
      <c r="O45" s="36"/>
      <c r="P45" s="36"/>
      <c r="Q45" s="36"/>
      <c r="R45" s="36"/>
      <c r="S45" s="36"/>
      <c r="T45" s="36"/>
      <c r="U45" s="36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53"/>
      <c r="AS45" s="53"/>
      <c r="AT45" s="53"/>
      <c r="AW45" s="5"/>
      <c r="AX45" s="5"/>
      <c r="AY45" s="60" t="str">
        <f t="shared" si="69"/>
        <v/>
      </c>
      <c r="AZ45" s="60" t="str">
        <f t="shared" si="70"/>
        <v/>
      </c>
      <c r="BA45" s="61" t="str">
        <f t="shared" si="71"/>
        <v/>
      </c>
      <c r="BB45" s="61" t="str">
        <f t="shared" si="72"/>
        <v/>
      </c>
      <c r="BC45" s="61" t="str">
        <f t="shared" si="73"/>
        <v/>
      </c>
      <c r="BD45" s="61" t="str">
        <f t="shared" si="74"/>
        <v/>
      </c>
      <c r="BE45" s="64" t="str">
        <f t="shared" si="75"/>
        <v/>
      </c>
      <c r="BF45" s="64" t="str">
        <f t="shared" si="76"/>
        <v/>
      </c>
      <c r="BG45" s="64" t="str">
        <f t="shared" si="77"/>
        <v/>
      </c>
      <c r="BH45" s="64" t="str">
        <f t="shared" si="78"/>
        <v/>
      </c>
      <c r="BI45" s="65"/>
      <c r="BJ45" s="66" t="str">
        <f t="shared" si="79"/>
        <v/>
      </c>
      <c r="BK45" s="71" t="s">
        <v>195</v>
      </c>
      <c r="BL45" s="70">
        <v>105</v>
      </c>
      <c r="BM45" s="5">
        <v>12.4</v>
      </c>
      <c r="BN45" s="77">
        <v>12.5</v>
      </c>
      <c r="BO45" s="78">
        <f t="shared" si="112"/>
        <v>13.3</v>
      </c>
      <c r="BP45" s="79">
        <v>13.4</v>
      </c>
      <c r="BQ45" s="80">
        <v>20.3</v>
      </c>
      <c r="BR45" s="81">
        <f t="shared" si="113"/>
        <v>20.399999999999999</v>
      </c>
      <c r="BS45" s="82">
        <v>23.9</v>
      </c>
      <c r="BT45" s="83">
        <v>24</v>
      </c>
      <c r="BU45" s="41"/>
      <c r="BV45" s="87" t="s">
        <v>195</v>
      </c>
      <c r="BW45" s="86">
        <v>105</v>
      </c>
      <c r="BX45" s="5">
        <v>11.9</v>
      </c>
      <c r="BY45" s="88">
        <v>12</v>
      </c>
      <c r="BZ45" s="78">
        <f t="shared" si="114"/>
        <v>13</v>
      </c>
      <c r="CA45" s="89">
        <v>13.1</v>
      </c>
      <c r="CB45" s="90">
        <v>21.3</v>
      </c>
      <c r="CC45" s="92">
        <f t="shared" si="115"/>
        <v>21.4</v>
      </c>
      <c r="CD45" s="93">
        <v>26.1</v>
      </c>
      <c r="CE45" s="83" t="s">
        <v>196</v>
      </c>
      <c r="CF45" s="5"/>
      <c r="CG45" s="91" t="str">
        <f t="shared" si="80"/>
        <v/>
      </c>
      <c r="CH45" s="91"/>
      <c r="CI45" s="91" t="str">
        <f t="shared" si="81"/>
        <v/>
      </c>
      <c r="CJ45" s="91"/>
      <c r="CK45" s="91" t="str">
        <f t="shared" si="82"/>
        <v/>
      </c>
      <c r="CL45" s="91" t="str">
        <f t="shared" si="83"/>
        <v/>
      </c>
      <c r="CM45" s="91" t="str">
        <f t="shared" si="84"/>
        <v/>
      </c>
      <c r="CN45" s="91" t="str">
        <f t="shared" si="85"/>
        <v/>
      </c>
      <c r="CO45" s="91" t="str">
        <f t="shared" si="86"/>
        <v/>
      </c>
      <c r="CP45" s="91" t="str">
        <f t="shared" si="87"/>
        <v/>
      </c>
      <c r="CQ45" s="91" t="str">
        <f t="shared" si="88"/>
        <v/>
      </c>
      <c r="CR45" s="91" t="str">
        <f t="shared" si="89"/>
        <v/>
      </c>
      <c r="CS45" s="91" t="str">
        <f t="shared" si="90"/>
        <v/>
      </c>
      <c r="CT45" s="91" t="str">
        <f t="shared" si="91"/>
        <v/>
      </c>
      <c r="CV45" s="94"/>
      <c r="CW45" s="95">
        <v>33</v>
      </c>
      <c r="CX45" s="96">
        <f t="shared" si="116"/>
        <v>9.6999999999999993</v>
      </c>
      <c r="CY45" s="97">
        <v>9.8000000000000007</v>
      </c>
      <c r="CZ45" s="96">
        <f t="shared" si="117"/>
        <v>10.8</v>
      </c>
      <c r="DA45" s="97">
        <v>10.9</v>
      </c>
      <c r="DB45" s="97">
        <v>17.600000000000001</v>
      </c>
      <c r="DC45" s="96">
        <f t="shared" si="118"/>
        <v>17.7</v>
      </c>
      <c r="DD45" s="41"/>
      <c r="DE45" s="41"/>
      <c r="DF45" s="41"/>
      <c r="DG45" s="94"/>
      <c r="DH45" s="96">
        <f t="shared" si="119"/>
        <v>9.3000000000000007</v>
      </c>
      <c r="DI45" s="97">
        <v>9.4</v>
      </c>
      <c r="DJ45" s="96">
        <f t="shared" si="120"/>
        <v>10.3</v>
      </c>
      <c r="DK45" s="97">
        <v>10.4</v>
      </c>
      <c r="DL45" s="97">
        <v>17.3</v>
      </c>
      <c r="DM45" s="96">
        <f t="shared" si="121"/>
        <v>17.399999999999999</v>
      </c>
      <c r="DN45" s="107">
        <v>17.399999999999999</v>
      </c>
      <c r="DO45" s="41"/>
      <c r="DP45" s="66" t="str">
        <f t="shared" si="92"/>
        <v/>
      </c>
      <c r="DQ45" s="60" t="str">
        <f t="shared" si="93"/>
        <v/>
      </c>
      <c r="DR45" s="60" t="str">
        <f t="shared" si="94"/>
        <v/>
      </c>
      <c r="DS45" s="60" t="str">
        <f t="shared" si="95"/>
        <v/>
      </c>
      <c r="DV45" s="119" t="s">
        <v>197</v>
      </c>
      <c r="DW45" s="120">
        <v>70</v>
      </c>
      <c r="DX45" s="121">
        <v>100.3</v>
      </c>
      <c r="DY45" s="145">
        <v>100.4</v>
      </c>
      <c r="DZ45" s="146">
        <v>105.1</v>
      </c>
      <c r="EA45" s="139" t="s">
        <v>198</v>
      </c>
      <c r="EB45" s="147">
        <v>124.7</v>
      </c>
      <c r="EC45" s="148">
        <v>124.8</v>
      </c>
      <c r="EE45" s="143" t="s">
        <v>197</v>
      </c>
      <c r="EF45" s="144">
        <v>70</v>
      </c>
      <c r="EG45" s="170">
        <v>98.9</v>
      </c>
      <c r="EH45" s="174">
        <v>99</v>
      </c>
      <c r="EI45" s="175">
        <v>103.9</v>
      </c>
      <c r="EJ45" s="176">
        <v>104</v>
      </c>
      <c r="EK45" s="177">
        <v>124.3</v>
      </c>
      <c r="EL45" s="173">
        <v>124.4</v>
      </c>
      <c r="EN45" s="154" t="str">
        <f t="shared" si="96"/>
        <v/>
      </c>
      <c r="EO45" s="154" t="e">
        <f t="shared" si="97"/>
        <v>#N/A</v>
      </c>
      <c r="EP45" s="154" t="e">
        <f t="shared" si="98"/>
        <v>#N/A</v>
      </c>
      <c r="EQ45" s="154" t="e">
        <f t="shared" si="99"/>
        <v>#N/A</v>
      </c>
      <c r="ES45" s="154" t="e">
        <f t="shared" si="100"/>
        <v>#N/A</v>
      </c>
      <c r="ET45" s="154" t="e">
        <f t="shared" si="101"/>
        <v>#N/A</v>
      </c>
      <c r="EU45" s="154" t="e">
        <f t="shared" si="102"/>
        <v>#N/A</v>
      </c>
      <c r="EW45" s="60">
        <f t="shared" si="103"/>
        <v>0</v>
      </c>
      <c r="EX45" s="60">
        <f t="shared" si="104"/>
        <v>0</v>
      </c>
      <c r="EY45" s="60">
        <f t="shared" si="105"/>
        <v>0</v>
      </c>
      <c r="EZ45" s="60">
        <f t="shared" si="106"/>
        <v>0</v>
      </c>
      <c r="FA45" s="60">
        <f t="shared" si="107"/>
        <v>0</v>
      </c>
      <c r="FB45" s="60">
        <f t="shared" si="108"/>
        <v>0</v>
      </c>
      <c r="FC45" s="60">
        <f t="shared" si="109"/>
        <v>0</v>
      </c>
      <c r="FD45" s="60">
        <f t="shared" si="110"/>
        <v>0</v>
      </c>
    </row>
    <row r="46" spans="1:160" ht="10.5" customHeight="1">
      <c r="A46" s="8" t="str">
        <f t="shared" si="111"/>
        <v/>
      </c>
      <c r="B46" s="9" t="str">
        <f t="shared" si="61"/>
        <v/>
      </c>
      <c r="C46" s="18"/>
      <c r="D46" s="16"/>
      <c r="E46" s="17"/>
      <c r="F46" s="17"/>
      <c r="G46" s="13"/>
      <c r="H46" s="14" t="str">
        <f t="shared" si="62"/>
        <v/>
      </c>
      <c r="I46" s="8" t="str">
        <f t="shared" si="63"/>
        <v/>
      </c>
      <c r="J46" s="9" t="str">
        <f t="shared" si="64"/>
        <v/>
      </c>
      <c r="K46" s="32" t="str">
        <f t="shared" si="65"/>
        <v/>
      </c>
      <c r="L46" s="33" t="str">
        <f t="shared" si="66"/>
        <v/>
      </c>
      <c r="M46" s="34" t="str">
        <f t="shared" si="67"/>
        <v/>
      </c>
      <c r="N46" s="35" t="str">
        <f t="shared" si="68"/>
        <v/>
      </c>
      <c r="O46" s="36"/>
      <c r="P46" s="36"/>
      <c r="Q46" s="36"/>
      <c r="R46" s="36"/>
      <c r="S46" s="36"/>
      <c r="T46" s="36"/>
      <c r="U46" s="36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53"/>
      <c r="AS46" s="53"/>
      <c r="AT46" s="53"/>
      <c r="AW46" s="5"/>
      <c r="AX46" s="5"/>
      <c r="AY46" s="60" t="str">
        <f t="shared" si="69"/>
        <v/>
      </c>
      <c r="AZ46" s="60" t="str">
        <f t="shared" si="70"/>
        <v/>
      </c>
      <c r="BA46" s="61" t="str">
        <f t="shared" si="71"/>
        <v/>
      </c>
      <c r="BB46" s="61" t="str">
        <f t="shared" si="72"/>
        <v/>
      </c>
      <c r="BC46" s="61" t="str">
        <f t="shared" si="73"/>
        <v/>
      </c>
      <c r="BD46" s="61" t="str">
        <f t="shared" si="74"/>
        <v/>
      </c>
      <c r="BE46" s="64" t="str">
        <f t="shared" si="75"/>
        <v/>
      </c>
      <c r="BF46" s="64" t="str">
        <f t="shared" si="76"/>
        <v/>
      </c>
      <c r="BG46" s="64" t="str">
        <f t="shared" si="77"/>
        <v/>
      </c>
      <c r="BH46" s="64" t="str">
        <f t="shared" si="78"/>
        <v/>
      </c>
      <c r="BI46" s="65"/>
      <c r="BJ46" s="66" t="str">
        <f t="shared" si="79"/>
        <v/>
      </c>
      <c r="BK46" s="71" t="s">
        <v>199</v>
      </c>
      <c r="BL46" s="70">
        <v>106</v>
      </c>
      <c r="BM46" s="5">
        <v>12.4</v>
      </c>
      <c r="BN46" s="77">
        <v>12.5</v>
      </c>
      <c r="BO46" s="78">
        <f t="shared" si="112"/>
        <v>13.4</v>
      </c>
      <c r="BP46" s="79">
        <v>13.5</v>
      </c>
      <c r="BQ46" s="80">
        <v>20.3</v>
      </c>
      <c r="BR46" s="81">
        <f t="shared" si="113"/>
        <v>20.399999999999999</v>
      </c>
      <c r="BS46" s="82">
        <v>24</v>
      </c>
      <c r="BT46" s="83">
        <v>24.1</v>
      </c>
      <c r="BU46" s="41"/>
      <c r="BV46" s="87" t="s">
        <v>199</v>
      </c>
      <c r="BW46" s="86">
        <v>106</v>
      </c>
      <c r="BX46" s="5">
        <v>12</v>
      </c>
      <c r="BY46" s="88">
        <v>12.1</v>
      </c>
      <c r="BZ46" s="78">
        <f t="shared" si="114"/>
        <v>13</v>
      </c>
      <c r="CA46" s="89">
        <v>13.1</v>
      </c>
      <c r="CB46" s="90">
        <v>21.3</v>
      </c>
      <c r="CC46" s="92">
        <f t="shared" si="115"/>
        <v>21.4</v>
      </c>
      <c r="CD46" s="93">
        <v>26.2</v>
      </c>
      <c r="CE46" s="83" t="s">
        <v>200</v>
      </c>
      <c r="CF46" s="5"/>
      <c r="CG46" s="91" t="str">
        <f t="shared" si="80"/>
        <v/>
      </c>
      <c r="CH46" s="91"/>
      <c r="CI46" s="91" t="str">
        <f t="shared" si="81"/>
        <v/>
      </c>
      <c r="CJ46" s="91"/>
      <c r="CK46" s="91" t="str">
        <f t="shared" si="82"/>
        <v/>
      </c>
      <c r="CL46" s="91" t="str">
        <f t="shared" si="83"/>
        <v/>
      </c>
      <c r="CM46" s="91" t="str">
        <f t="shared" si="84"/>
        <v/>
      </c>
      <c r="CN46" s="91" t="str">
        <f t="shared" si="85"/>
        <v/>
      </c>
      <c r="CO46" s="91" t="str">
        <f t="shared" si="86"/>
        <v/>
      </c>
      <c r="CP46" s="91" t="str">
        <f t="shared" si="87"/>
        <v/>
      </c>
      <c r="CQ46" s="91" t="str">
        <f t="shared" si="88"/>
        <v/>
      </c>
      <c r="CR46" s="91" t="str">
        <f t="shared" si="89"/>
        <v/>
      </c>
      <c r="CS46" s="91" t="str">
        <f t="shared" si="90"/>
        <v/>
      </c>
      <c r="CT46" s="91" t="str">
        <f t="shared" si="91"/>
        <v/>
      </c>
      <c r="CV46" s="94"/>
      <c r="CW46" s="101">
        <v>34</v>
      </c>
      <c r="CX46" s="96">
        <f t="shared" si="116"/>
        <v>9.8000000000000007</v>
      </c>
      <c r="CY46" s="102">
        <v>9.9</v>
      </c>
      <c r="CZ46" s="96">
        <f t="shared" si="117"/>
        <v>10.9</v>
      </c>
      <c r="DA46" s="102">
        <v>11</v>
      </c>
      <c r="DB46" s="102">
        <v>17.8</v>
      </c>
      <c r="DC46" s="96">
        <f t="shared" si="118"/>
        <v>17.899999999999999</v>
      </c>
      <c r="DD46" s="41"/>
      <c r="DE46" s="41"/>
      <c r="DF46" s="41"/>
      <c r="DG46" s="94"/>
      <c r="DH46" s="96">
        <f t="shared" si="119"/>
        <v>9.4</v>
      </c>
      <c r="DI46" s="102">
        <v>9.5</v>
      </c>
      <c r="DJ46" s="96">
        <f t="shared" si="120"/>
        <v>10.4</v>
      </c>
      <c r="DK46" s="102">
        <v>10.5</v>
      </c>
      <c r="DL46" s="102">
        <v>17.600000000000001</v>
      </c>
      <c r="DM46" s="96">
        <f t="shared" si="121"/>
        <v>17.7</v>
      </c>
      <c r="DN46" s="107">
        <v>17.7</v>
      </c>
      <c r="DO46" s="41"/>
      <c r="DP46" s="66" t="str">
        <f t="shared" si="92"/>
        <v/>
      </c>
      <c r="DQ46" s="60" t="str">
        <f t="shared" si="93"/>
        <v/>
      </c>
      <c r="DR46" s="60" t="str">
        <f t="shared" si="94"/>
        <v/>
      </c>
      <c r="DS46" s="60" t="str">
        <f t="shared" si="95"/>
        <v/>
      </c>
      <c r="DV46" s="119" t="s">
        <v>201</v>
      </c>
      <c r="DW46" s="120">
        <v>71</v>
      </c>
      <c r="DX46" s="121">
        <v>100.7</v>
      </c>
      <c r="DY46" s="145">
        <v>100.8</v>
      </c>
      <c r="DZ46" s="146">
        <v>105.6</v>
      </c>
      <c r="EA46" s="139" t="s">
        <v>202</v>
      </c>
      <c r="EB46" s="147">
        <v>125.2</v>
      </c>
      <c r="EC46" s="148">
        <v>125.3</v>
      </c>
      <c r="EE46" s="143" t="s">
        <v>201</v>
      </c>
      <c r="EF46" s="144">
        <v>71</v>
      </c>
      <c r="EG46" s="170">
        <v>99.3</v>
      </c>
      <c r="EH46" s="174">
        <v>99.4</v>
      </c>
      <c r="EI46" s="175">
        <v>104.4</v>
      </c>
      <c r="EJ46" s="176">
        <v>104.5</v>
      </c>
      <c r="EK46" s="177">
        <v>124.8</v>
      </c>
      <c r="EL46" s="173">
        <v>124.9</v>
      </c>
      <c r="EN46" s="154" t="str">
        <f t="shared" si="96"/>
        <v/>
      </c>
      <c r="EO46" s="154" t="e">
        <f t="shared" si="97"/>
        <v>#N/A</v>
      </c>
      <c r="EP46" s="154" t="e">
        <f t="shared" si="98"/>
        <v>#N/A</v>
      </c>
      <c r="EQ46" s="154" t="e">
        <f t="shared" si="99"/>
        <v>#N/A</v>
      </c>
      <c r="ES46" s="154" t="e">
        <f t="shared" si="100"/>
        <v>#N/A</v>
      </c>
      <c r="ET46" s="154" t="e">
        <f t="shared" si="101"/>
        <v>#N/A</v>
      </c>
      <c r="EU46" s="154" t="e">
        <f t="shared" si="102"/>
        <v>#N/A</v>
      </c>
      <c r="EW46" s="60">
        <f t="shared" si="103"/>
        <v>0</v>
      </c>
      <c r="EX46" s="60">
        <f t="shared" si="104"/>
        <v>0</v>
      </c>
      <c r="EY46" s="60">
        <f t="shared" si="105"/>
        <v>0</v>
      </c>
      <c r="EZ46" s="60">
        <f t="shared" si="106"/>
        <v>0</v>
      </c>
      <c r="FA46" s="60">
        <f t="shared" si="107"/>
        <v>0</v>
      </c>
      <c r="FB46" s="60">
        <f t="shared" si="108"/>
        <v>0</v>
      </c>
      <c r="FC46" s="60">
        <f t="shared" si="109"/>
        <v>0</v>
      </c>
      <c r="FD46" s="60">
        <f t="shared" si="110"/>
        <v>0</v>
      </c>
    </row>
    <row r="47" spans="1:160" ht="10.5" customHeight="1">
      <c r="A47" s="8" t="str">
        <f t="shared" si="111"/>
        <v/>
      </c>
      <c r="B47" s="9" t="str">
        <f t="shared" si="61"/>
        <v/>
      </c>
      <c r="C47" s="18"/>
      <c r="D47" s="16"/>
      <c r="E47" s="17"/>
      <c r="F47" s="17"/>
      <c r="G47" s="13"/>
      <c r="H47" s="14" t="str">
        <f t="shared" si="62"/>
        <v/>
      </c>
      <c r="I47" s="8" t="str">
        <f t="shared" si="63"/>
        <v/>
      </c>
      <c r="J47" s="9" t="str">
        <f t="shared" si="64"/>
        <v/>
      </c>
      <c r="K47" s="32" t="str">
        <f t="shared" si="65"/>
        <v/>
      </c>
      <c r="L47" s="33" t="str">
        <f t="shared" si="66"/>
        <v/>
      </c>
      <c r="M47" s="34" t="str">
        <f t="shared" si="67"/>
        <v/>
      </c>
      <c r="N47" s="35" t="str">
        <f t="shared" si="68"/>
        <v/>
      </c>
      <c r="O47" s="36"/>
      <c r="P47" s="36"/>
      <c r="Q47" s="36"/>
      <c r="R47" s="36"/>
      <c r="S47" s="36"/>
      <c r="T47" s="36"/>
      <c r="U47" s="36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53"/>
      <c r="AS47" s="53"/>
      <c r="AT47" s="53"/>
      <c r="AW47" s="5"/>
      <c r="AX47" s="5"/>
      <c r="AY47" s="60" t="str">
        <f t="shared" si="69"/>
        <v/>
      </c>
      <c r="AZ47" s="60" t="str">
        <f t="shared" si="70"/>
        <v/>
      </c>
      <c r="BA47" s="61" t="str">
        <f t="shared" si="71"/>
        <v/>
      </c>
      <c r="BB47" s="61" t="str">
        <f t="shared" si="72"/>
        <v/>
      </c>
      <c r="BC47" s="61" t="str">
        <f t="shared" si="73"/>
        <v/>
      </c>
      <c r="BD47" s="61" t="str">
        <f t="shared" si="74"/>
        <v/>
      </c>
      <c r="BE47" s="64" t="str">
        <f t="shared" si="75"/>
        <v/>
      </c>
      <c r="BF47" s="64" t="str">
        <f t="shared" si="76"/>
        <v/>
      </c>
      <c r="BG47" s="64" t="str">
        <f t="shared" si="77"/>
        <v/>
      </c>
      <c r="BH47" s="64" t="str">
        <f t="shared" si="78"/>
        <v/>
      </c>
      <c r="BI47" s="65"/>
      <c r="BJ47" s="66" t="str">
        <f t="shared" si="79"/>
        <v/>
      </c>
      <c r="BK47" s="71" t="s">
        <v>203</v>
      </c>
      <c r="BL47" s="70">
        <v>107</v>
      </c>
      <c r="BM47" s="5">
        <v>12.4</v>
      </c>
      <c r="BN47" s="77">
        <v>12.5</v>
      </c>
      <c r="BO47" s="78">
        <f t="shared" si="112"/>
        <v>13.4</v>
      </c>
      <c r="BP47" s="79">
        <v>13.5</v>
      </c>
      <c r="BQ47" s="80">
        <v>20.399999999999999</v>
      </c>
      <c r="BR47" s="81">
        <f t="shared" si="113"/>
        <v>20.5</v>
      </c>
      <c r="BS47" s="82">
        <v>24.2</v>
      </c>
      <c r="BT47" s="83">
        <v>24.3</v>
      </c>
      <c r="BU47" s="41"/>
      <c r="BV47" s="87" t="s">
        <v>203</v>
      </c>
      <c r="BW47" s="86">
        <v>107</v>
      </c>
      <c r="BX47" s="5">
        <v>12</v>
      </c>
      <c r="BY47" s="88">
        <v>12.1</v>
      </c>
      <c r="BZ47" s="78">
        <f t="shared" si="114"/>
        <v>13</v>
      </c>
      <c r="CA47" s="89">
        <v>13.1</v>
      </c>
      <c r="CB47" s="90">
        <v>21.4</v>
      </c>
      <c r="CC47" s="92">
        <f t="shared" si="115"/>
        <v>21.5</v>
      </c>
      <c r="CD47" s="93">
        <v>26.4</v>
      </c>
      <c r="CE47" s="83" t="s">
        <v>204</v>
      </c>
      <c r="CF47" s="5"/>
      <c r="CG47" s="91" t="str">
        <f t="shared" si="80"/>
        <v/>
      </c>
      <c r="CH47" s="91"/>
      <c r="CI47" s="91" t="str">
        <f t="shared" si="81"/>
        <v/>
      </c>
      <c r="CJ47" s="91"/>
      <c r="CK47" s="91" t="str">
        <f t="shared" si="82"/>
        <v/>
      </c>
      <c r="CL47" s="91" t="str">
        <f t="shared" si="83"/>
        <v/>
      </c>
      <c r="CM47" s="91" t="str">
        <f t="shared" si="84"/>
        <v/>
      </c>
      <c r="CN47" s="91" t="str">
        <f t="shared" si="85"/>
        <v/>
      </c>
      <c r="CO47" s="91" t="str">
        <f t="shared" si="86"/>
        <v/>
      </c>
      <c r="CP47" s="91" t="str">
        <f t="shared" si="87"/>
        <v/>
      </c>
      <c r="CQ47" s="91" t="str">
        <f t="shared" si="88"/>
        <v/>
      </c>
      <c r="CR47" s="91" t="str">
        <f t="shared" si="89"/>
        <v/>
      </c>
      <c r="CS47" s="91" t="str">
        <f t="shared" si="90"/>
        <v/>
      </c>
      <c r="CT47" s="91" t="str">
        <f t="shared" si="91"/>
        <v/>
      </c>
      <c r="CV47" s="94"/>
      <c r="CW47" s="95">
        <v>35</v>
      </c>
      <c r="CX47" s="96">
        <f t="shared" si="116"/>
        <v>9.9</v>
      </c>
      <c r="CY47" s="97">
        <v>10</v>
      </c>
      <c r="CZ47" s="96">
        <f t="shared" si="117"/>
        <v>11.1</v>
      </c>
      <c r="DA47" s="97">
        <v>11.2</v>
      </c>
      <c r="DB47" s="97">
        <v>18.100000000000001</v>
      </c>
      <c r="DC47" s="96">
        <f t="shared" si="118"/>
        <v>18.2</v>
      </c>
      <c r="DD47" s="41"/>
      <c r="DE47" s="41"/>
      <c r="DF47" s="41"/>
      <c r="DG47" s="94"/>
      <c r="DH47" s="96">
        <f t="shared" si="119"/>
        <v>9.5</v>
      </c>
      <c r="DI47" s="97">
        <v>9.6</v>
      </c>
      <c r="DJ47" s="96">
        <f t="shared" si="120"/>
        <v>10.6</v>
      </c>
      <c r="DK47" s="97">
        <v>10.7</v>
      </c>
      <c r="DL47" s="97">
        <v>17.899999999999999</v>
      </c>
      <c r="DM47" s="96">
        <f t="shared" si="121"/>
        <v>18</v>
      </c>
      <c r="DN47" s="107">
        <v>18</v>
      </c>
      <c r="DO47" s="41"/>
      <c r="DP47" s="66" t="str">
        <f t="shared" si="92"/>
        <v/>
      </c>
      <c r="DQ47" s="60" t="str">
        <f t="shared" si="93"/>
        <v/>
      </c>
      <c r="DR47" s="60" t="str">
        <f t="shared" si="94"/>
        <v/>
      </c>
      <c r="DS47" s="60" t="str">
        <f t="shared" si="95"/>
        <v/>
      </c>
      <c r="DV47" s="122" t="s">
        <v>64</v>
      </c>
      <c r="DW47" s="120">
        <v>72</v>
      </c>
      <c r="DX47" s="121">
        <v>101.1</v>
      </c>
      <c r="DY47" s="145">
        <v>101.2</v>
      </c>
      <c r="DZ47" s="146">
        <v>106</v>
      </c>
      <c r="EA47" s="149">
        <v>106.1</v>
      </c>
      <c r="EB47" s="150">
        <v>125.8</v>
      </c>
      <c r="EC47" s="148">
        <v>125.9</v>
      </c>
      <c r="EE47" s="151" t="s">
        <v>64</v>
      </c>
      <c r="EF47" s="144">
        <v>72</v>
      </c>
      <c r="EG47" s="170">
        <v>99.7</v>
      </c>
      <c r="EH47" s="174">
        <v>99.8</v>
      </c>
      <c r="EI47" s="175">
        <v>104.8</v>
      </c>
      <c r="EJ47" s="180">
        <v>104.9</v>
      </c>
      <c r="EK47" s="181">
        <v>125.4</v>
      </c>
      <c r="EL47" s="173">
        <v>125.5</v>
      </c>
      <c r="EN47" s="154" t="str">
        <f t="shared" si="96"/>
        <v/>
      </c>
      <c r="EO47" s="154" t="e">
        <f t="shared" si="97"/>
        <v>#N/A</v>
      </c>
      <c r="EP47" s="154" t="e">
        <f t="shared" si="98"/>
        <v>#N/A</v>
      </c>
      <c r="EQ47" s="154" t="e">
        <f t="shared" si="99"/>
        <v>#N/A</v>
      </c>
      <c r="ES47" s="154" t="e">
        <f t="shared" si="100"/>
        <v>#N/A</v>
      </c>
      <c r="ET47" s="154" t="e">
        <f t="shared" si="101"/>
        <v>#N/A</v>
      </c>
      <c r="EU47" s="154" t="e">
        <f t="shared" si="102"/>
        <v>#N/A</v>
      </c>
      <c r="EW47" s="60">
        <f t="shared" si="103"/>
        <v>0</v>
      </c>
      <c r="EX47" s="60">
        <f t="shared" si="104"/>
        <v>0</v>
      </c>
      <c r="EY47" s="60">
        <f t="shared" si="105"/>
        <v>0</v>
      </c>
      <c r="EZ47" s="60">
        <f t="shared" si="106"/>
        <v>0</v>
      </c>
      <c r="FA47" s="60">
        <f t="shared" si="107"/>
        <v>0</v>
      </c>
      <c r="FB47" s="60">
        <f t="shared" si="108"/>
        <v>0</v>
      </c>
      <c r="FC47" s="60">
        <f t="shared" si="109"/>
        <v>0</v>
      </c>
      <c r="FD47" s="60">
        <f t="shared" si="110"/>
        <v>0</v>
      </c>
    </row>
    <row r="48" spans="1:160" ht="10.5" customHeight="1">
      <c r="A48" s="8" t="str">
        <f t="shared" si="111"/>
        <v/>
      </c>
      <c r="B48" s="9" t="str">
        <f t="shared" si="61"/>
        <v/>
      </c>
      <c r="C48" s="18"/>
      <c r="D48" s="16"/>
      <c r="E48" s="17"/>
      <c r="F48" s="17"/>
      <c r="G48" s="13"/>
      <c r="H48" s="14" t="str">
        <f t="shared" si="62"/>
        <v/>
      </c>
      <c r="I48" s="8" t="str">
        <f t="shared" si="63"/>
        <v/>
      </c>
      <c r="J48" s="9" t="str">
        <f t="shared" si="64"/>
        <v/>
      </c>
      <c r="K48" s="32" t="str">
        <f t="shared" si="65"/>
        <v/>
      </c>
      <c r="L48" s="33" t="str">
        <f t="shared" si="66"/>
        <v/>
      </c>
      <c r="M48" s="34" t="str">
        <f t="shared" si="67"/>
        <v/>
      </c>
      <c r="N48" s="35" t="str">
        <f t="shared" si="68"/>
        <v/>
      </c>
      <c r="O48" s="36"/>
      <c r="P48" s="36"/>
      <c r="Q48" s="36"/>
      <c r="R48" s="36"/>
      <c r="S48" s="36"/>
      <c r="T48" s="36"/>
      <c r="U48" s="36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53"/>
      <c r="AS48" s="53"/>
      <c r="AT48" s="53"/>
      <c r="AW48" s="5"/>
      <c r="AX48" s="5"/>
      <c r="AY48" s="60" t="str">
        <f t="shared" si="69"/>
        <v/>
      </c>
      <c r="AZ48" s="60" t="str">
        <f t="shared" si="70"/>
        <v/>
      </c>
      <c r="BA48" s="61" t="str">
        <f t="shared" si="71"/>
        <v/>
      </c>
      <c r="BB48" s="61" t="str">
        <f t="shared" si="72"/>
        <v/>
      </c>
      <c r="BC48" s="61" t="str">
        <f t="shared" si="73"/>
        <v/>
      </c>
      <c r="BD48" s="61" t="str">
        <f t="shared" si="74"/>
        <v/>
      </c>
      <c r="BE48" s="64" t="str">
        <f t="shared" si="75"/>
        <v/>
      </c>
      <c r="BF48" s="64" t="str">
        <f t="shared" si="76"/>
        <v/>
      </c>
      <c r="BG48" s="64" t="str">
        <f t="shared" si="77"/>
        <v/>
      </c>
      <c r="BH48" s="64" t="str">
        <f t="shared" si="78"/>
        <v/>
      </c>
      <c r="BI48" s="65"/>
      <c r="BJ48" s="66" t="str">
        <f t="shared" si="79"/>
        <v/>
      </c>
      <c r="BK48" s="71" t="s">
        <v>205</v>
      </c>
      <c r="BL48" s="70">
        <v>108</v>
      </c>
      <c r="BM48" s="5">
        <v>12.5</v>
      </c>
      <c r="BN48" s="77">
        <v>12.6</v>
      </c>
      <c r="BO48" s="78">
        <f t="shared" si="112"/>
        <v>13.4</v>
      </c>
      <c r="BP48" s="79">
        <v>13.5</v>
      </c>
      <c r="BQ48" s="80">
        <v>20.5</v>
      </c>
      <c r="BR48" s="81">
        <f t="shared" si="113"/>
        <v>20.6</v>
      </c>
      <c r="BS48" s="82">
        <v>24.3</v>
      </c>
      <c r="BT48" s="83">
        <v>24.4</v>
      </c>
      <c r="BU48" s="41"/>
      <c r="BV48" s="87" t="s">
        <v>205</v>
      </c>
      <c r="BW48" s="86">
        <v>108</v>
      </c>
      <c r="BX48" s="5">
        <v>12</v>
      </c>
      <c r="BY48" s="88">
        <v>12.1</v>
      </c>
      <c r="BZ48" s="78">
        <f t="shared" si="114"/>
        <v>13</v>
      </c>
      <c r="CA48" s="89">
        <v>13.1</v>
      </c>
      <c r="CB48" s="90">
        <v>21.5</v>
      </c>
      <c r="CC48" s="92">
        <f t="shared" si="115"/>
        <v>21.6</v>
      </c>
      <c r="CD48" s="93">
        <v>26.5</v>
      </c>
      <c r="CE48" s="83" t="s">
        <v>206</v>
      </c>
      <c r="CF48" s="5"/>
      <c r="CG48" s="91" t="str">
        <f t="shared" si="80"/>
        <v/>
      </c>
      <c r="CH48" s="91"/>
      <c r="CI48" s="91" t="str">
        <f t="shared" si="81"/>
        <v/>
      </c>
      <c r="CJ48" s="91"/>
      <c r="CK48" s="91" t="str">
        <f t="shared" si="82"/>
        <v/>
      </c>
      <c r="CL48" s="91" t="str">
        <f t="shared" si="83"/>
        <v/>
      </c>
      <c r="CM48" s="91" t="str">
        <f t="shared" si="84"/>
        <v/>
      </c>
      <c r="CN48" s="91" t="str">
        <f t="shared" si="85"/>
        <v/>
      </c>
      <c r="CO48" s="91" t="str">
        <f t="shared" si="86"/>
        <v/>
      </c>
      <c r="CP48" s="91" t="str">
        <f t="shared" si="87"/>
        <v/>
      </c>
      <c r="CQ48" s="91" t="str">
        <f t="shared" si="88"/>
        <v/>
      </c>
      <c r="CR48" s="91" t="str">
        <f t="shared" si="89"/>
        <v/>
      </c>
      <c r="CS48" s="91" t="str">
        <f t="shared" si="90"/>
        <v/>
      </c>
      <c r="CT48" s="91" t="str">
        <f t="shared" si="91"/>
        <v/>
      </c>
      <c r="CV48" s="94"/>
      <c r="CW48" s="98">
        <v>36</v>
      </c>
      <c r="CX48" s="99">
        <f t="shared" si="116"/>
        <v>10</v>
      </c>
      <c r="CY48" s="100">
        <v>10.1</v>
      </c>
      <c r="CZ48" s="99">
        <f t="shared" si="117"/>
        <v>11.2</v>
      </c>
      <c r="DA48" s="100">
        <v>11.3</v>
      </c>
      <c r="DB48" s="100">
        <v>18.3</v>
      </c>
      <c r="DC48" s="99">
        <f t="shared" si="118"/>
        <v>18.399999999999999</v>
      </c>
      <c r="DD48" s="41"/>
      <c r="DE48" s="41"/>
      <c r="DF48" s="41"/>
      <c r="DG48" s="94"/>
      <c r="DH48" s="99">
        <f t="shared" si="119"/>
        <v>9.6</v>
      </c>
      <c r="DI48" s="100">
        <v>9.6999999999999993</v>
      </c>
      <c r="DJ48" s="99">
        <f t="shared" si="120"/>
        <v>10.7</v>
      </c>
      <c r="DK48" s="100">
        <v>10.8</v>
      </c>
      <c r="DL48" s="100">
        <v>18.100000000000001</v>
      </c>
      <c r="DM48" s="99">
        <f t="shared" si="121"/>
        <v>18.2</v>
      </c>
      <c r="DN48" s="106">
        <v>18.2</v>
      </c>
      <c r="DO48" s="41"/>
      <c r="DP48" s="66" t="str">
        <f t="shared" si="92"/>
        <v/>
      </c>
      <c r="DQ48" s="60" t="str">
        <f t="shared" si="93"/>
        <v/>
      </c>
      <c r="DR48" s="60" t="str">
        <f t="shared" si="94"/>
        <v/>
      </c>
      <c r="DS48" s="60" t="str">
        <f t="shared" si="95"/>
        <v/>
      </c>
      <c r="DV48" s="119" t="s">
        <v>68</v>
      </c>
      <c r="DW48" s="120">
        <v>73</v>
      </c>
      <c r="DX48" s="121">
        <v>101.5</v>
      </c>
      <c r="DY48" s="145">
        <v>101.6</v>
      </c>
      <c r="DZ48" s="146">
        <v>106.4</v>
      </c>
      <c r="EA48" s="149">
        <v>106.5</v>
      </c>
      <c r="EB48" s="150">
        <v>126.4</v>
      </c>
      <c r="EC48" s="148">
        <v>126.5</v>
      </c>
      <c r="EE48" s="143" t="s">
        <v>68</v>
      </c>
      <c r="EF48" s="144">
        <v>73</v>
      </c>
      <c r="EG48" s="170">
        <v>100.1</v>
      </c>
      <c r="EH48" s="174">
        <v>100.2</v>
      </c>
      <c r="EI48" s="175">
        <v>105.2</v>
      </c>
      <c r="EJ48" s="180">
        <v>105.3</v>
      </c>
      <c r="EK48" s="181">
        <v>125.9</v>
      </c>
      <c r="EL48" s="173">
        <v>126</v>
      </c>
      <c r="EN48" s="154" t="str">
        <f t="shared" si="96"/>
        <v/>
      </c>
      <c r="EO48" s="154" t="e">
        <f t="shared" si="97"/>
        <v>#N/A</v>
      </c>
      <c r="EP48" s="154" t="e">
        <f t="shared" si="98"/>
        <v>#N/A</v>
      </c>
      <c r="EQ48" s="154" t="e">
        <f t="shared" si="99"/>
        <v>#N/A</v>
      </c>
      <c r="ES48" s="154" t="e">
        <f t="shared" si="100"/>
        <v>#N/A</v>
      </c>
      <c r="ET48" s="154" t="e">
        <f t="shared" si="101"/>
        <v>#N/A</v>
      </c>
      <c r="EU48" s="154" t="e">
        <f t="shared" si="102"/>
        <v>#N/A</v>
      </c>
      <c r="EW48" s="60">
        <f t="shared" si="103"/>
        <v>0</v>
      </c>
      <c r="EX48" s="60">
        <f t="shared" si="104"/>
        <v>0</v>
      </c>
      <c r="EY48" s="60">
        <f t="shared" si="105"/>
        <v>0</v>
      </c>
      <c r="EZ48" s="60">
        <f t="shared" si="106"/>
        <v>0</v>
      </c>
      <c r="FA48" s="60">
        <f t="shared" si="107"/>
        <v>0</v>
      </c>
      <c r="FB48" s="60">
        <f t="shared" si="108"/>
        <v>0</v>
      </c>
      <c r="FC48" s="60">
        <f t="shared" si="109"/>
        <v>0</v>
      </c>
      <c r="FD48" s="60">
        <f t="shared" si="110"/>
        <v>0</v>
      </c>
    </row>
    <row r="49" spans="1:160" ht="10.5" customHeight="1">
      <c r="A49" s="8" t="str">
        <f t="shared" si="111"/>
        <v/>
      </c>
      <c r="B49" s="9" t="str">
        <f t="shared" si="61"/>
        <v/>
      </c>
      <c r="C49" s="19"/>
      <c r="D49" s="16"/>
      <c r="E49" s="17"/>
      <c r="F49" s="17"/>
      <c r="G49" s="13"/>
      <c r="H49" s="14" t="str">
        <f t="shared" si="62"/>
        <v/>
      </c>
      <c r="I49" s="8" t="str">
        <f t="shared" si="63"/>
        <v/>
      </c>
      <c r="J49" s="9" t="str">
        <f t="shared" si="64"/>
        <v/>
      </c>
      <c r="K49" s="32" t="str">
        <f t="shared" si="65"/>
        <v/>
      </c>
      <c r="L49" s="33" t="str">
        <f t="shared" si="66"/>
        <v/>
      </c>
      <c r="M49" s="34" t="str">
        <f t="shared" si="67"/>
        <v/>
      </c>
      <c r="N49" s="35" t="str">
        <f t="shared" si="68"/>
        <v/>
      </c>
      <c r="O49" s="36"/>
      <c r="P49" s="36"/>
      <c r="Q49" s="36"/>
      <c r="R49" s="36"/>
      <c r="S49" s="36"/>
      <c r="T49" s="36"/>
      <c r="U49" s="36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53"/>
      <c r="AS49" s="53"/>
      <c r="AT49" s="53"/>
      <c r="AW49" s="5"/>
      <c r="AX49" s="5"/>
      <c r="AY49" s="60" t="str">
        <f t="shared" si="69"/>
        <v/>
      </c>
      <c r="AZ49" s="60" t="str">
        <f t="shared" si="70"/>
        <v/>
      </c>
      <c r="BA49" s="61" t="str">
        <f t="shared" si="71"/>
        <v/>
      </c>
      <c r="BB49" s="61" t="str">
        <f t="shared" si="72"/>
        <v/>
      </c>
      <c r="BC49" s="61" t="str">
        <f t="shared" si="73"/>
        <v/>
      </c>
      <c r="BD49" s="61" t="str">
        <f t="shared" si="74"/>
        <v/>
      </c>
      <c r="BE49" s="64" t="str">
        <f t="shared" si="75"/>
        <v/>
      </c>
      <c r="BF49" s="64" t="str">
        <f t="shared" si="76"/>
        <v/>
      </c>
      <c r="BG49" s="64" t="str">
        <f t="shared" si="77"/>
        <v/>
      </c>
      <c r="BH49" s="64" t="str">
        <f t="shared" si="78"/>
        <v/>
      </c>
      <c r="BI49" s="65"/>
      <c r="BJ49" s="66" t="str">
        <f t="shared" si="79"/>
        <v/>
      </c>
      <c r="BK49" s="71" t="s">
        <v>207</v>
      </c>
      <c r="BL49" s="70">
        <v>109</v>
      </c>
      <c r="BM49" s="5">
        <v>12.5</v>
      </c>
      <c r="BN49" s="77">
        <v>12.6</v>
      </c>
      <c r="BO49" s="78">
        <f t="shared" si="112"/>
        <v>13.4</v>
      </c>
      <c r="BP49" s="79">
        <v>13.5</v>
      </c>
      <c r="BQ49" s="80">
        <v>20.5</v>
      </c>
      <c r="BR49" s="81">
        <f t="shared" si="113"/>
        <v>20.6</v>
      </c>
      <c r="BS49" s="82">
        <v>24.4</v>
      </c>
      <c r="BT49" s="83">
        <v>24.5</v>
      </c>
      <c r="BU49" s="41"/>
      <c r="BV49" s="87" t="s">
        <v>207</v>
      </c>
      <c r="BW49" s="86">
        <v>109</v>
      </c>
      <c r="BX49" s="5">
        <v>12</v>
      </c>
      <c r="BY49" s="88">
        <v>12.1</v>
      </c>
      <c r="BZ49" s="78">
        <f t="shared" si="114"/>
        <v>13.1</v>
      </c>
      <c r="CA49" s="89">
        <v>13.2</v>
      </c>
      <c r="CB49" s="90">
        <v>21.6</v>
      </c>
      <c r="CC49" s="92">
        <f t="shared" si="115"/>
        <v>21.7</v>
      </c>
      <c r="CD49" s="93">
        <v>26.7</v>
      </c>
      <c r="CE49" s="83" t="s">
        <v>208</v>
      </c>
      <c r="CF49" s="5"/>
      <c r="CG49" s="91" t="str">
        <f t="shared" si="80"/>
        <v/>
      </c>
      <c r="CH49" s="91"/>
      <c r="CI49" s="91" t="str">
        <f t="shared" si="81"/>
        <v/>
      </c>
      <c r="CJ49" s="91"/>
      <c r="CK49" s="91" t="str">
        <f t="shared" si="82"/>
        <v/>
      </c>
      <c r="CL49" s="91" t="str">
        <f t="shared" si="83"/>
        <v/>
      </c>
      <c r="CM49" s="91" t="str">
        <f t="shared" si="84"/>
        <v/>
      </c>
      <c r="CN49" s="91" t="str">
        <f t="shared" si="85"/>
        <v/>
      </c>
      <c r="CO49" s="91" t="str">
        <f t="shared" si="86"/>
        <v/>
      </c>
      <c r="CP49" s="91" t="str">
        <f t="shared" si="87"/>
        <v/>
      </c>
      <c r="CQ49" s="91" t="str">
        <f t="shared" si="88"/>
        <v/>
      </c>
      <c r="CR49" s="91" t="str">
        <f t="shared" si="89"/>
        <v/>
      </c>
      <c r="CS49" s="91" t="str">
        <f t="shared" si="90"/>
        <v/>
      </c>
      <c r="CT49" s="91" t="str">
        <f t="shared" si="91"/>
        <v/>
      </c>
      <c r="CV49" s="94"/>
      <c r="CW49" s="95">
        <v>37</v>
      </c>
      <c r="CX49" s="96">
        <f t="shared" si="116"/>
        <v>10.1</v>
      </c>
      <c r="CY49" s="97">
        <v>10.199999999999999</v>
      </c>
      <c r="CZ49" s="96">
        <f t="shared" si="117"/>
        <v>11.3</v>
      </c>
      <c r="DA49" s="97">
        <v>11.4</v>
      </c>
      <c r="DB49" s="97">
        <v>18.600000000000001</v>
      </c>
      <c r="DC49" s="96">
        <f t="shared" si="118"/>
        <v>18.7</v>
      </c>
      <c r="DD49" s="41"/>
      <c r="DE49" s="41"/>
      <c r="DF49" s="41"/>
      <c r="DG49" s="94"/>
      <c r="DH49" s="96">
        <f t="shared" si="119"/>
        <v>9.6999999999999993</v>
      </c>
      <c r="DI49" s="97">
        <v>9.8000000000000007</v>
      </c>
      <c r="DJ49" s="96">
        <f t="shared" si="120"/>
        <v>10.8</v>
      </c>
      <c r="DK49" s="97">
        <v>10.9</v>
      </c>
      <c r="DL49" s="97">
        <v>18.399999999999999</v>
      </c>
      <c r="DM49" s="96">
        <f t="shared" si="121"/>
        <v>18.5</v>
      </c>
      <c r="DN49" s="106">
        <v>18.5</v>
      </c>
      <c r="DO49" s="41"/>
      <c r="DP49" s="66" t="str">
        <f t="shared" si="92"/>
        <v/>
      </c>
      <c r="DQ49" s="60" t="str">
        <f t="shared" si="93"/>
        <v/>
      </c>
      <c r="DR49" s="60" t="str">
        <f t="shared" si="94"/>
        <v/>
      </c>
      <c r="DS49" s="60" t="str">
        <f t="shared" si="95"/>
        <v/>
      </c>
      <c r="DV49" s="119" t="s">
        <v>72</v>
      </c>
      <c r="DW49" s="120">
        <v>74</v>
      </c>
      <c r="DX49" s="121">
        <v>101.9</v>
      </c>
      <c r="DY49" s="145">
        <v>102</v>
      </c>
      <c r="DZ49" s="146">
        <v>106.9</v>
      </c>
      <c r="EA49" s="149">
        <v>107</v>
      </c>
      <c r="EB49" s="150">
        <v>126.9</v>
      </c>
      <c r="EC49" s="148">
        <v>127</v>
      </c>
      <c r="EE49" s="143" t="s">
        <v>72</v>
      </c>
      <c r="EF49" s="144">
        <v>74</v>
      </c>
      <c r="EG49" s="170">
        <v>100.4</v>
      </c>
      <c r="EH49" s="174">
        <v>100.5</v>
      </c>
      <c r="EI49" s="175">
        <v>105.6</v>
      </c>
      <c r="EJ49" s="180">
        <v>105.7</v>
      </c>
      <c r="EK49" s="181">
        <v>126.4</v>
      </c>
      <c r="EL49" s="173">
        <v>126.5</v>
      </c>
      <c r="EN49" s="154" t="str">
        <f t="shared" si="96"/>
        <v/>
      </c>
      <c r="EO49" s="154" t="e">
        <f t="shared" si="97"/>
        <v>#N/A</v>
      </c>
      <c r="EP49" s="154" t="e">
        <f t="shared" si="98"/>
        <v>#N/A</v>
      </c>
      <c r="EQ49" s="154" t="e">
        <f t="shared" si="99"/>
        <v>#N/A</v>
      </c>
      <c r="ES49" s="154" t="e">
        <f t="shared" si="100"/>
        <v>#N/A</v>
      </c>
      <c r="ET49" s="154" t="e">
        <f t="shared" si="101"/>
        <v>#N/A</v>
      </c>
      <c r="EU49" s="154" t="e">
        <f t="shared" si="102"/>
        <v>#N/A</v>
      </c>
      <c r="EW49" s="60">
        <f t="shared" si="103"/>
        <v>0</v>
      </c>
      <c r="EX49" s="60">
        <f t="shared" si="104"/>
        <v>0</v>
      </c>
      <c r="EY49" s="60">
        <f t="shared" si="105"/>
        <v>0</v>
      </c>
      <c r="EZ49" s="60">
        <f t="shared" si="106"/>
        <v>0</v>
      </c>
      <c r="FA49" s="60">
        <f t="shared" si="107"/>
        <v>0</v>
      </c>
      <c r="FB49" s="60">
        <f t="shared" si="108"/>
        <v>0</v>
      </c>
      <c r="FC49" s="60">
        <f t="shared" si="109"/>
        <v>0</v>
      </c>
      <c r="FD49" s="60">
        <f t="shared" si="110"/>
        <v>0</v>
      </c>
    </row>
    <row r="50" spans="1:160" ht="10.5" customHeight="1">
      <c r="A50" s="8" t="str">
        <f t="shared" si="111"/>
        <v/>
      </c>
      <c r="B50" s="9" t="str">
        <f t="shared" si="61"/>
        <v/>
      </c>
      <c r="C50" s="18"/>
      <c r="D50" s="16"/>
      <c r="E50" s="17"/>
      <c r="F50" s="17"/>
      <c r="G50" s="13"/>
      <c r="H50" s="14" t="str">
        <f t="shared" si="62"/>
        <v/>
      </c>
      <c r="I50" s="8" t="str">
        <f t="shared" si="63"/>
        <v/>
      </c>
      <c r="J50" s="9" t="str">
        <f t="shared" si="64"/>
        <v/>
      </c>
      <c r="K50" s="32" t="str">
        <f t="shared" si="65"/>
        <v/>
      </c>
      <c r="L50" s="33" t="str">
        <f t="shared" si="66"/>
        <v/>
      </c>
      <c r="M50" s="34" t="str">
        <f t="shared" si="67"/>
        <v/>
      </c>
      <c r="N50" s="35" t="str">
        <f t="shared" si="68"/>
        <v/>
      </c>
      <c r="O50" s="36"/>
      <c r="P50" s="36"/>
      <c r="Q50" s="36"/>
      <c r="R50" s="36"/>
      <c r="S50" s="36"/>
      <c r="T50" s="36"/>
      <c r="U50" s="36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53"/>
      <c r="AS50" s="53"/>
      <c r="AT50" s="53"/>
      <c r="AW50" s="5"/>
      <c r="AX50" s="5"/>
      <c r="AY50" s="60" t="str">
        <f t="shared" si="69"/>
        <v/>
      </c>
      <c r="AZ50" s="60" t="str">
        <f t="shared" si="70"/>
        <v/>
      </c>
      <c r="BA50" s="61" t="str">
        <f t="shared" si="71"/>
        <v/>
      </c>
      <c r="BB50" s="61" t="str">
        <f t="shared" si="72"/>
        <v/>
      </c>
      <c r="BC50" s="61" t="str">
        <f t="shared" si="73"/>
        <v/>
      </c>
      <c r="BD50" s="61" t="str">
        <f t="shared" si="74"/>
        <v/>
      </c>
      <c r="BE50" s="64" t="str">
        <f t="shared" si="75"/>
        <v/>
      </c>
      <c r="BF50" s="64" t="str">
        <f t="shared" si="76"/>
        <v/>
      </c>
      <c r="BG50" s="64" t="str">
        <f t="shared" si="77"/>
        <v/>
      </c>
      <c r="BH50" s="64" t="str">
        <f t="shared" si="78"/>
        <v/>
      </c>
      <c r="BI50" s="65"/>
      <c r="BJ50" s="66" t="str">
        <f t="shared" si="79"/>
        <v/>
      </c>
      <c r="BK50" s="71" t="s">
        <v>209</v>
      </c>
      <c r="BL50" s="70">
        <v>110</v>
      </c>
      <c r="BM50" s="5">
        <v>12.5</v>
      </c>
      <c r="BN50" s="77">
        <v>12.6</v>
      </c>
      <c r="BO50" s="78">
        <f t="shared" si="112"/>
        <v>13.4</v>
      </c>
      <c r="BP50" s="79">
        <v>13.5</v>
      </c>
      <c r="BQ50" s="80">
        <v>20.6</v>
      </c>
      <c r="BR50" s="81">
        <f t="shared" si="113"/>
        <v>20.7</v>
      </c>
      <c r="BS50" s="82">
        <v>24.6</v>
      </c>
      <c r="BT50" s="83">
        <v>24.7</v>
      </c>
      <c r="BU50" s="41"/>
      <c r="BV50" s="87" t="s">
        <v>209</v>
      </c>
      <c r="BW50" s="86">
        <v>110</v>
      </c>
      <c r="BX50" s="5">
        <v>12</v>
      </c>
      <c r="BY50" s="88">
        <v>12.1</v>
      </c>
      <c r="BZ50" s="78">
        <f t="shared" si="114"/>
        <v>13.1</v>
      </c>
      <c r="CA50" s="89">
        <v>13.2</v>
      </c>
      <c r="CB50" s="90">
        <v>21.7</v>
      </c>
      <c r="CC50" s="92">
        <f t="shared" si="115"/>
        <v>21.8</v>
      </c>
      <c r="CD50" s="93">
        <v>26.8</v>
      </c>
      <c r="CE50" s="83" t="s">
        <v>210</v>
      </c>
      <c r="CF50" s="5"/>
      <c r="CG50" s="91" t="str">
        <f t="shared" si="80"/>
        <v/>
      </c>
      <c r="CH50" s="91"/>
      <c r="CI50" s="91" t="str">
        <f t="shared" si="81"/>
        <v/>
      </c>
      <c r="CJ50" s="91"/>
      <c r="CK50" s="91" t="str">
        <f t="shared" si="82"/>
        <v/>
      </c>
      <c r="CL50" s="91" t="str">
        <f t="shared" si="83"/>
        <v/>
      </c>
      <c r="CM50" s="91" t="str">
        <f t="shared" si="84"/>
        <v/>
      </c>
      <c r="CN50" s="91" t="str">
        <f t="shared" si="85"/>
        <v/>
      </c>
      <c r="CO50" s="91" t="str">
        <f t="shared" si="86"/>
        <v/>
      </c>
      <c r="CP50" s="91" t="str">
        <f t="shared" si="87"/>
        <v/>
      </c>
      <c r="CQ50" s="91" t="str">
        <f t="shared" si="88"/>
        <v/>
      </c>
      <c r="CR50" s="91" t="str">
        <f t="shared" si="89"/>
        <v/>
      </c>
      <c r="CS50" s="91" t="str">
        <f t="shared" si="90"/>
        <v/>
      </c>
      <c r="CT50" s="91" t="str">
        <f t="shared" si="91"/>
        <v/>
      </c>
      <c r="CV50" s="94"/>
      <c r="CW50" s="95">
        <v>38</v>
      </c>
      <c r="CX50" s="96">
        <f t="shared" si="116"/>
        <v>10.199999999999999</v>
      </c>
      <c r="CY50" s="97">
        <v>10.3</v>
      </c>
      <c r="CZ50" s="96">
        <f t="shared" si="117"/>
        <v>11.4</v>
      </c>
      <c r="DA50" s="97">
        <v>11.5</v>
      </c>
      <c r="DB50" s="97">
        <v>18.8</v>
      </c>
      <c r="DC50" s="96">
        <f t="shared" si="118"/>
        <v>18.899999999999999</v>
      </c>
      <c r="DD50" s="41"/>
      <c r="DE50" s="41"/>
      <c r="DF50" s="41"/>
      <c r="DG50" s="94"/>
      <c r="DH50" s="96">
        <f t="shared" si="119"/>
        <v>9.8000000000000007</v>
      </c>
      <c r="DI50" s="97">
        <v>9.9</v>
      </c>
      <c r="DJ50" s="96">
        <f t="shared" si="120"/>
        <v>11</v>
      </c>
      <c r="DK50" s="97">
        <v>11.1</v>
      </c>
      <c r="DL50" s="97">
        <v>18.7</v>
      </c>
      <c r="DM50" s="96">
        <f t="shared" si="121"/>
        <v>18.8</v>
      </c>
      <c r="DN50" s="106">
        <v>18.8</v>
      </c>
      <c r="DO50" s="41"/>
      <c r="DP50" s="66" t="str">
        <f t="shared" si="92"/>
        <v/>
      </c>
      <c r="DQ50" s="60" t="str">
        <f t="shared" si="93"/>
        <v/>
      </c>
      <c r="DR50" s="60" t="str">
        <f t="shared" si="94"/>
        <v/>
      </c>
      <c r="DS50" s="60" t="str">
        <f t="shared" si="95"/>
        <v/>
      </c>
      <c r="DV50" s="119" t="s">
        <v>76</v>
      </c>
      <c r="DW50" s="120">
        <v>75</v>
      </c>
      <c r="DX50" s="121">
        <v>102.3</v>
      </c>
      <c r="DY50" s="145">
        <v>102.4</v>
      </c>
      <c r="DZ50" s="146">
        <v>107.3</v>
      </c>
      <c r="EA50" s="149">
        <v>107.4</v>
      </c>
      <c r="EB50" s="150">
        <v>127.5</v>
      </c>
      <c r="EC50" s="148">
        <v>127.6</v>
      </c>
      <c r="EE50" s="143" t="s">
        <v>76</v>
      </c>
      <c r="EF50" s="144">
        <v>75</v>
      </c>
      <c r="EG50" s="170">
        <v>100.8</v>
      </c>
      <c r="EH50" s="174">
        <v>100.9</v>
      </c>
      <c r="EI50" s="175">
        <v>106</v>
      </c>
      <c r="EJ50" s="180">
        <v>106.1</v>
      </c>
      <c r="EK50" s="181">
        <v>127</v>
      </c>
      <c r="EL50" s="173">
        <v>127.1</v>
      </c>
      <c r="EN50" s="154" t="str">
        <f t="shared" si="96"/>
        <v/>
      </c>
      <c r="EO50" s="154" t="e">
        <f t="shared" si="97"/>
        <v>#N/A</v>
      </c>
      <c r="EP50" s="154" t="e">
        <f t="shared" si="98"/>
        <v>#N/A</v>
      </c>
      <c r="EQ50" s="154" t="e">
        <f t="shared" si="99"/>
        <v>#N/A</v>
      </c>
      <c r="ES50" s="154" t="e">
        <f t="shared" si="100"/>
        <v>#N/A</v>
      </c>
      <c r="ET50" s="154" t="e">
        <f t="shared" si="101"/>
        <v>#N/A</v>
      </c>
      <c r="EU50" s="154" t="e">
        <f t="shared" si="102"/>
        <v>#N/A</v>
      </c>
      <c r="EW50" s="60">
        <f t="shared" si="103"/>
        <v>0</v>
      </c>
      <c r="EX50" s="60">
        <f t="shared" si="104"/>
        <v>0</v>
      </c>
      <c r="EY50" s="60">
        <f t="shared" si="105"/>
        <v>0</v>
      </c>
      <c r="EZ50" s="60">
        <f t="shared" si="106"/>
        <v>0</v>
      </c>
      <c r="FA50" s="60">
        <f t="shared" si="107"/>
        <v>0</v>
      </c>
      <c r="FB50" s="60">
        <f t="shared" si="108"/>
        <v>0</v>
      </c>
      <c r="FC50" s="60">
        <f t="shared" si="109"/>
        <v>0</v>
      </c>
      <c r="FD50" s="60">
        <f t="shared" si="110"/>
        <v>0</v>
      </c>
    </row>
    <row r="51" spans="1:160" ht="10.5" customHeight="1">
      <c r="A51" s="8" t="str">
        <f t="shared" si="111"/>
        <v/>
      </c>
      <c r="B51" s="9" t="str">
        <f t="shared" si="61"/>
        <v/>
      </c>
      <c r="C51" s="18"/>
      <c r="D51" s="16"/>
      <c r="E51" s="17"/>
      <c r="F51" s="17"/>
      <c r="G51" s="13"/>
      <c r="H51" s="14" t="str">
        <f t="shared" si="62"/>
        <v/>
      </c>
      <c r="I51" s="8" t="str">
        <f t="shared" si="63"/>
        <v/>
      </c>
      <c r="J51" s="9" t="str">
        <f t="shared" si="64"/>
        <v/>
      </c>
      <c r="K51" s="32" t="str">
        <f t="shared" si="65"/>
        <v/>
      </c>
      <c r="L51" s="33" t="str">
        <f t="shared" si="66"/>
        <v/>
      </c>
      <c r="M51" s="34" t="str">
        <f t="shared" si="67"/>
        <v/>
      </c>
      <c r="N51" s="35" t="str">
        <f t="shared" si="68"/>
        <v/>
      </c>
      <c r="O51" s="36"/>
      <c r="P51" s="36"/>
      <c r="Q51" s="36"/>
      <c r="R51" s="36"/>
      <c r="S51" s="36"/>
      <c r="T51" s="36"/>
      <c r="U51" s="36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53"/>
      <c r="AS51" s="53"/>
      <c r="AT51" s="53"/>
      <c r="AW51" s="5"/>
      <c r="AX51" s="5"/>
      <c r="AY51" s="60" t="str">
        <f t="shared" si="69"/>
        <v/>
      </c>
      <c r="AZ51" s="60" t="str">
        <f t="shared" si="70"/>
        <v/>
      </c>
      <c r="BA51" s="61" t="str">
        <f t="shared" si="71"/>
        <v/>
      </c>
      <c r="BB51" s="61" t="str">
        <f t="shared" si="72"/>
        <v/>
      </c>
      <c r="BC51" s="61" t="str">
        <f t="shared" si="73"/>
        <v/>
      </c>
      <c r="BD51" s="61" t="str">
        <f t="shared" si="74"/>
        <v/>
      </c>
      <c r="BE51" s="64" t="str">
        <f t="shared" si="75"/>
        <v/>
      </c>
      <c r="BF51" s="64" t="str">
        <f t="shared" si="76"/>
        <v/>
      </c>
      <c r="BG51" s="64" t="str">
        <f t="shared" si="77"/>
        <v/>
      </c>
      <c r="BH51" s="64" t="str">
        <f t="shared" si="78"/>
        <v/>
      </c>
      <c r="BI51" s="65"/>
      <c r="BJ51" s="66" t="str">
        <f t="shared" si="79"/>
        <v/>
      </c>
      <c r="BK51" s="71" t="s">
        <v>211</v>
      </c>
      <c r="BL51" s="70">
        <v>111</v>
      </c>
      <c r="BM51" s="5">
        <v>12.5</v>
      </c>
      <c r="BN51" s="77">
        <v>12.6</v>
      </c>
      <c r="BO51" s="78">
        <f t="shared" si="112"/>
        <v>13.4</v>
      </c>
      <c r="BP51" s="79">
        <v>13.5</v>
      </c>
      <c r="BQ51" s="80">
        <v>20.7</v>
      </c>
      <c r="BR51" s="81">
        <f t="shared" si="113"/>
        <v>20.8</v>
      </c>
      <c r="BS51" s="82">
        <v>24.7</v>
      </c>
      <c r="BT51" s="83">
        <v>24.8</v>
      </c>
      <c r="BU51" s="41"/>
      <c r="BV51" s="87" t="s">
        <v>211</v>
      </c>
      <c r="BW51" s="86">
        <v>111</v>
      </c>
      <c r="BX51" s="5">
        <v>12.1</v>
      </c>
      <c r="BY51" s="88">
        <v>12.2</v>
      </c>
      <c r="BZ51" s="78">
        <f t="shared" si="114"/>
        <v>13.1</v>
      </c>
      <c r="CA51" s="89">
        <v>13.2</v>
      </c>
      <c r="CB51" s="90">
        <v>21.8</v>
      </c>
      <c r="CC51" s="92">
        <f t="shared" si="115"/>
        <v>21.9</v>
      </c>
      <c r="CD51" s="93">
        <v>27</v>
      </c>
      <c r="CE51" s="83" t="s">
        <v>212</v>
      </c>
      <c r="CF51" s="5"/>
      <c r="CG51" s="91" t="str">
        <f t="shared" si="80"/>
        <v/>
      </c>
      <c r="CH51" s="91"/>
      <c r="CI51" s="91" t="str">
        <f t="shared" si="81"/>
        <v/>
      </c>
      <c r="CJ51" s="91"/>
      <c r="CK51" s="91" t="str">
        <f t="shared" si="82"/>
        <v/>
      </c>
      <c r="CL51" s="91" t="str">
        <f t="shared" si="83"/>
        <v/>
      </c>
      <c r="CM51" s="91" t="str">
        <f t="shared" si="84"/>
        <v/>
      </c>
      <c r="CN51" s="91" t="str">
        <f t="shared" si="85"/>
        <v/>
      </c>
      <c r="CO51" s="91" t="str">
        <f t="shared" si="86"/>
        <v/>
      </c>
      <c r="CP51" s="91" t="str">
        <f t="shared" si="87"/>
        <v/>
      </c>
      <c r="CQ51" s="91" t="str">
        <f t="shared" si="88"/>
        <v/>
      </c>
      <c r="CR51" s="91" t="str">
        <f t="shared" si="89"/>
        <v/>
      </c>
      <c r="CS51" s="91" t="str">
        <f t="shared" si="90"/>
        <v/>
      </c>
      <c r="CT51" s="91" t="str">
        <f t="shared" si="91"/>
        <v/>
      </c>
      <c r="CV51" s="94"/>
      <c r="CW51" s="95">
        <v>39</v>
      </c>
      <c r="CX51" s="96">
        <f t="shared" si="116"/>
        <v>10.3</v>
      </c>
      <c r="CY51" s="97">
        <v>10.4</v>
      </c>
      <c r="CZ51" s="96">
        <f t="shared" si="117"/>
        <v>11.5</v>
      </c>
      <c r="DA51" s="97">
        <v>11.6</v>
      </c>
      <c r="DB51" s="97">
        <v>19</v>
      </c>
      <c r="DC51" s="96">
        <f t="shared" si="118"/>
        <v>19.100000000000001</v>
      </c>
      <c r="DD51" s="41"/>
      <c r="DE51" s="41"/>
      <c r="DF51" s="41"/>
      <c r="DG51" s="94"/>
      <c r="DH51" s="96">
        <f t="shared" si="119"/>
        <v>9.9</v>
      </c>
      <c r="DI51" s="97">
        <v>10</v>
      </c>
      <c r="DJ51" s="96">
        <f t="shared" si="120"/>
        <v>11.1</v>
      </c>
      <c r="DK51" s="97">
        <v>11.2</v>
      </c>
      <c r="DL51" s="97">
        <v>19</v>
      </c>
      <c r="DM51" s="96">
        <f t="shared" si="121"/>
        <v>19.100000000000001</v>
      </c>
      <c r="DN51" s="106">
        <v>19.100000000000001</v>
      </c>
      <c r="DO51" s="41"/>
      <c r="DP51" s="66" t="str">
        <f t="shared" si="92"/>
        <v/>
      </c>
      <c r="DQ51" s="60" t="str">
        <f t="shared" si="93"/>
        <v/>
      </c>
      <c r="DR51" s="60" t="str">
        <f t="shared" si="94"/>
        <v/>
      </c>
      <c r="DS51" s="60" t="str">
        <f t="shared" si="95"/>
        <v/>
      </c>
      <c r="DV51" s="119" t="s">
        <v>80</v>
      </c>
      <c r="DW51" s="120">
        <v>76</v>
      </c>
      <c r="DX51" s="121">
        <v>102.7</v>
      </c>
      <c r="DY51" s="145">
        <v>102.8</v>
      </c>
      <c r="DZ51" s="146">
        <v>107.7</v>
      </c>
      <c r="EA51" s="149">
        <v>107.8</v>
      </c>
      <c r="EB51" s="150">
        <v>128</v>
      </c>
      <c r="EC51" s="148">
        <v>128.1</v>
      </c>
      <c r="EE51" s="143" t="s">
        <v>80</v>
      </c>
      <c r="EF51" s="144">
        <v>76</v>
      </c>
      <c r="EG51" s="170">
        <v>101.2</v>
      </c>
      <c r="EH51" s="174">
        <v>101.3</v>
      </c>
      <c r="EI51" s="175">
        <v>106.5</v>
      </c>
      <c r="EJ51" s="180">
        <v>106.6</v>
      </c>
      <c r="EK51" s="181">
        <v>127.5</v>
      </c>
      <c r="EL51" s="173">
        <v>127.6</v>
      </c>
      <c r="EN51" s="154" t="str">
        <f t="shared" si="96"/>
        <v/>
      </c>
      <c r="EO51" s="154" t="e">
        <f t="shared" si="97"/>
        <v>#N/A</v>
      </c>
      <c r="EP51" s="154" t="e">
        <f t="shared" si="98"/>
        <v>#N/A</v>
      </c>
      <c r="EQ51" s="154" t="e">
        <f t="shared" si="99"/>
        <v>#N/A</v>
      </c>
      <c r="ES51" s="154" t="e">
        <f t="shared" si="100"/>
        <v>#N/A</v>
      </c>
      <c r="ET51" s="154" t="e">
        <f t="shared" si="101"/>
        <v>#N/A</v>
      </c>
      <c r="EU51" s="154" t="e">
        <f t="shared" si="102"/>
        <v>#N/A</v>
      </c>
      <c r="EW51" s="60">
        <f t="shared" si="103"/>
        <v>0</v>
      </c>
      <c r="EX51" s="60">
        <f t="shared" si="104"/>
        <v>0</v>
      </c>
      <c r="EY51" s="60">
        <f t="shared" si="105"/>
        <v>0</v>
      </c>
      <c r="EZ51" s="60">
        <f t="shared" si="106"/>
        <v>0</v>
      </c>
      <c r="FA51" s="60">
        <f t="shared" si="107"/>
        <v>0</v>
      </c>
      <c r="FB51" s="60">
        <f t="shared" si="108"/>
        <v>0</v>
      </c>
      <c r="FC51" s="60">
        <f t="shared" si="109"/>
        <v>0</v>
      </c>
      <c r="FD51" s="60">
        <f t="shared" si="110"/>
        <v>0</v>
      </c>
    </row>
    <row r="52" spans="1:160" ht="10.5" customHeight="1">
      <c r="A52" s="8" t="str">
        <f t="shared" si="111"/>
        <v/>
      </c>
      <c r="B52" s="9" t="str">
        <f t="shared" si="61"/>
        <v/>
      </c>
      <c r="C52" s="18"/>
      <c r="D52" s="16"/>
      <c r="E52" s="17"/>
      <c r="F52" s="17"/>
      <c r="G52" s="13"/>
      <c r="H52" s="14" t="str">
        <f t="shared" si="62"/>
        <v/>
      </c>
      <c r="I52" s="8" t="str">
        <f t="shared" si="63"/>
        <v/>
      </c>
      <c r="J52" s="9" t="str">
        <f t="shared" si="64"/>
        <v/>
      </c>
      <c r="K52" s="32" t="str">
        <f t="shared" si="65"/>
        <v/>
      </c>
      <c r="L52" s="33" t="str">
        <f t="shared" si="66"/>
        <v/>
      </c>
      <c r="M52" s="34" t="str">
        <f t="shared" si="67"/>
        <v/>
      </c>
      <c r="N52" s="35" t="str">
        <f t="shared" si="68"/>
        <v/>
      </c>
      <c r="O52" s="36"/>
      <c r="P52" s="36"/>
      <c r="Q52" s="36"/>
      <c r="R52" s="36"/>
      <c r="S52" s="36"/>
      <c r="T52" s="36"/>
      <c r="U52" s="36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53"/>
      <c r="AS52" s="53"/>
      <c r="AT52" s="53"/>
      <c r="AW52" s="5"/>
      <c r="AX52" s="5"/>
      <c r="AY52" s="60" t="str">
        <f t="shared" si="69"/>
        <v/>
      </c>
      <c r="AZ52" s="60" t="str">
        <f t="shared" si="70"/>
        <v/>
      </c>
      <c r="BA52" s="61" t="str">
        <f t="shared" si="71"/>
        <v/>
      </c>
      <c r="BB52" s="61" t="str">
        <f t="shared" si="72"/>
        <v/>
      </c>
      <c r="BC52" s="61" t="str">
        <f t="shared" si="73"/>
        <v/>
      </c>
      <c r="BD52" s="61" t="str">
        <f t="shared" si="74"/>
        <v/>
      </c>
      <c r="BE52" s="64" t="str">
        <f t="shared" si="75"/>
        <v/>
      </c>
      <c r="BF52" s="64" t="str">
        <f t="shared" si="76"/>
        <v/>
      </c>
      <c r="BG52" s="64" t="str">
        <f t="shared" si="77"/>
        <v/>
      </c>
      <c r="BH52" s="64" t="str">
        <f t="shared" si="78"/>
        <v/>
      </c>
      <c r="BI52" s="65"/>
      <c r="BJ52" s="66" t="str">
        <f t="shared" si="79"/>
        <v/>
      </c>
      <c r="BK52" s="71" t="s">
        <v>213</v>
      </c>
      <c r="BL52" s="70">
        <v>112</v>
      </c>
      <c r="BM52" s="5">
        <v>12.5</v>
      </c>
      <c r="BN52" s="77">
        <v>12.6</v>
      </c>
      <c r="BO52" s="78">
        <f t="shared" si="112"/>
        <v>13.5</v>
      </c>
      <c r="BP52" s="79">
        <v>13.6</v>
      </c>
      <c r="BQ52" s="80">
        <v>20.8</v>
      </c>
      <c r="BR52" s="81">
        <f t="shared" si="113"/>
        <v>20.9</v>
      </c>
      <c r="BS52" s="82">
        <v>24.9</v>
      </c>
      <c r="BT52" s="83">
        <v>25</v>
      </c>
      <c r="BU52" s="41"/>
      <c r="BV52" s="87" t="s">
        <v>213</v>
      </c>
      <c r="BW52" s="86">
        <v>112</v>
      </c>
      <c r="BX52" s="5">
        <v>12.1</v>
      </c>
      <c r="BY52" s="88">
        <v>12.2</v>
      </c>
      <c r="BZ52" s="78">
        <f t="shared" si="114"/>
        <v>13.1</v>
      </c>
      <c r="CA52" s="89">
        <v>13.2</v>
      </c>
      <c r="CB52" s="90">
        <v>21.9</v>
      </c>
      <c r="CC52" s="92">
        <f t="shared" si="115"/>
        <v>22</v>
      </c>
      <c r="CD52" s="93">
        <v>27.2</v>
      </c>
      <c r="CE52" s="83" t="s">
        <v>214</v>
      </c>
      <c r="CF52" s="5"/>
      <c r="CG52" s="91" t="str">
        <f t="shared" si="80"/>
        <v/>
      </c>
      <c r="CH52" s="91"/>
      <c r="CI52" s="91" t="str">
        <f t="shared" si="81"/>
        <v/>
      </c>
      <c r="CJ52" s="91"/>
      <c r="CK52" s="91" t="str">
        <f t="shared" si="82"/>
        <v/>
      </c>
      <c r="CL52" s="91" t="str">
        <f t="shared" si="83"/>
        <v/>
      </c>
      <c r="CM52" s="91" t="str">
        <f t="shared" si="84"/>
        <v/>
      </c>
      <c r="CN52" s="91" t="str">
        <f t="shared" si="85"/>
        <v/>
      </c>
      <c r="CO52" s="91" t="str">
        <f t="shared" si="86"/>
        <v/>
      </c>
      <c r="CP52" s="91" t="str">
        <f t="shared" si="87"/>
        <v/>
      </c>
      <c r="CQ52" s="91" t="str">
        <f t="shared" si="88"/>
        <v/>
      </c>
      <c r="CR52" s="91" t="str">
        <f t="shared" si="89"/>
        <v/>
      </c>
      <c r="CS52" s="91" t="str">
        <f t="shared" si="90"/>
        <v/>
      </c>
      <c r="CT52" s="91" t="str">
        <f t="shared" si="91"/>
        <v/>
      </c>
      <c r="CV52" s="94"/>
      <c r="CW52" s="95">
        <v>40</v>
      </c>
      <c r="CX52" s="96">
        <f t="shared" si="116"/>
        <v>10.4</v>
      </c>
      <c r="CY52" s="97">
        <v>10.5</v>
      </c>
      <c r="CZ52" s="96">
        <f t="shared" si="117"/>
        <v>11.7</v>
      </c>
      <c r="DA52" s="97">
        <v>11.8</v>
      </c>
      <c r="DB52" s="97">
        <v>19.3</v>
      </c>
      <c r="DC52" s="96">
        <f t="shared" si="118"/>
        <v>19.399999999999999</v>
      </c>
      <c r="DD52" s="41"/>
      <c r="DE52" s="41"/>
      <c r="DF52" s="41"/>
      <c r="DG52" s="94"/>
      <c r="DH52" s="96">
        <f t="shared" si="119"/>
        <v>10.1</v>
      </c>
      <c r="DI52" s="97">
        <v>10.199999999999999</v>
      </c>
      <c r="DJ52" s="96">
        <f t="shared" si="120"/>
        <v>11.2</v>
      </c>
      <c r="DK52" s="97">
        <v>11.3</v>
      </c>
      <c r="DL52" s="97">
        <v>19.2</v>
      </c>
      <c r="DM52" s="96">
        <f t="shared" si="121"/>
        <v>19.3</v>
      </c>
      <c r="DN52" s="106">
        <v>19.3</v>
      </c>
      <c r="DO52" s="41"/>
      <c r="DP52" s="66" t="str">
        <f t="shared" si="92"/>
        <v/>
      </c>
      <c r="DQ52" s="60" t="str">
        <f t="shared" si="93"/>
        <v/>
      </c>
      <c r="DR52" s="60" t="str">
        <f t="shared" si="94"/>
        <v/>
      </c>
      <c r="DS52" s="60" t="str">
        <f t="shared" si="95"/>
        <v/>
      </c>
      <c r="DV52" s="119" t="s">
        <v>84</v>
      </c>
      <c r="DW52" s="120">
        <v>77</v>
      </c>
      <c r="DX52" s="121">
        <v>103.1</v>
      </c>
      <c r="DY52" s="145">
        <v>103.2</v>
      </c>
      <c r="DZ52" s="146">
        <v>108.1</v>
      </c>
      <c r="EA52" s="149">
        <v>108.2</v>
      </c>
      <c r="EB52" s="150">
        <v>128.5</v>
      </c>
      <c r="EC52" s="148">
        <v>128.6</v>
      </c>
      <c r="EE52" s="143" t="s">
        <v>84</v>
      </c>
      <c r="EF52" s="144">
        <v>77</v>
      </c>
      <c r="EG52" s="170">
        <v>101.6</v>
      </c>
      <c r="EH52" s="174">
        <v>101.7</v>
      </c>
      <c r="EI52" s="175">
        <v>106.9</v>
      </c>
      <c r="EJ52" s="180">
        <v>107</v>
      </c>
      <c r="EK52" s="181">
        <v>128</v>
      </c>
      <c r="EL52" s="173">
        <v>128.1</v>
      </c>
      <c r="EN52" s="154" t="str">
        <f t="shared" si="96"/>
        <v/>
      </c>
      <c r="EO52" s="154" t="e">
        <f t="shared" si="97"/>
        <v>#N/A</v>
      </c>
      <c r="EP52" s="154" t="e">
        <f t="shared" si="98"/>
        <v>#N/A</v>
      </c>
      <c r="EQ52" s="154" t="e">
        <f t="shared" si="99"/>
        <v>#N/A</v>
      </c>
      <c r="ES52" s="154" t="e">
        <f t="shared" si="100"/>
        <v>#N/A</v>
      </c>
      <c r="ET52" s="154" t="e">
        <f t="shared" si="101"/>
        <v>#N/A</v>
      </c>
      <c r="EU52" s="154" t="e">
        <f t="shared" si="102"/>
        <v>#N/A</v>
      </c>
      <c r="EW52" s="60">
        <f t="shared" si="103"/>
        <v>0</v>
      </c>
      <c r="EX52" s="60">
        <f t="shared" si="104"/>
        <v>0</v>
      </c>
      <c r="EY52" s="60">
        <f t="shared" si="105"/>
        <v>0</v>
      </c>
      <c r="EZ52" s="60">
        <f t="shared" si="106"/>
        <v>0</v>
      </c>
      <c r="FA52" s="60">
        <f t="shared" si="107"/>
        <v>0</v>
      </c>
      <c r="FB52" s="60">
        <f t="shared" si="108"/>
        <v>0</v>
      </c>
      <c r="FC52" s="60">
        <f t="shared" si="109"/>
        <v>0</v>
      </c>
      <c r="FD52" s="60">
        <f t="shared" si="110"/>
        <v>0</v>
      </c>
    </row>
    <row r="53" spans="1:160" ht="10.5" customHeight="1">
      <c r="A53" s="8" t="str">
        <f t="shared" si="111"/>
        <v/>
      </c>
      <c r="B53" s="9" t="str">
        <f t="shared" si="61"/>
        <v/>
      </c>
      <c r="C53" s="18"/>
      <c r="D53" s="16"/>
      <c r="E53" s="17"/>
      <c r="F53" s="17"/>
      <c r="G53" s="13"/>
      <c r="H53" s="14" t="str">
        <f t="shared" si="62"/>
        <v/>
      </c>
      <c r="I53" s="8" t="str">
        <f t="shared" si="63"/>
        <v/>
      </c>
      <c r="J53" s="9" t="str">
        <f t="shared" si="64"/>
        <v/>
      </c>
      <c r="K53" s="32" t="str">
        <f t="shared" si="65"/>
        <v/>
      </c>
      <c r="L53" s="33" t="str">
        <f t="shared" si="66"/>
        <v/>
      </c>
      <c r="M53" s="34" t="str">
        <f t="shared" si="67"/>
        <v/>
      </c>
      <c r="N53" s="35" t="str">
        <f t="shared" si="68"/>
        <v/>
      </c>
      <c r="O53" s="36"/>
      <c r="P53" s="36"/>
      <c r="Q53" s="36"/>
      <c r="R53" s="36"/>
      <c r="S53" s="36"/>
      <c r="T53" s="36"/>
      <c r="U53" s="36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53"/>
      <c r="AS53" s="53"/>
      <c r="AT53" s="53"/>
      <c r="AW53" s="5"/>
      <c r="AX53" s="5"/>
      <c r="AY53" s="60" t="str">
        <f t="shared" si="69"/>
        <v/>
      </c>
      <c r="AZ53" s="60" t="str">
        <f t="shared" si="70"/>
        <v/>
      </c>
      <c r="BA53" s="61" t="str">
        <f t="shared" si="71"/>
        <v/>
      </c>
      <c r="BB53" s="61" t="str">
        <f t="shared" si="72"/>
        <v/>
      </c>
      <c r="BC53" s="61" t="str">
        <f t="shared" si="73"/>
        <v/>
      </c>
      <c r="BD53" s="61" t="str">
        <f t="shared" si="74"/>
        <v/>
      </c>
      <c r="BE53" s="64" t="str">
        <f t="shared" si="75"/>
        <v/>
      </c>
      <c r="BF53" s="64" t="str">
        <f t="shared" si="76"/>
        <v/>
      </c>
      <c r="BG53" s="64" t="str">
        <f t="shared" si="77"/>
        <v/>
      </c>
      <c r="BH53" s="64" t="str">
        <f t="shared" si="78"/>
        <v/>
      </c>
      <c r="BI53" s="65"/>
      <c r="BJ53" s="66" t="str">
        <f t="shared" si="79"/>
        <v/>
      </c>
      <c r="BK53" s="71" t="s">
        <v>215</v>
      </c>
      <c r="BL53" s="70">
        <v>113</v>
      </c>
      <c r="BM53" s="5">
        <v>12.5</v>
      </c>
      <c r="BN53" s="77">
        <v>12.6</v>
      </c>
      <c r="BO53" s="78">
        <f t="shared" si="112"/>
        <v>13.5</v>
      </c>
      <c r="BP53" s="79">
        <v>13.6</v>
      </c>
      <c r="BQ53" s="80">
        <v>20.8</v>
      </c>
      <c r="BR53" s="81">
        <f t="shared" si="113"/>
        <v>20.9</v>
      </c>
      <c r="BS53" s="82">
        <v>25</v>
      </c>
      <c r="BT53" s="83">
        <v>25.1</v>
      </c>
      <c r="BU53" s="41"/>
      <c r="BV53" s="87" t="s">
        <v>215</v>
      </c>
      <c r="BW53" s="86">
        <v>113</v>
      </c>
      <c r="BX53" s="5">
        <v>12.1</v>
      </c>
      <c r="BY53" s="88">
        <v>12.2</v>
      </c>
      <c r="BZ53" s="78">
        <f t="shared" si="114"/>
        <v>13.2</v>
      </c>
      <c r="CA53" s="89">
        <v>13.3</v>
      </c>
      <c r="CB53" s="90">
        <v>21.9</v>
      </c>
      <c r="CC53" s="92">
        <f t="shared" si="115"/>
        <v>22</v>
      </c>
      <c r="CD53" s="93">
        <v>27.3</v>
      </c>
      <c r="CE53" s="83" t="s">
        <v>216</v>
      </c>
      <c r="CF53" s="5"/>
      <c r="CG53" s="91" t="str">
        <f t="shared" si="80"/>
        <v/>
      </c>
      <c r="CH53" s="91"/>
      <c r="CI53" s="91" t="str">
        <f t="shared" si="81"/>
        <v/>
      </c>
      <c r="CJ53" s="91"/>
      <c r="CK53" s="91" t="str">
        <f t="shared" si="82"/>
        <v/>
      </c>
      <c r="CL53" s="91" t="str">
        <f t="shared" si="83"/>
        <v/>
      </c>
      <c r="CM53" s="91" t="str">
        <f t="shared" si="84"/>
        <v/>
      </c>
      <c r="CN53" s="91" t="str">
        <f t="shared" si="85"/>
        <v/>
      </c>
      <c r="CO53" s="91" t="str">
        <f t="shared" si="86"/>
        <v/>
      </c>
      <c r="CP53" s="91" t="str">
        <f t="shared" si="87"/>
        <v/>
      </c>
      <c r="CQ53" s="91" t="str">
        <f t="shared" si="88"/>
        <v/>
      </c>
      <c r="CR53" s="91" t="str">
        <f t="shared" si="89"/>
        <v/>
      </c>
      <c r="CS53" s="91" t="str">
        <f t="shared" si="90"/>
        <v/>
      </c>
      <c r="CT53" s="91" t="str">
        <f t="shared" si="91"/>
        <v/>
      </c>
      <c r="CV53" s="94"/>
      <c r="CW53" s="95">
        <v>41</v>
      </c>
      <c r="CX53" s="96">
        <f t="shared" si="116"/>
        <v>10.5</v>
      </c>
      <c r="CY53" s="97">
        <v>10.6</v>
      </c>
      <c r="CZ53" s="96">
        <f t="shared" si="117"/>
        <v>11.8</v>
      </c>
      <c r="DA53" s="97">
        <v>11.9</v>
      </c>
      <c r="DB53" s="97">
        <v>19.5</v>
      </c>
      <c r="DC53" s="96">
        <f t="shared" si="118"/>
        <v>19.600000000000001</v>
      </c>
      <c r="DD53" s="41"/>
      <c r="DE53" s="41"/>
      <c r="DF53" s="41"/>
      <c r="DG53" s="94"/>
      <c r="DH53" s="96">
        <f t="shared" si="119"/>
        <v>10.199999999999999</v>
      </c>
      <c r="DI53" s="97">
        <v>10.3</v>
      </c>
      <c r="DJ53" s="96">
        <f t="shared" si="120"/>
        <v>11.4</v>
      </c>
      <c r="DK53" s="97">
        <v>11.5</v>
      </c>
      <c r="DL53" s="97">
        <v>19.5</v>
      </c>
      <c r="DM53" s="96">
        <f t="shared" si="121"/>
        <v>19.600000000000001</v>
      </c>
      <c r="DN53" s="106">
        <v>19.600000000000001</v>
      </c>
      <c r="DO53" s="41"/>
      <c r="DP53" s="66" t="str">
        <f t="shared" si="92"/>
        <v/>
      </c>
      <c r="DQ53" s="60" t="str">
        <f t="shared" si="93"/>
        <v/>
      </c>
      <c r="DR53" s="60" t="str">
        <f t="shared" si="94"/>
        <v/>
      </c>
      <c r="DS53" s="60" t="str">
        <f t="shared" si="95"/>
        <v/>
      </c>
      <c r="DV53" s="119" t="s">
        <v>88</v>
      </c>
      <c r="DW53" s="120">
        <v>78</v>
      </c>
      <c r="DX53" s="121">
        <v>103.5</v>
      </c>
      <c r="DY53" s="145">
        <v>103.6</v>
      </c>
      <c r="DZ53" s="146">
        <v>108.6</v>
      </c>
      <c r="EA53" s="149">
        <v>108.7</v>
      </c>
      <c r="EB53" s="150">
        <v>129.1</v>
      </c>
      <c r="EC53" s="148">
        <v>129.19999999999999</v>
      </c>
      <c r="EE53" s="143" t="s">
        <v>88</v>
      </c>
      <c r="EF53" s="144">
        <v>78</v>
      </c>
      <c r="EG53" s="170">
        <v>102</v>
      </c>
      <c r="EH53" s="174">
        <v>102.1</v>
      </c>
      <c r="EI53" s="175">
        <v>107.3</v>
      </c>
      <c r="EJ53" s="180">
        <v>107.4</v>
      </c>
      <c r="EK53" s="181">
        <v>128.6</v>
      </c>
      <c r="EL53" s="173">
        <v>128.69999999999999</v>
      </c>
      <c r="EN53" s="154" t="str">
        <f t="shared" si="96"/>
        <v/>
      </c>
      <c r="EO53" s="154" t="e">
        <f t="shared" si="97"/>
        <v>#N/A</v>
      </c>
      <c r="EP53" s="154" t="e">
        <f t="shared" si="98"/>
        <v>#N/A</v>
      </c>
      <c r="EQ53" s="154" t="e">
        <f t="shared" si="99"/>
        <v>#N/A</v>
      </c>
      <c r="ES53" s="154" t="e">
        <f t="shared" si="100"/>
        <v>#N/A</v>
      </c>
      <c r="ET53" s="154" t="e">
        <f t="shared" si="101"/>
        <v>#N/A</v>
      </c>
      <c r="EU53" s="154" t="e">
        <f t="shared" si="102"/>
        <v>#N/A</v>
      </c>
      <c r="EW53" s="60">
        <f t="shared" si="103"/>
        <v>0</v>
      </c>
      <c r="EX53" s="60">
        <f t="shared" si="104"/>
        <v>0</v>
      </c>
      <c r="EY53" s="60">
        <f t="shared" si="105"/>
        <v>0</v>
      </c>
      <c r="EZ53" s="60">
        <f t="shared" si="106"/>
        <v>0</v>
      </c>
      <c r="FA53" s="60">
        <f t="shared" si="107"/>
        <v>0</v>
      </c>
      <c r="FB53" s="60">
        <f t="shared" si="108"/>
        <v>0</v>
      </c>
      <c r="FC53" s="60">
        <f t="shared" si="109"/>
        <v>0</v>
      </c>
      <c r="FD53" s="60">
        <f t="shared" si="110"/>
        <v>0</v>
      </c>
    </row>
    <row r="54" spans="1:160" ht="10.5" customHeight="1">
      <c r="A54" s="8" t="str">
        <f t="shared" si="111"/>
        <v/>
      </c>
      <c r="B54" s="9" t="str">
        <f t="shared" si="61"/>
        <v/>
      </c>
      <c r="C54" s="18"/>
      <c r="D54" s="16"/>
      <c r="E54" s="17"/>
      <c r="F54" s="17"/>
      <c r="G54" s="13"/>
      <c r="H54" s="14" t="str">
        <f t="shared" si="62"/>
        <v/>
      </c>
      <c r="I54" s="8" t="str">
        <f t="shared" si="63"/>
        <v/>
      </c>
      <c r="J54" s="9" t="str">
        <f t="shared" si="64"/>
        <v/>
      </c>
      <c r="K54" s="32" t="str">
        <f t="shared" si="65"/>
        <v/>
      </c>
      <c r="L54" s="33" t="str">
        <f t="shared" si="66"/>
        <v/>
      </c>
      <c r="M54" s="34" t="str">
        <f t="shared" si="67"/>
        <v/>
      </c>
      <c r="N54" s="35" t="str">
        <f t="shared" si="68"/>
        <v/>
      </c>
      <c r="O54" s="36"/>
      <c r="P54" s="36"/>
      <c r="Q54" s="36"/>
      <c r="R54" s="36"/>
      <c r="S54" s="36"/>
      <c r="T54" s="36"/>
      <c r="U54" s="36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53"/>
      <c r="AS54" s="53"/>
      <c r="AT54" s="53"/>
      <c r="AW54" s="5"/>
      <c r="AX54" s="5"/>
      <c r="AY54" s="60" t="str">
        <f t="shared" si="69"/>
        <v/>
      </c>
      <c r="AZ54" s="60" t="str">
        <f t="shared" si="70"/>
        <v/>
      </c>
      <c r="BA54" s="61" t="str">
        <f t="shared" si="71"/>
        <v/>
      </c>
      <c r="BB54" s="61" t="str">
        <f t="shared" si="72"/>
        <v/>
      </c>
      <c r="BC54" s="61" t="str">
        <f t="shared" si="73"/>
        <v/>
      </c>
      <c r="BD54" s="61" t="str">
        <f t="shared" si="74"/>
        <v/>
      </c>
      <c r="BE54" s="64" t="str">
        <f t="shared" si="75"/>
        <v/>
      </c>
      <c r="BF54" s="64" t="str">
        <f t="shared" si="76"/>
        <v/>
      </c>
      <c r="BG54" s="64" t="str">
        <f t="shared" si="77"/>
        <v/>
      </c>
      <c r="BH54" s="64" t="str">
        <f t="shared" si="78"/>
        <v/>
      </c>
      <c r="BI54" s="65"/>
      <c r="BJ54" s="66" t="str">
        <f t="shared" si="79"/>
        <v/>
      </c>
      <c r="BK54" s="71" t="s">
        <v>217</v>
      </c>
      <c r="BL54" s="70">
        <v>114</v>
      </c>
      <c r="BM54" s="5">
        <v>12.6</v>
      </c>
      <c r="BN54" s="77">
        <v>12.7</v>
      </c>
      <c r="BO54" s="78">
        <f t="shared" si="112"/>
        <v>13.5</v>
      </c>
      <c r="BP54" s="79">
        <v>13.6</v>
      </c>
      <c r="BQ54" s="80">
        <v>20.9</v>
      </c>
      <c r="BR54" s="81">
        <f t="shared" si="113"/>
        <v>21</v>
      </c>
      <c r="BS54" s="82">
        <v>25.1</v>
      </c>
      <c r="BT54" s="83">
        <v>25.2</v>
      </c>
      <c r="BU54" s="41"/>
      <c r="BV54" s="87" t="s">
        <v>217</v>
      </c>
      <c r="BW54" s="86">
        <v>114</v>
      </c>
      <c r="BX54" s="5">
        <v>12.1</v>
      </c>
      <c r="BY54" s="88">
        <v>12.2</v>
      </c>
      <c r="BZ54" s="78">
        <f t="shared" si="114"/>
        <v>13.2</v>
      </c>
      <c r="CA54" s="89">
        <v>13.3</v>
      </c>
      <c r="CB54" s="90">
        <v>22</v>
      </c>
      <c r="CC54" s="92">
        <f t="shared" si="115"/>
        <v>22.1</v>
      </c>
      <c r="CD54" s="93">
        <v>27.5</v>
      </c>
      <c r="CE54" s="83" t="s">
        <v>218</v>
      </c>
      <c r="CF54" s="5"/>
      <c r="CG54" s="91" t="str">
        <f t="shared" si="80"/>
        <v/>
      </c>
      <c r="CH54" s="91"/>
      <c r="CI54" s="91" t="str">
        <f t="shared" si="81"/>
        <v/>
      </c>
      <c r="CJ54" s="91"/>
      <c r="CK54" s="91" t="str">
        <f t="shared" si="82"/>
        <v/>
      </c>
      <c r="CL54" s="91" t="str">
        <f t="shared" si="83"/>
        <v/>
      </c>
      <c r="CM54" s="91" t="str">
        <f t="shared" si="84"/>
        <v/>
      </c>
      <c r="CN54" s="91" t="str">
        <f t="shared" si="85"/>
        <v/>
      </c>
      <c r="CO54" s="91" t="str">
        <f t="shared" si="86"/>
        <v/>
      </c>
      <c r="CP54" s="91" t="str">
        <f t="shared" si="87"/>
        <v/>
      </c>
      <c r="CQ54" s="91" t="str">
        <f t="shared" si="88"/>
        <v/>
      </c>
      <c r="CR54" s="91" t="str">
        <f t="shared" si="89"/>
        <v/>
      </c>
      <c r="CS54" s="91" t="str">
        <f t="shared" si="90"/>
        <v/>
      </c>
      <c r="CT54" s="91" t="str">
        <f t="shared" si="91"/>
        <v/>
      </c>
      <c r="CV54" s="94"/>
      <c r="CW54" s="95">
        <v>42</v>
      </c>
      <c r="CX54" s="96">
        <f t="shared" si="116"/>
        <v>10.6</v>
      </c>
      <c r="CY54" s="97">
        <v>10.7</v>
      </c>
      <c r="CZ54" s="96">
        <f t="shared" si="117"/>
        <v>11.9</v>
      </c>
      <c r="DA54" s="97">
        <v>12</v>
      </c>
      <c r="DB54" s="97">
        <v>19.7</v>
      </c>
      <c r="DC54" s="96">
        <f t="shared" si="118"/>
        <v>19.8</v>
      </c>
      <c r="DD54" s="41"/>
      <c r="DE54" s="41"/>
      <c r="DF54" s="41"/>
      <c r="DG54" s="94"/>
      <c r="DH54" s="96">
        <f t="shared" si="119"/>
        <v>10.3</v>
      </c>
      <c r="DI54" s="97">
        <v>10.4</v>
      </c>
      <c r="DJ54" s="96">
        <f t="shared" si="120"/>
        <v>11.5</v>
      </c>
      <c r="DK54" s="97">
        <v>11.6</v>
      </c>
      <c r="DL54" s="97">
        <v>19.8</v>
      </c>
      <c r="DM54" s="96">
        <f t="shared" si="121"/>
        <v>19.899999999999999</v>
      </c>
      <c r="DN54" s="106">
        <v>19.899999999999999</v>
      </c>
      <c r="DO54" s="41"/>
      <c r="DP54" s="66" t="str">
        <f t="shared" si="92"/>
        <v/>
      </c>
      <c r="DQ54" s="60" t="str">
        <f t="shared" si="93"/>
        <v/>
      </c>
      <c r="DR54" s="60" t="str">
        <f t="shared" si="94"/>
        <v/>
      </c>
      <c r="DS54" s="60" t="str">
        <f t="shared" si="95"/>
        <v/>
      </c>
      <c r="DV54" s="119" t="s">
        <v>92</v>
      </c>
      <c r="DW54" s="120">
        <v>79</v>
      </c>
      <c r="DX54" s="121">
        <v>103.8</v>
      </c>
      <c r="DY54" s="145">
        <v>103.9</v>
      </c>
      <c r="DZ54" s="146">
        <v>109</v>
      </c>
      <c r="EA54" s="149">
        <v>109.1</v>
      </c>
      <c r="EB54" s="150">
        <v>129.6</v>
      </c>
      <c r="EC54" s="148">
        <v>129.69999999999999</v>
      </c>
      <c r="EE54" s="143" t="s">
        <v>92</v>
      </c>
      <c r="EF54" s="144">
        <v>79</v>
      </c>
      <c r="EG54" s="170">
        <v>102.4</v>
      </c>
      <c r="EH54" s="174">
        <v>102.5</v>
      </c>
      <c r="EI54" s="175">
        <v>107.7</v>
      </c>
      <c r="EJ54" s="180">
        <v>107.8</v>
      </c>
      <c r="EK54" s="181">
        <v>129.1</v>
      </c>
      <c r="EL54" s="173">
        <v>129.19999999999999</v>
      </c>
      <c r="EN54" s="154" t="str">
        <f t="shared" si="96"/>
        <v/>
      </c>
      <c r="EO54" s="154" t="e">
        <f t="shared" si="97"/>
        <v>#N/A</v>
      </c>
      <c r="EP54" s="154" t="e">
        <f t="shared" si="98"/>
        <v>#N/A</v>
      </c>
      <c r="EQ54" s="154" t="e">
        <f t="shared" si="99"/>
        <v>#N/A</v>
      </c>
      <c r="ES54" s="154" t="e">
        <f t="shared" si="100"/>
        <v>#N/A</v>
      </c>
      <c r="ET54" s="154" t="e">
        <f t="shared" si="101"/>
        <v>#N/A</v>
      </c>
      <c r="EU54" s="154" t="e">
        <f t="shared" si="102"/>
        <v>#N/A</v>
      </c>
      <c r="EW54" s="60">
        <f t="shared" si="103"/>
        <v>0</v>
      </c>
      <c r="EX54" s="60">
        <f t="shared" si="104"/>
        <v>0</v>
      </c>
      <c r="EY54" s="60">
        <f t="shared" si="105"/>
        <v>0</v>
      </c>
      <c r="EZ54" s="60">
        <f t="shared" si="106"/>
        <v>0</v>
      </c>
      <c r="FA54" s="60">
        <f t="shared" si="107"/>
        <v>0</v>
      </c>
      <c r="FB54" s="60">
        <f t="shared" si="108"/>
        <v>0</v>
      </c>
      <c r="FC54" s="60">
        <f t="shared" si="109"/>
        <v>0</v>
      </c>
      <c r="FD54" s="60">
        <f t="shared" si="110"/>
        <v>0</v>
      </c>
    </row>
    <row r="55" spans="1:160" ht="10.5" customHeight="1">
      <c r="A55" s="8" t="str">
        <f t="shared" si="111"/>
        <v/>
      </c>
      <c r="B55" s="9" t="str">
        <f t="shared" si="61"/>
        <v/>
      </c>
      <c r="C55" s="18"/>
      <c r="D55" s="16"/>
      <c r="E55" s="17"/>
      <c r="F55" s="17"/>
      <c r="G55" s="13"/>
      <c r="H55" s="14" t="str">
        <f t="shared" si="62"/>
        <v/>
      </c>
      <c r="I55" s="8" t="str">
        <f t="shared" si="63"/>
        <v/>
      </c>
      <c r="J55" s="9" t="str">
        <f t="shared" si="64"/>
        <v/>
      </c>
      <c r="K55" s="32" t="str">
        <f t="shared" si="65"/>
        <v/>
      </c>
      <c r="L55" s="33" t="str">
        <f t="shared" si="66"/>
        <v/>
      </c>
      <c r="M55" s="34" t="str">
        <f t="shared" si="67"/>
        <v/>
      </c>
      <c r="N55" s="35" t="str">
        <f t="shared" si="68"/>
        <v/>
      </c>
      <c r="O55" s="36"/>
      <c r="P55" s="36"/>
      <c r="Q55" s="36"/>
      <c r="R55" s="36"/>
      <c r="S55" s="36"/>
      <c r="T55" s="36"/>
      <c r="U55" s="36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53"/>
      <c r="AS55" s="53"/>
      <c r="AT55" s="53"/>
      <c r="AW55" s="5"/>
      <c r="AX55" s="5"/>
      <c r="AY55" s="60" t="str">
        <f t="shared" si="69"/>
        <v/>
      </c>
      <c r="AZ55" s="60" t="str">
        <f t="shared" si="70"/>
        <v/>
      </c>
      <c r="BA55" s="61" t="str">
        <f t="shared" si="71"/>
        <v/>
      </c>
      <c r="BB55" s="61" t="str">
        <f t="shared" si="72"/>
        <v/>
      </c>
      <c r="BC55" s="61" t="str">
        <f t="shared" si="73"/>
        <v/>
      </c>
      <c r="BD55" s="61" t="str">
        <f t="shared" si="74"/>
        <v/>
      </c>
      <c r="BE55" s="64" t="str">
        <f t="shared" si="75"/>
        <v/>
      </c>
      <c r="BF55" s="64" t="str">
        <f t="shared" si="76"/>
        <v/>
      </c>
      <c r="BG55" s="64" t="str">
        <f t="shared" si="77"/>
        <v/>
      </c>
      <c r="BH55" s="64" t="str">
        <f t="shared" si="78"/>
        <v/>
      </c>
      <c r="BI55" s="65"/>
      <c r="BJ55" s="66" t="str">
        <f t="shared" si="79"/>
        <v/>
      </c>
      <c r="BK55" s="71" t="s">
        <v>219</v>
      </c>
      <c r="BL55" s="70">
        <v>115</v>
      </c>
      <c r="BM55" s="5">
        <v>12.6</v>
      </c>
      <c r="BN55" s="77">
        <v>12.7</v>
      </c>
      <c r="BO55" s="78">
        <f t="shared" si="112"/>
        <v>13.5</v>
      </c>
      <c r="BP55" s="79">
        <v>13.6</v>
      </c>
      <c r="BQ55" s="80">
        <v>21</v>
      </c>
      <c r="BR55" s="81">
        <f t="shared" si="113"/>
        <v>21.1</v>
      </c>
      <c r="BS55" s="82">
        <v>25.3</v>
      </c>
      <c r="BT55" s="83">
        <v>25.4</v>
      </c>
      <c r="BU55" s="41"/>
      <c r="BV55" s="87" t="s">
        <v>219</v>
      </c>
      <c r="BW55" s="86">
        <v>115</v>
      </c>
      <c r="BX55" s="5">
        <v>12.2</v>
      </c>
      <c r="BY55" s="88">
        <v>12.3</v>
      </c>
      <c r="BZ55" s="78">
        <f t="shared" si="114"/>
        <v>13.2</v>
      </c>
      <c r="CA55" s="89">
        <v>13.3</v>
      </c>
      <c r="CB55" s="90">
        <v>22.1</v>
      </c>
      <c r="CC55" s="92">
        <f t="shared" si="115"/>
        <v>22.2</v>
      </c>
      <c r="CD55" s="93">
        <v>27.6</v>
      </c>
      <c r="CE55" s="83" t="s">
        <v>220</v>
      </c>
      <c r="CF55" s="5"/>
      <c r="CG55" s="91" t="str">
        <f t="shared" si="80"/>
        <v/>
      </c>
      <c r="CH55" s="91"/>
      <c r="CI55" s="91" t="str">
        <f t="shared" si="81"/>
        <v/>
      </c>
      <c r="CJ55" s="91"/>
      <c r="CK55" s="91" t="str">
        <f t="shared" si="82"/>
        <v/>
      </c>
      <c r="CL55" s="91" t="str">
        <f t="shared" si="83"/>
        <v/>
      </c>
      <c r="CM55" s="91" t="str">
        <f t="shared" si="84"/>
        <v/>
      </c>
      <c r="CN55" s="91" t="str">
        <f t="shared" si="85"/>
        <v/>
      </c>
      <c r="CO55" s="91" t="str">
        <f t="shared" si="86"/>
        <v/>
      </c>
      <c r="CP55" s="91" t="str">
        <f t="shared" si="87"/>
        <v/>
      </c>
      <c r="CQ55" s="91" t="str">
        <f t="shared" si="88"/>
        <v/>
      </c>
      <c r="CR55" s="91" t="str">
        <f t="shared" si="89"/>
        <v/>
      </c>
      <c r="CS55" s="91" t="str">
        <f t="shared" si="90"/>
        <v/>
      </c>
      <c r="CT55" s="91" t="str">
        <f t="shared" si="91"/>
        <v/>
      </c>
      <c r="CV55" s="94"/>
      <c r="CW55" s="95">
        <v>43</v>
      </c>
      <c r="CX55" s="96">
        <f t="shared" si="116"/>
        <v>10.7</v>
      </c>
      <c r="CY55" s="97">
        <v>10.8</v>
      </c>
      <c r="CZ55" s="96">
        <f t="shared" si="117"/>
        <v>12</v>
      </c>
      <c r="DA55" s="97">
        <v>12.1</v>
      </c>
      <c r="DB55" s="97">
        <v>20</v>
      </c>
      <c r="DC55" s="96">
        <f t="shared" si="118"/>
        <v>20.100000000000001</v>
      </c>
      <c r="DD55" s="41"/>
      <c r="DE55" s="41"/>
      <c r="DF55" s="41"/>
      <c r="DG55" s="94"/>
      <c r="DH55" s="96">
        <f t="shared" si="119"/>
        <v>10.4</v>
      </c>
      <c r="DI55" s="97">
        <v>10.5</v>
      </c>
      <c r="DJ55" s="96">
        <f t="shared" si="120"/>
        <v>11.6</v>
      </c>
      <c r="DK55" s="97">
        <v>11.7</v>
      </c>
      <c r="DL55" s="97">
        <v>20.100000000000001</v>
      </c>
      <c r="DM55" s="96">
        <f t="shared" si="121"/>
        <v>20.2</v>
      </c>
      <c r="DN55" s="106">
        <v>20.2</v>
      </c>
      <c r="DO55" s="41"/>
      <c r="DP55" s="66" t="str">
        <f t="shared" si="92"/>
        <v/>
      </c>
      <c r="DQ55" s="60" t="str">
        <f t="shared" si="93"/>
        <v/>
      </c>
      <c r="DR55" s="60" t="str">
        <f t="shared" si="94"/>
        <v/>
      </c>
      <c r="DS55" s="60" t="str">
        <f t="shared" si="95"/>
        <v/>
      </c>
      <c r="DV55" s="119" t="s">
        <v>96</v>
      </c>
      <c r="DW55" s="120">
        <v>80</v>
      </c>
      <c r="DX55" s="121">
        <v>104.2</v>
      </c>
      <c r="DY55" s="145">
        <v>104.3</v>
      </c>
      <c r="DZ55" s="146">
        <v>109.4</v>
      </c>
      <c r="EA55" s="149">
        <v>109.5</v>
      </c>
      <c r="EB55" s="150">
        <v>130.19999999999999</v>
      </c>
      <c r="EC55" s="148">
        <v>130.30000000000001</v>
      </c>
      <c r="EE55" s="143" t="s">
        <v>96</v>
      </c>
      <c r="EF55" s="144">
        <v>80</v>
      </c>
      <c r="EG55" s="170">
        <v>102.8</v>
      </c>
      <c r="EH55" s="174">
        <v>102.9</v>
      </c>
      <c r="EI55" s="175">
        <v>108.1</v>
      </c>
      <c r="EJ55" s="180">
        <v>108.2</v>
      </c>
      <c r="EK55" s="181">
        <v>129.6</v>
      </c>
      <c r="EL55" s="173">
        <v>129.69999999999999</v>
      </c>
      <c r="EN55" s="154" t="str">
        <f t="shared" si="96"/>
        <v/>
      </c>
      <c r="EO55" s="154" t="e">
        <f t="shared" si="97"/>
        <v>#N/A</v>
      </c>
      <c r="EP55" s="154" t="e">
        <f t="shared" si="98"/>
        <v>#N/A</v>
      </c>
      <c r="EQ55" s="154" t="e">
        <f t="shared" si="99"/>
        <v>#N/A</v>
      </c>
      <c r="ES55" s="154" t="e">
        <f t="shared" si="100"/>
        <v>#N/A</v>
      </c>
      <c r="ET55" s="154" t="e">
        <f t="shared" si="101"/>
        <v>#N/A</v>
      </c>
      <c r="EU55" s="154" t="e">
        <f t="shared" si="102"/>
        <v>#N/A</v>
      </c>
      <c r="EW55" s="60">
        <f t="shared" si="103"/>
        <v>0</v>
      </c>
      <c r="EX55" s="60">
        <f t="shared" si="104"/>
        <v>0</v>
      </c>
      <c r="EY55" s="60">
        <f t="shared" si="105"/>
        <v>0</v>
      </c>
      <c r="EZ55" s="60">
        <f t="shared" si="106"/>
        <v>0</v>
      </c>
      <c r="FA55" s="60">
        <f t="shared" si="107"/>
        <v>0</v>
      </c>
      <c r="FB55" s="60">
        <f t="shared" si="108"/>
        <v>0</v>
      </c>
      <c r="FC55" s="60">
        <f t="shared" si="109"/>
        <v>0</v>
      </c>
      <c r="FD55" s="60">
        <f t="shared" si="110"/>
        <v>0</v>
      </c>
    </row>
    <row r="56" spans="1:160" ht="10.5" customHeight="1">
      <c r="A56" s="8" t="str">
        <f t="shared" si="111"/>
        <v/>
      </c>
      <c r="B56" s="9" t="str">
        <f t="shared" si="61"/>
        <v/>
      </c>
      <c r="C56" s="18"/>
      <c r="D56" s="16"/>
      <c r="E56" s="17"/>
      <c r="F56" s="17"/>
      <c r="G56" s="13"/>
      <c r="H56" s="14" t="str">
        <f t="shared" si="62"/>
        <v/>
      </c>
      <c r="I56" s="8" t="str">
        <f t="shared" si="63"/>
        <v/>
      </c>
      <c r="J56" s="9" t="str">
        <f t="shared" si="64"/>
        <v/>
      </c>
      <c r="K56" s="32" t="str">
        <f t="shared" si="65"/>
        <v/>
      </c>
      <c r="L56" s="33" t="str">
        <f t="shared" si="66"/>
        <v/>
      </c>
      <c r="M56" s="34" t="str">
        <f t="shared" si="67"/>
        <v/>
      </c>
      <c r="N56" s="35" t="str">
        <f t="shared" si="68"/>
        <v/>
      </c>
      <c r="O56" s="36"/>
      <c r="P56" s="36"/>
      <c r="Q56" s="36"/>
      <c r="R56" s="36"/>
      <c r="S56" s="36"/>
      <c r="T56" s="36"/>
      <c r="U56" s="36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53"/>
      <c r="AS56" s="53"/>
      <c r="AT56" s="53"/>
      <c r="AW56" s="5"/>
      <c r="AX56" s="5"/>
      <c r="AY56" s="60" t="str">
        <f t="shared" si="69"/>
        <v/>
      </c>
      <c r="AZ56" s="60" t="str">
        <f t="shared" si="70"/>
        <v/>
      </c>
      <c r="BA56" s="61" t="str">
        <f t="shared" si="71"/>
        <v/>
      </c>
      <c r="BB56" s="61" t="str">
        <f t="shared" si="72"/>
        <v/>
      </c>
      <c r="BC56" s="61" t="str">
        <f t="shared" si="73"/>
        <v/>
      </c>
      <c r="BD56" s="61" t="str">
        <f t="shared" si="74"/>
        <v/>
      </c>
      <c r="BE56" s="64" t="str">
        <f t="shared" si="75"/>
        <v/>
      </c>
      <c r="BF56" s="64" t="str">
        <f t="shared" si="76"/>
        <v/>
      </c>
      <c r="BG56" s="64" t="str">
        <f t="shared" si="77"/>
        <v/>
      </c>
      <c r="BH56" s="64" t="str">
        <f t="shared" si="78"/>
        <v/>
      </c>
      <c r="BI56" s="65"/>
      <c r="BJ56" s="66" t="str">
        <f t="shared" si="79"/>
        <v/>
      </c>
      <c r="BK56" s="71" t="s">
        <v>221</v>
      </c>
      <c r="BL56" s="70">
        <v>116</v>
      </c>
      <c r="BM56" s="5">
        <v>12.6</v>
      </c>
      <c r="BN56" s="77">
        <v>12.7</v>
      </c>
      <c r="BO56" s="78">
        <f t="shared" si="112"/>
        <v>13.5</v>
      </c>
      <c r="BP56" s="79">
        <v>13.6</v>
      </c>
      <c r="BQ56" s="80">
        <v>21.1</v>
      </c>
      <c r="BR56" s="81">
        <f t="shared" si="113"/>
        <v>21.2</v>
      </c>
      <c r="BS56" s="82">
        <v>25.5</v>
      </c>
      <c r="BT56" s="83">
        <v>25.6</v>
      </c>
      <c r="BU56" s="41"/>
      <c r="BV56" s="87" t="s">
        <v>221</v>
      </c>
      <c r="BW56" s="86">
        <v>116</v>
      </c>
      <c r="BX56" s="5">
        <v>12.2</v>
      </c>
      <c r="BY56" s="88">
        <v>12.3</v>
      </c>
      <c r="BZ56" s="78">
        <f t="shared" si="114"/>
        <v>13.3</v>
      </c>
      <c r="CA56" s="89">
        <v>13.4</v>
      </c>
      <c r="CB56" s="90">
        <v>22.2</v>
      </c>
      <c r="CC56" s="92">
        <f t="shared" si="115"/>
        <v>22.3</v>
      </c>
      <c r="CD56" s="93">
        <v>27.8</v>
      </c>
      <c r="CE56" s="83" t="s">
        <v>222</v>
      </c>
      <c r="CF56" s="5"/>
      <c r="CG56" s="91" t="str">
        <f t="shared" si="80"/>
        <v/>
      </c>
      <c r="CH56" s="91"/>
      <c r="CI56" s="91" t="str">
        <f t="shared" si="81"/>
        <v/>
      </c>
      <c r="CJ56" s="91"/>
      <c r="CK56" s="91" t="str">
        <f t="shared" si="82"/>
        <v/>
      </c>
      <c r="CL56" s="91" t="str">
        <f t="shared" si="83"/>
        <v/>
      </c>
      <c r="CM56" s="91" t="str">
        <f t="shared" si="84"/>
        <v/>
      </c>
      <c r="CN56" s="91" t="str">
        <f t="shared" si="85"/>
        <v/>
      </c>
      <c r="CO56" s="91" t="str">
        <f t="shared" si="86"/>
        <v/>
      </c>
      <c r="CP56" s="91" t="str">
        <f t="shared" si="87"/>
        <v/>
      </c>
      <c r="CQ56" s="91" t="str">
        <f t="shared" si="88"/>
        <v/>
      </c>
      <c r="CR56" s="91" t="str">
        <f t="shared" si="89"/>
        <v/>
      </c>
      <c r="CS56" s="91" t="str">
        <f t="shared" si="90"/>
        <v/>
      </c>
      <c r="CT56" s="91" t="str">
        <f t="shared" si="91"/>
        <v/>
      </c>
      <c r="CV56" s="94"/>
      <c r="CW56" s="95">
        <v>44</v>
      </c>
      <c r="CX56" s="96">
        <f t="shared" si="116"/>
        <v>10.8</v>
      </c>
      <c r="CY56" s="97">
        <v>10.9</v>
      </c>
      <c r="CZ56" s="96">
        <f t="shared" si="117"/>
        <v>12.1</v>
      </c>
      <c r="DA56" s="97">
        <v>12.2</v>
      </c>
      <c r="DB56" s="97">
        <v>20.2</v>
      </c>
      <c r="DC56" s="96">
        <f t="shared" si="118"/>
        <v>20.3</v>
      </c>
      <c r="DD56" s="41"/>
      <c r="DE56" s="41"/>
      <c r="DF56" s="41"/>
      <c r="DG56" s="94"/>
      <c r="DH56" s="96">
        <f t="shared" si="119"/>
        <v>10.5</v>
      </c>
      <c r="DI56" s="97">
        <v>10.6</v>
      </c>
      <c r="DJ56" s="96">
        <f t="shared" si="120"/>
        <v>11.7</v>
      </c>
      <c r="DK56" s="97">
        <v>11.8</v>
      </c>
      <c r="DL56" s="97">
        <v>20.399999999999999</v>
      </c>
      <c r="DM56" s="96">
        <f t="shared" si="121"/>
        <v>20.5</v>
      </c>
      <c r="DN56" s="106">
        <v>20.5</v>
      </c>
      <c r="DO56" s="41"/>
      <c r="DP56" s="66" t="str">
        <f t="shared" si="92"/>
        <v/>
      </c>
      <c r="DQ56" s="60" t="str">
        <f t="shared" si="93"/>
        <v/>
      </c>
      <c r="DR56" s="60" t="str">
        <f t="shared" si="94"/>
        <v/>
      </c>
      <c r="DS56" s="60" t="str">
        <f t="shared" si="95"/>
        <v/>
      </c>
      <c r="DV56" s="119" t="s">
        <v>100</v>
      </c>
      <c r="DW56" s="120">
        <v>81</v>
      </c>
      <c r="DX56" s="121">
        <v>104.6</v>
      </c>
      <c r="DY56" s="145">
        <v>104.7</v>
      </c>
      <c r="DZ56" s="146">
        <v>109.8</v>
      </c>
      <c r="EA56" s="149">
        <v>109.9</v>
      </c>
      <c r="EB56" s="150">
        <v>130.69999999999999</v>
      </c>
      <c r="EC56" s="148">
        <v>130.80000000000001</v>
      </c>
      <c r="EE56" s="143" t="s">
        <v>100</v>
      </c>
      <c r="EF56" s="144">
        <v>81</v>
      </c>
      <c r="EG56" s="170">
        <v>103.1</v>
      </c>
      <c r="EH56" s="174">
        <v>103.2</v>
      </c>
      <c r="EI56" s="175">
        <v>108.5</v>
      </c>
      <c r="EJ56" s="180">
        <v>108.6</v>
      </c>
      <c r="EK56" s="181">
        <v>130.19999999999999</v>
      </c>
      <c r="EL56" s="173">
        <v>130.30000000000001</v>
      </c>
      <c r="EN56" s="154" t="str">
        <f t="shared" si="96"/>
        <v/>
      </c>
      <c r="EO56" s="154" t="e">
        <f t="shared" si="97"/>
        <v>#N/A</v>
      </c>
      <c r="EP56" s="154" t="e">
        <f t="shared" si="98"/>
        <v>#N/A</v>
      </c>
      <c r="EQ56" s="154" t="e">
        <f t="shared" si="99"/>
        <v>#N/A</v>
      </c>
      <c r="ES56" s="154" t="e">
        <f t="shared" si="100"/>
        <v>#N/A</v>
      </c>
      <c r="ET56" s="154" t="e">
        <f t="shared" si="101"/>
        <v>#N/A</v>
      </c>
      <c r="EU56" s="154" t="e">
        <f t="shared" si="102"/>
        <v>#N/A</v>
      </c>
      <c r="EW56" s="60">
        <f t="shared" si="103"/>
        <v>0</v>
      </c>
      <c r="EX56" s="60">
        <f t="shared" si="104"/>
        <v>0</v>
      </c>
      <c r="EY56" s="60">
        <f t="shared" si="105"/>
        <v>0</v>
      </c>
      <c r="EZ56" s="60">
        <f t="shared" si="106"/>
        <v>0</v>
      </c>
      <c r="FA56" s="60">
        <f t="shared" si="107"/>
        <v>0</v>
      </c>
      <c r="FB56" s="60">
        <f t="shared" si="108"/>
        <v>0</v>
      </c>
      <c r="FC56" s="60">
        <f t="shared" si="109"/>
        <v>0</v>
      </c>
      <c r="FD56" s="60">
        <f t="shared" si="110"/>
        <v>0</v>
      </c>
    </row>
    <row r="57" spans="1:160" ht="10.5" customHeight="1">
      <c r="A57" s="8" t="str">
        <f t="shared" si="111"/>
        <v/>
      </c>
      <c r="B57" s="9" t="str">
        <f t="shared" si="61"/>
        <v/>
      </c>
      <c r="C57" s="18"/>
      <c r="D57" s="16"/>
      <c r="E57" s="17"/>
      <c r="F57" s="17"/>
      <c r="G57" s="13"/>
      <c r="H57" s="14" t="str">
        <f t="shared" si="62"/>
        <v/>
      </c>
      <c r="I57" s="8" t="str">
        <f t="shared" si="63"/>
        <v/>
      </c>
      <c r="J57" s="9" t="str">
        <f t="shared" si="64"/>
        <v/>
      </c>
      <c r="K57" s="32" t="str">
        <f t="shared" si="65"/>
        <v/>
      </c>
      <c r="L57" s="33" t="str">
        <f t="shared" si="66"/>
        <v/>
      </c>
      <c r="M57" s="34" t="str">
        <f t="shared" si="67"/>
        <v/>
      </c>
      <c r="N57" s="35" t="str">
        <f t="shared" si="68"/>
        <v/>
      </c>
      <c r="O57" s="36"/>
      <c r="P57" s="36"/>
      <c r="Q57" s="36"/>
      <c r="R57" s="36"/>
      <c r="S57" s="36"/>
      <c r="T57" s="36"/>
      <c r="U57" s="36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53"/>
      <c r="AS57" s="53"/>
      <c r="AT57" s="53"/>
      <c r="AW57" s="5"/>
      <c r="AX57" s="5"/>
      <c r="AY57" s="60" t="str">
        <f t="shared" si="69"/>
        <v/>
      </c>
      <c r="AZ57" s="60" t="str">
        <f t="shared" si="70"/>
        <v/>
      </c>
      <c r="BA57" s="61" t="str">
        <f t="shared" si="71"/>
        <v/>
      </c>
      <c r="BB57" s="61" t="str">
        <f t="shared" si="72"/>
        <v/>
      </c>
      <c r="BC57" s="61" t="str">
        <f t="shared" si="73"/>
        <v/>
      </c>
      <c r="BD57" s="61" t="str">
        <f t="shared" si="74"/>
        <v/>
      </c>
      <c r="BE57" s="64" t="str">
        <f t="shared" si="75"/>
        <v/>
      </c>
      <c r="BF57" s="64" t="str">
        <f t="shared" si="76"/>
        <v/>
      </c>
      <c r="BG57" s="64" t="str">
        <f t="shared" si="77"/>
        <v/>
      </c>
      <c r="BH57" s="64" t="str">
        <f t="shared" si="78"/>
        <v/>
      </c>
      <c r="BI57" s="65"/>
      <c r="BJ57" s="66" t="str">
        <f t="shared" si="79"/>
        <v/>
      </c>
      <c r="BK57" s="71" t="s">
        <v>223</v>
      </c>
      <c r="BL57" s="70">
        <v>117</v>
      </c>
      <c r="BM57" s="5">
        <v>12.6</v>
      </c>
      <c r="BN57" s="77">
        <v>12.7</v>
      </c>
      <c r="BO57" s="78">
        <f t="shared" si="112"/>
        <v>13.6</v>
      </c>
      <c r="BP57" s="79">
        <v>13.7</v>
      </c>
      <c r="BQ57" s="80">
        <v>21.2</v>
      </c>
      <c r="BR57" s="81">
        <f t="shared" si="113"/>
        <v>21.3</v>
      </c>
      <c r="BS57" s="82">
        <v>25.6</v>
      </c>
      <c r="BT57" s="83">
        <v>25.7</v>
      </c>
      <c r="BU57" s="41"/>
      <c r="BV57" s="87" t="s">
        <v>223</v>
      </c>
      <c r="BW57" s="86">
        <v>117</v>
      </c>
      <c r="BX57" s="5">
        <v>12.2</v>
      </c>
      <c r="BY57" s="88">
        <v>12.3</v>
      </c>
      <c r="BZ57" s="78">
        <f t="shared" si="114"/>
        <v>13.3</v>
      </c>
      <c r="CA57" s="89">
        <v>13.4</v>
      </c>
      <c r="CB57" s="90">
        <v>22.3</v>
      </c>
      <c r="CC57" s="92">
        <f t="shared" si="115"/>
        <v>22.4</v>
      </c>
      <c r="CD57" s="93">
        <v>27.9</v>
      </c>
      <c r="CE57" s="83" t="s">
        <v>224</v>
      </c>
      <c r="CF57" s="5"/>
      <c r="CG57" s="91" t="str">
        <f t="shared" si="80"/>
        <v/>
      </c>
      <c r="CH57" s="91"/>
      <c r="CI57" s="91" t="str">
        <f t="shared" si="81"/>
        <v/>
      </c>
      <c r="CJ57" s="91"/>
      <c r="CK57" s="91" t="str">
        <f t="shared" si="82"/>
        <v/>
      </c>
      <c r="CL57" s="91" t="str">
        <f t="shared" si="83"/>
        <v/>
      </c>
      <c r="CM57" s="91" t="str">
        <f t="shared" si="84"/>
        <v/>
      </c>
      <c r="CN57" s="91" t="str">
        <f t="shared" si="85"/>
        <v/>
      </c>
      <c r="CO57" s="91" t="str">
        <f t="shared" si="86"/>
        <v/>
      </c>
      <c r="CP57" s="91" t="str">
        <f t="shared" si="87"/>
        <v/>
      </c>
      <c r="CQ57" s="91" t="str">
        <f t="shared" si="88"/>
        <v/>
      </c>
      <c r="CR57" s="91" t="str">
        <f t="shared" si="89"/>
        <v/>
      </c>
      <c r="CS57" s="91" t="str">
        <f t="shared" si="90"/>
        <v/>
      </c>
      <c r="CT57" s="91" t="str">
        <f t="shared" si="91"/>
        <v/>
      </c>
      <c r="CV57" s="94"/>
      <c r="CW57" s="95">
        <v>45</v>
      </c>
      <c r="CX57" s="96">
        <f t="shared" si="116"/>
        <v>10.9</v>
      </c>
      <c r="CY57" s="97">
        <v>11</v>
      </c>
      <c r="CZ57" s="96">
        <f t="shared" si="117"/>
        <v>12.3</v>
      </c>
      <c r="DA57" s="97">
        <v>12.4</v>
      </c>
      <c r="DB57" s="97">
        <v>20.5</v>
      </c>
      <c r="DC57" s="96">
        <f t="shared" si="118"/>
        <v>20.6</v>
      </c>
      <c r="DD57" s="41"/>
      <c r="DE57" s="41"/>
      <c r="DF57" s="41"/>
      <c r="DG57" s="94"/>
      <c r="DH57" s="96">
        <f t="shared" si="119"/>
        <v>10.6</v>
      </c>
      <c r="DI57" s="97">
        <v>10.7</v>
      </c>
      <c r="DJ57" s="96">
        <f t="shared" si="120"/>
        <v>11.9</v>
      </c>
      <c r="DK57" s="97">
        <v>12</v>
      </c>
      <c r="DL57" s="97">
        <v>20.7</v>
      </c>
      <c r="DM57" s="96">
        <f t="shared" si="121"/>
        <v>20.8</v>
      </c>
      <c r="DN57" s="106">
        <v>20.8</v>
      </c>
      <c r="DO57" s="41"/>
      <c r="DP57" s="66" t="str">
        <f t="shared" si="92"/>
        <v/>
      </c>
      <c r="DQ57" s="60" t="str">
        <f t="shared" si="93"/>
        <v/>
      </c>
      <c r="DR57" s="60" t="str">
        <f t="shared" si="94"/>
        <v/>
      </c>
      <c r="DS57" s="60" t="str">
        <f t="shared" si="95"/>
        <v/>
      </c>
      <c r="DV57" s="119" t="s">
        <v>104</v>
      </c>
      <c r="DW57" s="120">
        <v>82</v>
      </c>
      <c r="DX57" s="121">
        <v>105</v>
      </c>
      <c r="DY57" s="145">
        <v>105.1</v>
      </c>
      <c r="DZ57" s="146">
        <v>110.2</v>
      </c>
      <c r="EA57" s="149">
        <v>110.3</v>
      </c>
      <c r="EB57" s="150">
        <v>131.19999999999999</v>
      </c>
      <c r="EC57" s="148">
        <v>131.30000000000001</v>
      </c>
      <c r="EE57" s="143" t="s">
        <v>104</v>
      </c>
      <c r="EF57" s="144">
        <v>82</v>
      </c>
      <c r="EG57" s="170">
        <v>103.5</v>
      </c>
      <c r="EH57" s="174">
        <v>103.6</v>
      </c>
      <c r="EI57" s="175">
        <v>108.9</v>
      </c>
      <c r="EJ57" s="180">
        <v>109</v>
      </c>
      <c r="EK57" s="181">
        <v>130.69999999999999</v>
      </c>
      <c r="EL57" s="173">
        <v>130.80000000000001</v>
      </c>
      <c r="EN57" s="154" t="str">
        <f t="shared" si="96"/>
        <v/>
      </c>
      <c r="EO57" s="154" t="e">
        <f t="shared" si="97"/>
        <v>#N/A</v>
      </c>
      <c r="EP57" s="154" t="e">
        <f t="shared" si="98"/>
        <v>#N/A</v>
      </c>
      <c r="EQ57" s="154" t="e">
        <f t="shared" si="99"/>
        <v>#N/A</v>
      </c>
      <c r="ES57" s="154" t="e">
        <f t="shared" si="100"/>
        <v>#N/A</v>
      </c>
      <c r="ET57" s="154" t="e">
        <f t="shared" si="101"/>
        <v>#N/A</v>
      </c>
      <c r="EU57" s="154" t="e">
        <f t="shared" si="102"/>
        <v>#N/A</v>
      </c>
      <c r="EW57" s="60">
        <f t="shared" si="103"/>
        <v>0</v>
      </c>
      <c r="EX57" s="60">
        <f t="shared" si="104"/>
        <v>0</v>
      </c>
      <c r="EY57" s="60">
        <f t="shared" si="105"/>
        <v>0</v>
      </c>
      <c r="EZ57" s="60">
        <f t="shared" si="106"/>
        <v>0</v>
      </c>
      <c r="FA57" s="60">
        <f t="shared" si="107"/>
        <v>0</v>
      </c>
      <c r="FB57" s="60">
        <f t="shared" si="108"/>
        <v>0</v>
      </c>
      <c r="FC57" s="60">
        <f t="shared" si="109"/>
        <v>0</v>
      </c>
      <c r="FD57" s="60">
        <f t="shared" si="110"/>
        <v>0</v>
      </c>
    </row>
    <row r="58" spans="1:160" ht="10.5" customHeight="1">
      <c r="A58" s="8" t="str">
        <f t="shared" si="111"/>
        <v/>
      </c>
      <c r="B58" s="9" t="str">
        <f t="shared" si="61"/>
        <v/>
      </c>
      <c r="C58" s="18"/>
      <c r="D58" s="16"/>
      <c r="E58" s="17"/>
      <c r="F58" s="17"/>
      <c r="G58" s="13"/>
      <c r="H58" s="14" t="str">
        <f t="shared" si="62"/>
        <v/>
      </c>
      <c r="I58" s="8" t="str">
        <f t="shared" si="63"/>
        <v/>
      </c>
      <c r="J58" s="9" t="str">
        <f t="shared" si="64"/>
        <v/>
      </c>
      <c r="K58" s="32" t="str">
        <f t="shared" si="65"/>
        <v/>
      </c>
      <c r="L58" s="33" t="str">
        <f t="shared" si="66"/>
        <v/>
      </c>
      <c r="M58" s="34" t="str">
        <f t="shared" si="67"/>
        <v/>
      </c>
      <c r="N58" s="35" t="str">
        <f t="shared" si="68"/>
        <v/>
      </c>
      <c r="O58" s="36"/>
      <c r="P58" s="36"/>
      <c r="Q58" s="36"/>
      <c r="R58" s="36"/>
      <c r="S58" s="36"/>
      <c r="T58" s="36"/>
      <c r="U58" s="36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53"/>
      <c r="AS58" s="53"/>
      <c r="AT58" s="53"/>
      <c r="AW58" s="5"/>
      <c r="AX58" s="5"/>
      <c r="AY58" s="60" t="str">
        <f t="shared" si="69"/>
        <v/>
      </c>
      <c r="AZ58" s="60" t="str">
        <f t="shared" si="70"/>
        <v/>
      </c>
      <c r="BA58" s="61" t="str">
        <f t="shared" si="71"/>
        <v/>
      </c>
      <c r="BB58" s="61" t="str">
        <f t="shared" si="72"/>
        <v/>
      </c>
      <c r="BC58" s="61" t="str">
        <f t="shared" si="73"/>
        <v/>
      </c>
      <c r="BD58" s="61" t="str">
        <f t="shared" si="74"/>
        <v/>
      </c>
      <c r="BE58" s="64" t="str">
        <f t="shared" si="75"/>
        <v/>
      </c>
      <c r="BF58" s="64" t="str">
        <f t="shared" si="76"/>
        <v/>
      </c>
      <c r="BG58" s="64" t="str">
        <f t="shared" si="77"/>
        <v/>
      </c>
      <c r="BH58" s="64" t="str">
        <f t="shared" si="78"/>
        <v/>
      </c>
      <c r="BI58" s="65"/>
      <c r="BJ58" s="66" t="str">
        <f t="shared" si="79"/>
        <v/>
      </c>
      <c r="BK58" s="71" t="s">
        <v>225</v>
      </c>
      <c r="BL58" s="70">
        <v>118</v>
      </c>
      <c r="BM58" s="5">
        <v>12.6</v>
      </c>
      <c r="BN58" s="77">
        <v>12.7</v>
      </c>
      <c r="BO58" s="78">
        <f t="shared" si="112"/>
        <v>13.6</v>
      </c>
      <c r="BP58" s="79">
        <v>13.7</v>
      </c>
      <c r="BQ58" s="80">
        <v>21.2</v>
      </c>
      <c r="BR58" s="81">
        <f t="shared" si="113"/>
        <v>21.3</v>
      </c>
      <c r="BS58" s="82">
        <v>25.8</v>
      </c>
      <c r="BT58" s="83">
        <v>25.9</v>
      </c>
      <c r="BU58" s="41"/>
      <c r="BV58" s="87" t="s">
        <v>225</v>
      </c>
      <c r="BW58" s="86">
        <v>118</v>
      </c>
      <c r="BX58" s="5">
        <v>12.2</v>
      </c>
      <c r="BY58" s="88">
        <v>12.3</v>
      </c>
      <c r="BZ58" s="78">
        <f t="shared" si="114"/>
        <v>13.3</v>
      </c>
      <c r="CA58" s="89">
        <v>13.4</v>
      </c>
      <c r="CB58" s="90">
        <v>22.4</v>
      </c>
      <c r="CC58" s="92">
        <f t="shared" si="115"/>
        <v>22.5</v>
      </c>
      <c r="CD58" s="93">
        <v>28.1</v>
      </c>
      <c r="CE58" s="83" t="s">
        <v>226</v>
      </c>
      <c r="CF58" s="5"/>
      <c r="CG58" s="91" t="str">
        <f t="shared" si="80"/>
        <v/>
      </c>
      <c r="CH58" s="91"/>
      <c r="CI58" s="91" t="str">
        <f t="shared" si="81"/>
        <v/>
      </c>
      <c r="CJ58" s="91"/>
      <c r="CK58" s="91" t="str">
        <f t="shared" si="82"/>
        <v/>
      </c>
      <c r="CL58" s="91" t="str">
        <f t="shared" si="83"/>
        <v/>
      </c>
      <c r="CM58" s="91" t="str">
        <f t="shared" si="84"/>
        <v/>
      </c>
      <c r="CN58" s="91" t="str">
        <f t="shared" si="85"/>
        <v/>
      </c>
      <c r="CO58" s="91" t="str">
        <f t="shared" si="86"/>
        <v/>
      </c>
      <c r="CP58" s="91" t="str">
        <f t="shared" si="87"/>
        <v/>
      </c>
      <c r="CQ58" s="91" t="str">
        <f t="shared" si="88"/>
        <v/>
      </c>
      <c r="CR58" s="91" t="str">
        <f t="shared" si="89"/>
        <v/>
      </c>
      <c r="CS58" s="91" t="str">
        <f t="shared" si="90"/>
        <v/>
      </c>
      <c r="CT58" s="91" t="str">
        <f t="shared" si="91"/>
        <v/>
      </c>
      <c r="CV58" s="94"/>
      <c r="CW58" s="95">
        <v>46</v>
      </c>
      <c r="CX58" s="96">
        <f t="shared" si="116"/>
        <v>11</v>
      </c>
      <c r="CY58" s="97">
        <v>11.1</v>
      </c>
      <c r="CZ58" s="96">
        <f t="shared" si="117"/>
        <v>12.4</v>
      </c>
      <c r="DA58" s="97">
        <v>12.5</v>
      </c>
      <c r="DB58" s="97">
        <v>20.7</v>
      </c>
      <c r="DC58" s="96">
        <f t="shared" si="118"/>
        <v>20.8</v>
      </c>
      <c r="DD58" s="41"/>
      <c r="DE58" s="41"/>
      <c r="DF58" s="41"/>
      <c r="DG58" s="94"/>
      <c r="DH58" s="96">
        <f t="shared" si="119"/>
        <v>10.7</v>
      </c>
      <c r="DI58" s="97">
        <v>10.8</v>
      </c>
      <c r="DJ58" s="96">
        <f t="shared" si="120"/>
        <v>12</v>
      </c>
      <c r="DK58" s="97">
        <v>12.1</v>
      </c>
      <c r="DL58" s="97">
        <v>20.9</v>
      </c>
      <c r="DM58" s="96">
        <f t="shared" si="121"/>
        <v>21</v>
      </c>
      <c r="DN58" s="106">
        <v>21</v>
      </c>
      <c r="DO58" s="41"/>
      <c r="DP58" s="66" t="str">
        <f t="shared" si="92"/>
        <v/>
      </c>
      <c r="DQ58" s="60" t="str">
        <f t="shared" si="93"/>
        <v/>
      </c>
      <c r="DR58" s="60" t="str">
        <f t="shared" si="94"/>
        <v/>
      </c>
      <c r="DS58" s="60" t="str">
        <f t="shared" si="95"/>
        <v/>
      </c>
      <c r="DV58" s="119" t="s">
        <v>108</v>
      </c>
      <c r="DW58" s="120">
        <v>83</v>
      </c>
      <c r="DX58" s="121">
        <v>105.4</v>
      </c>
      <c r="DY58" s="145">
        <v>105.5</v>
      </c>
      <c r="DZ58" s="146">
        <v>110.7</v>
      </c>
      <c r="EA58" s="149">
        <v>110.8</v>
      </c>
      <c r="EB58" s="150">
        <v>131.80000000000001</v>
      </c>
      <c r="EC58" s="148">
        <v>131.9</v>
      </c>
      <c r="EE58" s="143" t="s">
        <v>108</v>
      </c>
      <c r="EF58" s="144">
        <v>83</v>
      </c>
      <c r="EG58" s="170">
        <v>103.9</v>
      </c>
      <c r="EH58" s="174">
        <v>104</v>
      </c>
      <c r="EI58" s="175">
        <v>109.4</v>
      </c>
      <c r="EJ58" s="180">
        <v>109.5</v>
      </c>
      <c r="EK58" s="181">
        <v>131.19999999999999</v>
      </c>
      <c r="EL58" s="173">
        <v>131.30000000000001</v>
      </c>
      <c r="EN58" s="154" t="str">
        <f t="shared" si="96"/>
        <v/>
      </c>
      <c r="EO58" s="154" t="e">
        <f t="shared" si="97"/>
        <v>#N/A</v>
      </c>
      <c r="EP58" s="154" t="e">
        <f t="shared" si="98"/>
        <v>#N/A</v>
      </c>
      <c r="EQ58" s="154" t="e">
        <f t="shared" si="99"/>
        <v>#N/A</v>
      </c>
      <c r="ES58" s="154" t="e">
        <f t="shared" si="100"/>
        <v>#N/A</v>
      </c>
      <c r="ET58" s="154" t="e">
        <f t="shared" si="101"/>
        <v>#N/A</v>
      </c>
      <c r="EU58" s="154" t="e">
        <f t="shared" si="102"/>
        <v>#N/A</v>
      </c>
      <c r="EW58" s="60">
        <f t="shared" si="103"/>
        <v>0</v>
      </c>
      <c r="EX58" s="60">
        <f t="shared" si="104"/>
        <v>0</v>
      </c>
      <c r="EY58" s="60">
        <f t="shared" si="105"/>
        <v>0</v>
      </c>
      <c r="EZ58" s="60">
        <f t="shared" si="106"/>
        <v>0</v>
      </c>
      <c r="FA58" s="60">
        <f t="shared" si="107"/>
        <v>0</v>
      </c>
      <c r="FB58" s="60">
        <f t="shared" si="108"/>
        <v>0</v>
      </c>
      <c r="FC58" s="60">
        <f t="shared" si="109"/>
        <v>0</v>
      </c>
      <c r="FD58" s="60">
        <f t="shared" si="110"/>
        <v>0</v>
      </c>
    </row>
    <row r="59" spans="1:160" ht="10.5" customHeight="1">
      <c r="A59" s="8" t="str">
        <f t="shared" si="111"/>
        <v/>
      </c>
      <c r="B59" s="9" t="str">
        <f t="shared" si="61"/>
        <v/>
      </c>
      <c r="C59" s="18"/>
      <c r="D59" s="16"/>
      <c r="E59" s="17"/>
      <c r="F59" s="17"/>
      <c r="G59" s="13"/>
      <c r="H59" s="14" t="str">
        <f t="shared" si="62"/>
        <v/>
      </c>
      <c r="I59" s="8" t="str">
        <f t="shared" si="63"/>
        <v/>
      </c>
      <c r="J59" s="9" t="str">
        <f t="shared" si="64"/>
        <v/>
      </c>
      <c r="K59" s="32" t="str">
        <f t="shared" si="65"/>
        <v/>
      </c>
      <c r="L59" s="33" t="str">
        <f t="shared" si="66"/>
        <v/>
      </c>
      <c r="M59" s="34" t="str">
        <f t="shared" si="67"/>
        <v/>
      </c>
      <c r="N59" s="35" t="str">
        <f t="shared" si="68"/>
        <v/>
      </c>
      <c r="O59" s="36"/>
      <c r="P59" s="36"/>
      <c r="Q59" s="36"/>
      <c r="R59" s="36"/>
      <c r="S59" s="36"/>
      <c r="T59" s="36"/>
      <c r="U59" s="36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53"/>
      <c r="AS59" s="53"/>
      <c r="AT59" s="53"/>
      <c r="AW59" s="5"/>
      <c r="AX59" s="5"/>
      <c r="AY59" s="60" t="str">
        <f t="shared" si="69"/>
        <v/>
      </c>
      <c r="AZ59" s="60" t="str">
        <f t="shared" si="70"/>
        <v/>
      </c>
      <c r="BA59" s="61" t="str">
        <f t="shared" si="71"/>
        <v/>
      </c>
      <c r="BB59" s="61" t="str">
        <f t="shared" si="72"/>
        <v/>
      </c>
      <c r="BC59" s="61" t="str">
        <f t="shared" si="73"/>
        <v/>
      </c>
      <c r="BD59" s="61" t="str">
        <f t="shared" si="74"/>
        <v/>
      </c>
      <c r="BE59" s="64" t="str">
        <f t="shared" si="75"/>
        <v/>
      </c>
      <c r="BF59" s="64" t="str">
        <f t="shared" si="76"/>
        <v/>
      </c>
      <c r="BG59" s="64" t="str">
        <f t="shared" si="77"/>
        <v/>
      </c>
      <c r="BH59" s="64" t="str">
        <f t="shared" si="78"/>
        <v/>
      </c>
      <c r="BI59" s="65"/>
      <c r="BJ59" s="66" t="str">
        <f t="shared" si="79"/>
        <v/>
      </c>
      <c r="BK59" s="71" t="s">
        <v>227</v>
      </c>
      <c r="BL59" s="70">
        <v>119</v>
      </c>
      <c r="BM59" s="5">
        <v>12.7</v>
      </c>
      <c r="BN59" s="77">
        <v>12.8</v>
      </c>
      <c r="BO59" s="78">
        <f t="shared" si="112"/>
        <v>13.6</v>
      </c>
      <c r="BP59" s="79">
        <v>13.7</v>
      </c>
      <c r="BQ59" s="80">
        <v>21.3</v>
      </c>
      <c r="BR59" s="81">
        <f t="shared" si="113"/>
        <v>21.4</v>
      </c>
      <c r="BS59" s="82">
        <v>25.9</v>
      </c>
      <c r="BT59" s="83">
        <v>26</v>
      </c>
      <c r="BU59" s="41"/>
      <c r="BV59" s="87" t="s">
        <v>227</v>
      </c>
      <c r="BW59" s="86">
        <v>119</v>
      </c>
      <c r="BX59" s="5">
        <v>12.3</v>
      </c>
      <c r="BY59" s="88">
        <v>12.4</v>
      </c>
      <c r="BZ59" s="78">
        <f t="shared" si="114"/>
        <v>13.3</v>
      </c>
      <c r="CA59" s="89">
        <v>13.4</v>
      </c>
      <c r="CB59" s="90">
        <v>22.5</v>
      </c>
      <c r="CC59" s="92">
        <f t="shared" si="115"/>
        <v>22.6</v>
      </c>
      <c r="CD59" s="93">
        <v>28.2</v>
      </c>
      <c r="CE59" s="83" t="s">
        <v>228</v>
      </c>
      <c r="CF59" s="5"/>
      <c r="CG59" s="91" t="str">
        <f t="shared" si="80"/>
        <v/>
      </c>
      <c r="CH59" s="91"/>
      <c r="CI59" s="91" t="str">
        <f t="shared" si="81"/>
        <v/>
      </c>
      <c r="CJ59" s="91"/>
      <c r="CK59" s="91" t="str">
        <f t="shared" si="82"/>
        <v/>
      </c>
      <c r="CL59" s="91" t="str">
        <f t="shared" si="83"/>
        <v/>
      </c>
      <c r="CM59" s="91" t="str">
        <f t="shared" si="84"/>
        <v/>
      </c>
      <c r="CN59" s="91" t="str">
        <f t="shared" si="85"/>
        <v/>
      </c>
      <c r="CO59" s="91" t="str">
        <f t="shared" si="86"/>
        <v/>
      </c>
      <c r="CP59" s="91" t="str">
        <f t="shared" si="87"/>
        <v/>
      </c>
      <c r="CQ59" s="91" t="str">
        <f t="shared" si="88"/>
        <v/>
      </c>
      <c r="CR59" s="91" t="str">
        <f t="shared" si="89"/>
        <v/>
      </c>
      <c r="CS59" s="91" t="str">
        <f t="shared" si="90"/>
        <v/>
      </c>
      <c r="CT59" s="91" t="str">
        <f t="shared" si="91"/>
        <v/>
      </c>
      <c r="CV59" s="94"/>
      <c r="CW59" s="95">
        <v>47</v>
      </c>
      <c r="CX59" s="96">
        <f t="shared" si="116"/>
        <v>11.1</v>
      </c>
      <c r="CY59" s="97">
        <v>11.2</v>
      </c>
      <c r="CZ59" s="96">
        <f t="shared" si="117"/>
        <v>12.5</v>
      </c>
      <c r="DA59" s="97">
        <v>12.6</v>
      </c>
      <c r="DB59" s="97">
        <v>20.9</v>
      </c>
      <c r="DC59" s="96">
        <f t="shared" si="118"/>
        <v>21</v>
      </c>
      <c r="DD59" s="41"/>
      <c r="DE59" s="41"/>
      <c r="DF59" s="41"/>
      <c r="DG59" s="94"/>
      <c r="DH59" s="96">
        <f t="shared" si="119"/>
        <v>10.8</v>
      </c>
      <c r="DI59" s="97">
        <v>10.9</v>
      </c>
      <c r="DJ59" s="96">
        <f t="shared" si="120"/>
        <v>12.1</v>
      </c>
      <c r="DK59" s="97">
        <v>12.2</v>
      </c>
      <c r="DL59" s="97">
        <v>21.2</v>
      </c>
      <c r="DM59" s="96">
        <f t="shared" si="121"/>
        <v>21.3</v>
      </c>
      <c r="DN59" s="106">
        <v>21.3</v>
      </c>
      <c r="DO59" s="41"/>
      <c r="DP59" s="66" t="str">
        <f t="shared" si="92"/>
        <v/>
      </c>
      <c r="DQ59" s="60" t="str">
        <f t="shared" si="93"/>
        <v/>
      </c>
      <c r="DR59" s="60" t="str">
        <f t="shared" si="94"/>
        <v/>
      </c>
      <c r="DS59" s="60" t="str">
        <f t="shared" si="95"/>
        <v/>
      </c>
      <c r="DV59" s="119" t="s">
        <v>112</v>
      </c>
      <c r="DW59" s="120">
        <v>84</v>
      </c>
      <c r="DX59" s="121">
        <v>105.8</v>
      </c>
      <c r="DY59" s="145">
        <v>105.9</v>
      </c>
      <c r="DZ59" s="146">
        <v>111.1</v>
      </c>
      <c r="EA59" s="149">
        <v>111.2</v>
      </c>
      <c r="EB59" s="150">
        <v>132.30000000000001</v>
      </c>
      <c r="EC59" s="148">
        <v>132.4</v>
      </c>
      <c r="EE59" s="143" t="s">
        <v>112</v>
      </c>
      <c r="EF59" s="144">
        <v>84</v>
      </c>
      <c r="EG59" s="170">
        <v>104.3</v>
      </c>
      <c r="EH59" s="174">
        <v>104.4</v>
      </c>
      <c r="EI59" s="175">
        <v>109.8</v>
      </c>
      <c r="EJ59" s="180">
        <v>109.9</v>
      </c>
      <c r="EK59" s="181">
        <v>131.69999999999999</v>
      </c>
      <c r="EL59" s="173">
        <v>131.80000000000001</v>
      </c>
      <c r="EN59" s="154" t="str">
        <f t="shared" si="96"/>
        <v/>
      </c>
      <c r="EO59" s="154" t="e">
        <f t="shared" si="97"/>
        <v>#N/A</v>
      </c>
      <c r="EP59" s="154" t="e">
        <f t="shared" si="98"/>
        <v>#N/A</v>
      </c>
      <c r="EQ59" s="154" t="e">
        <f t="shared" si="99"/>
        <v>#N/A</v>
      </c>
      <c r="ES59" s="154" t="e">
        <f t="shared" si="100"/>
        <v>#N/A</v>
      </c>
      <c r="ET59" s="154" t="e">
        <f t="shared" si="101"/>
        <v>#N/A</v>
      </c>
      <c r="EU59" s="154" t="e">
        <f t="shared" si="102"/>
        <v>#N/A</v>
      </c>
      <c r="EW59" s="60">
        <f t="shared" si="103"/>
        <v>0</v>
      </c>
      <c r="EX59" s="60">
        <f t="shared" si="104"/>
        <v>0</v>
      </c>
      <c r="EY59" s="60">
        <f t="shared" si="105"/>
        <v>0</v>
      </c>
      <c r="EZ59" s="60">
        <f t="shared" si="106"/>
        <v>0</v>
      </c>
      <c r="FA59" s="60">
        <f t="shared" si="107"/>
        <v>0</v>
      </c>
      <c r="FB59" s="60">
        <f t="shared" si="108"/>
        <v>0</v>
      </c>
      <c r="FC59" s="60">
        <f t="shared" si="109"/>
        <v>0</v>
      </c>
      <c r="FD59" s="60">
        <f t="shared" si="110"/>
        <v>0</v>
      </c>
    </row>
    <row r="60" spans="1:160" ht="10.5" customHeight="1">
      <c r="A60" s="8" t="str">
        <f t="shared" si="111"/>
        <v/>
      </c>
      <c r="B60" s="9" t="str">
        <f t="shared" si="61"/>
        <v/>
      </c>
      <c r="C60" s="18"/>
      <c r="D60" s="16"/>
      <c r="E60" s="17"/>
      <c r="F60" s="17"/>
      <c r="G60" s="13"/>
      <c r="H60" s="14" t="str">
        <f t="shared" si="62"/>
        <v/>
      </c>
      <c r="I60" s="8" t="str">
        <f t="shared" si="63"/>
        <v/>
      </c>
      <c r="J60" s="9" t="str">
        <f t="shared" si="64"/>
        <v/>
      </c>
      <c r="K60" s="32" t="str">
        <f t="shared" si="65"/>
        <v/>
      </c>
      <c r="L60" s="33" t="str">
        <f t="shared" si="66"/>
        <v/>
      </c>
      <c r="M60" s="34" t="str">
        <f t="shared" si="67"/>
        <v/>
      </c>
      <c r="N60" s="35" t="str">
        <f t="shared" si="68"/>
        <v/>
      </c>
      <c r="O60" s="36"/>
      <c r="P60" s="36"/>
      <c r="Q60" s="36"/>
      <c r="R60" s="36"/>
      <c r="S60" s="36"/>
      <c r="T60" s="36"/>
      <c r="U60" s="36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53"/>
      <c r="AS60" s="53"/>
      <c r="AT60" s="53"/>
      <c r="AW60" s="5"/>
      <c r="AX60" s="5"/>
      <c r="AY60" s="60" t="str">
        <f t="shared" si="69"/>
        <v/>
      </c>
      <c r="AZ60" s="60" t="str">
        <f t="shared" si="70"/>
        <v/>
      </c>
      <c r="BA60" s="61" t="str">
        <f t="shared" si="71"/>
        <v/>
      </c>
      <c r="BB60" s="61" t="str">
        <f t="shared" si="72"/>
        <v/>
      </c>
      <c r="BC60" s="61" t="str">
        <f t="shared" si="73"/>
        <v/>
      </c>
      <c r="BD60" s="61" t="str">
        <f t="shared" si="74"/>
        <v/>
      </c>
      <c r="BE60" s="64" t="str">
        <f t="shared" si="75"/>
        <v/>
      </c>
      <c r="BF60" s="64" t="str">
        <f t="shared" si="76"/>
        <v/>
      </c>
      <c r="BG60" s="64" t="str">
        <f t="shared" si="77"/>
        <v/>
      </c>
      <c r="BH60" s="64" t="str">
        <f t="shared" si="78"/>
        <v/>
      </c>
      <c r="BI60" s="65"/>
      <c r="BJ60" s="66" t="str">
        <f t="shared" si="79"/>
        <v/>
      </c>
      <c r="BK60" s="71" t="s">
        <v>229</v>
      </c>
      <c r="BL60" s="70">
        <v>120</v>
      </c>
      <c r="BM60" s="5">
        <v>12.7</v>
      </c>
      <c r="BN60" s="77">
        <v>12.8</v>
      </c>
      <c r="BO60" s="78">
        <f t="shared" si="112"/>
        <v>13.6</v>
      </c>
      <c r="BP60" s="79">
        <v>13.7</v>
      </c>
      <c r="BQ60" s="80">
        <v>21.4</v>
      </c>
      <c r="BR60" s="81">
        <f t="shared" si="113"/>
        <v>21.5</v>
      </c>
      <c r="BS60" s="82">
        <v>26.1</v>
      </c>
      <c r="BT60" s="83">
        <v>26.2</v>
      </c>
      <c r="BU60" s="41"/>
      <c r="BV60" s="87" t="s">
        <v>229</v>
      </c>
      <c r="BW60" s="86">
        <v>120</v>
      </c>
      <c r="BX60" s="5">
        <v>12.3</v>
      </c>
      <c r="BY60" s="88">
        <v>12.4</v>
      </c>
      <c r="BZ60" s="78">
        <f t="shared" si="114"/>
        <v>13.4</v>
      </c>
      <c r="CA60" s="89">
        <v>13.5</v>
      </c>
      <c r="CB60" s="90">
        <v>22.6</v>
      </c>
      <c r="CC60" s="92">
        <f t="shared" si="115"/>
        <v>22.7</v>
      </c>
      <c r="CD60" s="93">
        <v>28.4</v>
      </c>
      <c r="CE60" s="83" t="s">
        <v>230</v>
      </c>
      <c r="CF60" s="5"/>
      <c r="CG60" s="91" t="str">
        <f t="shared" si="80"/>
        <v/>
      </c>
      <c r="CH60" s="91"/>
      <c r="CI60" s="91" t="str">
        <f t="shared" si="81"/>
        <v/>
      </c>
      <c r="CJ60" s="91"/>
      <c r="CK60" s="91" t="str">
        <f t="shared" si="82"/>
        <v/>
      </c>
      <c r="CL60" s="91" t="str">
        <f t="shared" si="83"/>
        <v/>
      </c>
      <c r="CM60" s="91" t="str">
        <f t="shared" si="84"/>
        <v/>
      </c>
      <c r="CN60" s="91" t="str">
        <f t="shared" si="85"/>
        <v/>
      </c>
      <c r="CO60" s="91" t="str">
        <f t="shared" si="86"/>
        <v/>
      </c>
      <c r="CP60" s="91" t="str">
        <f t="shared" si="87"/>
        <v/>
      </c>
      <c r="CQ60" s="91" t="str">
        <f t="shared" si="88"/>
        <v/>
      </c>
      <c r="CR60" s="91" t="str">
        <f t="shared" si="89"/>
        <v/>
      </c>
      <c r="CS60" s="91" t="str">
        <f t="shared" si="90"/>
        <v/>
      </c>
      <c r="CT60" s="91" t="str">
        <f t="shared" si="91"/>
        <v/>
      </c>
      <c r="CV60" s="94"/>
      <c r="CW60" s="98">
        <v>48</v>
      </c>
      <c r="CX60" s="99">
        <f t="shared" si="116"/>
        <v>11.2</v>
      </c>
      <c r="CY60" s="100">
        <v>11.3</v>
      </c>
      <c r="CZ60" s="99">
        <f t="shared" si="117"/>
        <v>12.6</v>
      </c>
      <c r="DA60" s="100">
        <v>12.7</v>
      </c>
      <c r="DB60" s="100">
        <v>21.2</v>
      </c>
      <c r="DC60" s="99">
        <f t="shared" si="118"/>
        <v>21.3</v>
      </c>
      <c r="DD60" s="41"/>
      <c r="DE60" s="41"/>
      <c r="DF60" s="41"/>
      <c r="DG60" s="94"/>
      <c r="DH60" s="99">
        <f t="shared" si="119"/>
        <v>10.9</v>
      </c>
      <c r="DI60" s="100">
        <v>11</v>
      </c>
      <c r="DJ60" s="99">
        <f t="shared" si="120"/>
        <v>12.2</v>
      </c>
      <c r="DK60" s="100">
        <v>12.3</v>
      </c>
      <c r="DL60" s="100">
        <v>21.5</v>
      </c>
      <c r="DM60" s="99">
        <f t="shared" si="121"/>
        <v>21.6</v>
      </c>
      <c r="DN60" s="106">
        <v>21.6</v>
      </c>
      <c r="DO60" s="41"/>
      <c r="DP60" s="66" t="str">
        <f t="shared" si="92"/>
        <v/>
      </c>
      <c r="DQ60" s="60" t="str">
        <f t="shared" si="93"/>
        <v/>
      </c>
      <c r="DR60" s="60" t="str">
        <f t="shared" si="94"/>
        <v/>
      </c>
      <c r="DS60" s="60" t="str">
        <f t="shared" si="95"/>
        <v/>
      </c>
      <c r="DV60" s="119" t="s">
        <v>116</v>
      </c>
      <c r="DW60" s="120">
        <v>85</v>
      </c>
      <c r="DX60" s="121">
        <v>106.2</v>
      </c>
      <c r="DY60" s="145">
        <v>106.3</v>
      </c>
      <c r="DZ60" s="146">
        <v>111.5</v>
      </c>
      <c r="EA60" s="149">
        <v>111.6</v>
      </c>
      <c r="EB60" s="150">
        <v>132.80000000000001</v>
      </c>
      <c r="EC60" s="148">
        <v>132.9</v>
      </c>
      <c r="EE60" s="143" t="s">
        <v>116</v>
      </c>
      <c r="EF60" s="144">
        <v>85</v>
      </c>
      <c r="EG60" s="170">
        <v>104.7</v>
      </c>
      <c r="EH60" s="174">
        <v>104.8</v>
      </c>
      <c r="EI60" s="175">
        <v>110.2</v>
      </c>
      <c r="EJ60" s="180">
        <v>110.3</v>
      </c>
      <c r="EK60" s="181">
        <v>132.30000000000001</v>
      </c>
      <c r="EL60" s="173">
        <v>132.4</v>
      </c>
      <c r="EN60" s="154" t="str">
        <f t="shared" si="96"/>
        <v/>
      </c>
      <c r="EO60" s="154" t="e">
        <f t="shared" si="97"/>
        <v>#N/A</v>
      </c>
      <c r="EP60" s="154" t="e">
        <f t="shared" si="98"/>
        <v>#N/A</v>
      </c>
      <c r="EQ60" s="154" t="e">
        <f t="shared" si="99"/>
        <v>#N/A</v>
      </c>
      <c r="ES60" s="154" t="e">
        <f t="shared" si="100"/>
        <v>#N/A</v>
      </c>
      <c r="ET60" s="154" t="e">
        <f t="shared" si="101"/>
        <v>#N/A</v>
      </c>
      <c r="EU60" s="154" t="e">
        <f t="shared" si="102"/>
        <v>#N/A</v>
      </c>
      <c r="EW60" s="60">
        <f t="shared" si="103"/>
        <v>0</v>
      </c>
      <c r="EX60" s="60">
        <f t="shared" si="104"/>
        <v>0</v>
      </c>
      <c r="EY60" s="60">
        <f t="shared" si="105"/>
        <v>0</v>
      </c>
      <c r="EZ60" s="60">
        <f t="shared" si="106"/>
        <v>0</v>
      </c>
      <c r="FA60" s="60">
        <f t="shared" si="107"/>
        <v>0</v>
      </c>
      <c r="FB60" s="60">
        <f t="shared" si="108"/>
        <v>0</v>
      </c>
      <c r="FC60" s="60">
        <f t="shared" si="109"/>
        <v>0</v>
      </c>
      <c r="FD60" s="60">
        <f t="shared" si="110"/>
        <v>0</v>
      </c>
    </row>
    <row r="61" spans="1:160" ht="10.5" customHeight="1">
      <c r="A61" s="8" t="str">
        <f t="shared" si="111"/>
        <v/>
      </c>
      <c r="B61" s="9" t="str">
        <f t="shared" si="61"/>
        <v/>
      </c>
      <c r="C61" s="18"/>
      <c r="D61" s="16"/>
      <c r="E61" s="17"/>
      <c r="F61" s="17"/>
      <c r="G61" s="13"/>
      <c r="H61" s="14" t="str">
        <f t="shared" si="62"/>
        <v/>
      </c>
      <c r="I61" s="8" t="str">
        <f t="shared" si="63"/>
        <v/>
      </c>
      <c r="J61" s="9" t="str">
        <f t="shared" si="64"/>
        <v/>
      </c>
      <c r="K61" s="32" t="str">
        <f t="shared" si="65"/>
        <v/>
      </c>
      <c r="L61" s="33" t="str">
        <f t="shared" si="66"/>
        <v/>
      </c>
      <c r="M61" s="34" t="str">
        <f t="shared" si="67"/>
        <v/>
      </c>
      <c r="N61" s="35" t="str">
        <f t="shared" si="68"/>
        <v/>
      </c>
      <c r="O61" s="36"/>
      <c r="P61" s="36"/>
      <c r="Q61" s="36"/>
      <c r="R61" s="36"/>
      <c r="S61" s="36"/>
      <c r="T61" s="36"/>
      <c r="U61" s="36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53"/>
      <c r="AS61" s="53"/>
      <c r="AT61" s="53"/>
      <c r="AW61" s="5"/>
      <c r="AX61" s="5"/>
      <c r="AY61" s="60" t="str">
        <f t="shared" si="69"/>
        <v/>
      </c>
      <c r="AZ61" s="60" t="str">
        <f t="shared" si="70"/>
        <v/>
      </c>
      <c r="BA61" s="61" t="str">
        <f t="shared" si="71"/>
        <v/>
      </c>
      <c r="BB61" s="61" t="str">
        <f t="shared" si="72"/>
        <v/>
      </c>
      <c r="BC61" s="61" t="str">
        <f t="shared" si="73"/>
        <v/>
      </c>
      <c r="BD61" s="61" t="str">
        <f t="shared" si="74"/>
        <v/>
      </c>
      <c r="BE61" s="64" t="str">
        <f t="shared" si="75"/>
        <v/>
      </c>
      <c r="BF61" s="64" t="str">
        <f t="shared" si="76"/>
        <v/>
      </c>
      <c r="BG61" s="64" t="str">
        <f t="shared" si="77"/>
        <v/>
      </c>
      <c r="BH61" s="64" t="str">
        <f t="shared" si="78"/>
        <v/>
      </c>
      <c r="BI61" s="65"/>
      <c r="BJ61" s="66" t="str">
        <f t="shared" si="79"/>
        <v/>
      </c>
      <c r="BK61" s="71" t="s">
        <v>231</v>
      </c>
      <c r="BL61" s="70">
        <v>121</v>
      </c>
      <c r="BM61" s="5">
        <v>12.7</v>
      </c>
      <c r="BN61" s="77">
        <v>12.8</v>
      </c>
      <c r="BO61" s="78">
        <f t="shared" si="112"/>
        <v>13.7</v>
      </c>
      <c r="BP61" s="79">
        <v>13.8</v>
      </c>
      <c r="BQ61" s="80">
        <v>21.5</v>
      </c>
      <c r="BR61" s="81">
        <f t="shared" si="113"/>
        <v>21.6</v>
      </c>
      <c r="BS61" s="82">
        <v>26.2</v>
      </c>
      <c r="BT61" s="83">
        <v>26.3</v>
      </c>
      <c r="BU61" s="41"/>
      <c r="BV61" s="87" t="s">
        <v>231</v>
      </c>
      <c r="BW61" s="86">
        <v>121</v>
      </c>
      <c r="BX61" s="5">
        <v>12.3</v>
      </c>
      <c r="BY61" s="88">
        <v>12.4</v>
      </c>
      <c r="BZ61" s="78">
        <f t="shared" si="114"/>
        <v>13.4</v>
      </c>
      <c r="CA61" s="89">
        <v>13.5</v>
      </c>
      <c r="CB61" s="90">
        <v>22.7</v>
      </c>
      <c r="CC61" s="92">
        <f t="shared" si="115"/>
        <v>22.8</v>
      </c>
      <c r="CD61" s="93">
        <v>28.5</v>
      </c>
      <c r="CE61" s="83" t="s">
        <v>232</v>
      </c>
      <c r="CF61" s="5"/>
      <c r="CG61" s="91" t="str">
        <f t="shared" si="80"/>
        <v/>
      </c>
      <c r="CH61" s="91"/>
      <c r="CI61" s="91" t="str">
        <f t="shared" si="81"/>
        <v/>
      </c>
      <c r="CJ61" s="91"/>
      <c r="CK61" s="91" t="str">
        <f t="shared" si="82"/>
        <v/>
      </c>
      <c r="CL61" s="91" t="str">
        <f t="shared" si="83"/>
        <v/>
      </c>
      <c r="CM61" s="91" t="str">
        <f t="shared" si="84"/>
        <v/>
      </c>
      <c r="CN61" s="91" t="str">
        <f t="shared" si="85"/>
        <v/>
      </c>
      <c r="CO61" s="91" t="str">
        <f t="shared" si="86"/>
        <v/>
      </c>
      <c r="CP61" s="91" t="str">
        <f t="shared" si="87"/>
        <v/>
      </c>
      <c r="CQ61" s="91" t="str">
        <f t="shared" si="88"/>
        <v/>
      </c>
      <c r="CR61" s="91" t="str">
        <f t="shared" si="89"/>
        <v/>
      </c>
      <c r="CS61" s="91" t="str">
        <f t="shared" si="90"/>
        <v/>
      </c>
      <c r="CT61" s="91" t="str">
        <f t="shared" si="91"/>
        <v/>
      </c>
      <c r="CV61" s="94"/>
      <c r="CW61" s="95">
        <v>49</v>
      </c>
      <c r="CX61" s="96">
        <f t="shared" si="116"/>
        <v>11.3</v>
      </c>
      <c r="CY61" s="97">
        <v>11.4</v>
      </c>
      <c r="CZ61" s="96">
        <f t="shared" si="117"/>
        <v>12.7</v>
      </c>
      <c r="DA61" s="97">
        <v>12.8</v>
      </c>
      <c r="DB61" s="97">
        <v>21.4</v>
      </c>
      <c r="DC61" s="96">
        <f t="shared" si="118"/>
        <v>21.5</v>
      </c>
      <c r="DD61" s="41"/>
      <c r="DE61" s="41"/>
      <c r="DF61" s="41"/>
      <c r="DG61" s="94"/>
      <c r="DH61" s="96">
        <f t="shared" si="119"/>
        <v>11</v>
      </c>
      <c r="DI61" s="97">
        <v>11.1</v>
      </c>
      <c r="DJ61" s="96">
        <f t="shared" si="120"/>
        <v>12.3</v>
      </c>
      <c r="DK61" s="97">
        <v>12.4</v>
      </c>
      <c r="DL61" s="97">
        <v>21.8</v>
      </c>
      <c r="DM61" s="96">
        <f t="shared" si="121"/>
        <v>21.9</v>
      </c>
      <c r="DN61" s="106">
        <v>21.9</v>
      </c>
      <c r="DO61" s="41"/>
      <c r="DP61" s="66" t="str">
        <f t="shared" si="92"/>
        <v/>
      </c>
      <c r="DQ61" s="60" t="str">
        <f t="shared" si="93"/>
        <v/>
      </c>
      <c r="DR61" s="60" t="str">
        <f t="shared" si="94"/>
        <v/>
      </c>
      <c r="DS61" s="60" t="str">
        <f t="shared" si="95"/>
        <v/>
      </c>
      <c r="DV61" s="119" t="s">
        <v>120</v>
      </c>
      <c r="DW61" s="120">
        <v>86</v>
      </c>
      <c r="DX61" s="121">
        <v>106.5</v>
      </c>
      <c r="DY61" s="145">
        <v>106.6</v>
      </c>
      <c r="DZ61" s="146">
        <v>111.9</v>
      </c>
      <c r="EA61" s="149">
        <v>112</v>
      </c>
      <c r="EB61" s="150">
        <v>133.4</v>
      </c>
      <c r="EC61" s="148">
        <v>133.5</v>
      </c>
      <c r="EE61" s="143" t="s">
        <v>120</v>
      </c>
      <c r="EF61" s="144">
        <v>86</v>
      </c>
      <c r="EG61" s="170">
        <v>105.1</v>
      </c>
      <c r="EH61" s="174">
        <v>105.2</v>
      </c>
      <c r="EI61" s="175">
        <v>110.6</v>
      </c>
      <c r="EJ61" s="180">
        <v>110.7</v>
      </c>
      <c r="EK61" s="181">
        <v>132.80000000000001</v>
      </c>
      <c r="EL61" s="173">
        <v>132.9</v>
      </c>
      <c r="EN61" s="154" t="str">
        <f t="shared" si="96"/>
        <v/>
      </c>
      <c r="EO61" s="154" t="e">
        <f t="shared" si="97"/>
        <v>#N/A</v>
      </c>
      <c r="EP61" s="154" t="e">
        <f t="shared" si="98"/>
        <v>#N/A</v>
      </c>
      <c r="EQ61" s="154" t="e">
        <f t="shared" si="99"/>
        <v>#N/A</v>
      </c>
      <c r="ES61" s="154" t="e">
        <f t="shared" si="100"/>
        <v>#N/A</v>
      </c>
      <c r="ET61" s="154" t="e">
        <f t="shared" si="101"/>
        <v>#N/A</v>
      </c>
      <c r="EU61" s="154" t="e">
        <f t="shared" si="102"/>
        <v>#N/A</v>
      </c>
      <c r="EW61" s="60">
        <f t="shared" si="103"/>
        <v>0</v>
      </c>
      <c r="EX61" s="60">
        <f t="shared" si="104"/>
        <v>0</v>
      </c>
      <c r="EY61" s="60">
        <f t="shared" si="105"/>
        <v>0</v>
      </c>
      <c r="EZ61" s="60">
        <f t="shared" si="106"/>
        <v>0</v>
      </c>
      <c r="FA61" s="60">
        <f t="shared" si="107"/>
        <v>0</v>
      </c>
      <c r="FB61" s="60">
        <f t="shared" si="108"/>
        <v>0</v>
      </c>
      <c r="FC61" s="60">
        <f t="shared" si="109"/>
        <v>0</v>
      </c>
      <c r="FD61" s="60">
        <f t="shared" si="110"/>
        <v>0</v>
      </c>
    </row>
    <row r="62" spans="1:160" ht="10.5" customHeight="1">
      <c r="A62" s="8" t="str">
        <f t="shared" si="111"/>
        <v/>
      </c>
      <c r="B62" s="9" t="str">
        <f t="shared" si="61"/>
        <v/>
      </c>
      <c r="C62" s="18"/>
      <c r="D62" s="16"/>
      <c r="E62" s="17"/>
      <c r="F62" s="17"/>
      <c r="G62" s="13"/>
      <c r="H62" s="14" t="str">
        <f t="shared" si="62"/>
        <v/>
      </c>
      <c r="I62" s="8" t="str">
        <f t="shared" si="63"/>
        <v/>
      </c>
      <c r="J62" s="9" t="str">
        <f t="shared" si="64"/>
        <v/>
      </c>
      <c r="K62" s="32" t="str">
        <f t="shared" si="65"/>
        <v/>
      </c>
      <c r="L62" s="33" t="str">
        <f t="shared" si="66"/>
        <v/>
      </c>
      <c r="M62" s="34" t="str">
        <f t="shared" si="67"/>
        <v/>
      </c>
      <c r="N62" s="35" t="str">
        <f t="shared" si="68"/>
        <v/>
      </c>
      <c r="O62" s="36"/>
      <c r="P62" s="36"/>
      <c r="Q62" s="36"/>
      <c r="R62" s="36"/>
      <c r="S62" s="36"/>
      <c r="T62" s="36"/>
      <c r="U62" s="36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53"/>
      <c r="AS62" s="53"/>
      <c r="AT62" s="53"/>
      <c r="AW62" s="5"/>
      <c r="AX62" s="5"/>
      <c r="AY62" s="60" t="str">
        <f t="shared" si="69"/>
        <v/>
      </c>
      <c r="AZ62" s="60" t="str">
        <f t="shared" si="70"/>
        <v/>
      </c>
      <c r="BA62" s="61" t="str">
        <f t="shared" si="71"/>
        <v/>
      </c>
      <c r="BB62" s="61" t="str">
        <f t="shared" si="72"/>
        <v/>
      </c>
      <c r="BC62" s="61" t="str">
        <f t="shared" si="73"/>
        <v/>
      </c>
      <c r="BD62" s="61" t="str">
        <f t="shared" si="74"/>
        <v/>
      </c>
      <c r="BE62" s="64" t="str">
        <f t="shared" si="75"/>
        <v/>
      </c>
      <c r="BF62" s="64" t="str">
        <f t="shared" si="76"/>
        <v/>
      </c>
      <c r="BG62" s="64" t="str">
        <f t="shared" si="77"/>
        <v/>
      </c>
      <c r="BH62" s="64" t="str">
        <f t="shared" si="78"/>
        <v/>
      </c>
      <c r="BI62" s="65"/>
      <c r="BJ62" s="66" t="str">
        <f t="shared" si="79"/>
        <v/>
      </c>
      <c r="BK62" s="71" t="s">
        <v>233</v>
      </c>
      <c r="BL62" s="70">
        <v>122</v>
      </c>
      <c r="BM62" s="5">
        <v>12.7</v>
      </c>
      <c r="BN62" s="77">
        <v>12.8</v>
      </c>
      <c r="BO62" s="78">
        <f t="shared" si="112"/>
        <v>13.7</v>
      </c>
      <c r="BP62" s="79">
        <v>13.8</v>
      </c>
      <c r="BQ62" s="80">
        <v>21.6</v>
      </c>
      <c r="BR62" s="81">
        <f t="shared" si="113"/>
        <v>21.7</v>
      </c>
      <c r="BS62" s="82">
        <v>26.4</v>
      </c>
      <c r="BT62" s="83">
        <v>26.5</v>
      </c>
      <c r="BU62" s="41"/>
      <c r="BV62" s="87" t="s">
        <v>233</v>
      </c>
      <c r="BW62" s="86">
        <v>122</v>
      </c>
      <c r="BX62" s="5">
        <v>12.3</v>
      </c>
      <c r="BY62" s="88">
        <v>12.4</v>
      </c>
      <c r="BZ62" s="78">
        <f t="shared" si="114"/>
        <v>13.4</v>
      </c>
      <c r="CA62" s="89">
        <v>13.5</v>
      </c>
      <c r="CB62" s="90">
        <v>22.8</v>
      </c>
      <c r="CC62" s="92">
        <f t="shared" si="115"/>
        <v>22.9</v>
      </c>
      <c r="CD62" s="93">
        <v>28.7</v>
      </c>
      <c r="CE62" s="83" t="s">
        <v>234</v>
      </c>
      <c r="CF62" s="5"/>
      <c r="CG62" s="91" t="str">
        <f t="shared" si="80"/>
        <v/>
      </c>
      <c r="CH62" s="91"/>
      <c r="CI62" s="91" t="str">
        <f t="shared" si="81"/>
        <v/>
      </c>
      <c r="CJ62" s="91"/>
      <c r="CK62" s="91" t="str">
        <f t="shared" si="82"/>
        <v/>
      </c>
      <c r="CL62" s="91" t="str">
        <f t="shared" si="83"/>
        <v/>
      </c>
      <c r="CM62" s="91" t="str">
        <f t="shared" si="84"/>
        <v/>
      </c>
      <c r="CN62" s="91" t="str">
        <f t="shared" si="85"/>
        <v/>
      </c>
      <c r="CO62" s="91" t="str">
        <f t="shared" si="86"/>
        <v/>
      </c>
      <c r="CP62" s="91" t="str">
        <f t="shared" si="87"/>
        <v/>
      </c>
      <c r="CQ62" s="91" t="str">
        <f t="shared" si="88"/>
        <v/>
      </c>
      <c r="CR62" s="91" t="str">
        <f t="shared" si="89"/>
        <v/>
      </c>
      <c r="CS62" s="91" t="str">
        <f t="shared" si="90"/>
        <v/>
      </c>
      <c r="CT62" s="91" t="str">
        <f t="shared" si="91"/>
        <v/>
      </c>
      <c r="CV62" s="94"/>
      <c r="CW62" s="95">
        <v>50</v>
      </c>
      <c r="CX62" s="96">
        <f t="shared" si="116"/>
        <v>11.4</v>
      </c>
      <c r="CY62" s="97">
        <v>11.5</v>
      </c>
      <c r="CZ62" s="96">
        <f t="shared" si="117"/>
        <v>12.8</v>
      </c>
      <c r="DA62" s="97">
        <v>12.9</v>
      </c>
      <c r="DB62" s="97">
        <v>21.7</v>
      </c>
      <c r="DC62" s="96">
        <f t="shared" si="118"/>
        <v>21.8</v>
      </c>
      <c r="DD62" s="41"/>
      <c r="DE62" s="41"/>
      <c r="DF62" s="41"/>
      <c r="DG62" s="94"/>
      <c r="DH62" s="96">
        <f t="shared" si="119"/>
        <v>11.1</v>
      </c>
      <c r="DI62" s="97">
        <v>11.2</v>
      </c>
      <c r="DJ62" s="96">
        <f t="shared" si="120"/>
        <v>12.4</v>
      </c>
      <c r="DK62" s="97">
        <v>12.5</v>
      </c>
      <c r="DL62" s="97">
        <v>22.1</v>
      </c>
      <c r="DM62" s="96">
        <f t="shared" si="121"/>
        <v>22.2</v>
      </c>
      <c r="DN62" s="106">
        <v>22.2</v>
      </c>
      <c r="DO62" s="41"/>
      <c r="DP62" s="66" t="str">
        <f t="shared" si="92"/>
        <v/>
      </c>
      <c r="DQ62" s="60" t="str">
        <f t="shared" si="93"/>
        <v/>
      </c>
      <c r="DR62" s="60" t="str">
        <f t="shared" si="94"/>
        <v/>
      </c>
      <c r="DS62" s="60" t="str">
        <f t="shared" si="95"/>
        <v/>
      </c>
      <c r="DV62" s="119" t="s">
        <v>123</v>
      </c>
      <c r="DW62" s="120">
        <v>87</v>
      </c>
      <c r="DX62" s="121">
        <v>106.9</v>
      </c>
      <c r="DY62" s="145">
        <v>107</v>
      </c>
      <c r="DZ62" s="146">
        <v>112.3</v>
      </c>
      <c r="EA62" s="149">
        <v>112.4</v>
      </c>
      <c r="EB62" s="150">
        <v>133.9</v>
      </c>
      <c r="EC62" s="148">
        <v>134</v>
      </c>
      <c r="EE62" s="143" t="s">
        <v>123</v>
      </c>
      <c r="EF62" s="144">
        <v>87</v>
      </c>
      <c r="EG62" s="170">
        <v>105.5</v>
      </c>
      <c r="EH62" s="174">
        <v>105.6</v>
      </c>
      <c r="EI62" s="175">
        <v>111</v>
      </c>
      <c r="EJ62" s="180">
        <v>111.1</v>
      </c>
      <c r="EK62" s="181">
        <v>133.30000000000001</v>
      </c>
      <c r="EL62" s="173">
        <v>133.4</v>
      </c>
      <c r="EN62" s="154" t="str">
        <f t="shared" si="96"/>
        <v/>
      </c>
      <c r="EO62" s="154" t="e">
        <f t="shared" si="97"/>
        <v>#N/A</v>
      </c>
      <c r="EP62" s="154" t="e">
        <f t="shared" si="98"/>
        <v>#N/A</v>
      </c>
      <c r="EQ62" s="154" t="e">
        <f t="shared" si="99"/>
        <v>#N/A</v>
      </c>
      <c r="ES62" s="154" t="e">
        <f t="shared" si="100"/>
        <v>#N/A</v>
      </c>
      <c r="ET62" s="154" t="e">
        <f t="shared" si="101"/>
        <v>#N/A</v>
      </c>
      <c r="EU62" s="154" t="e">
        <f t="shared" si="102"/>
        <v>#N/A</v>
      </c>
      <c r="EW62" s="60">
        <f t="shared" si="103"/>
        <v>0</v>
      </c>
      <c r="EX62" s="60">
        <f t="shared" si="104"/>
        <v>0</v>
      </c>
      <c r="EY62" s="60">
        <f t="shared" si="105"/>
        <v>0</v>
      </c>
      <c r="EZ62" s="60">
        <f t="shared" si="106"/>
        <v>0</v>
      </c>
      <c r="FA62" s="60">
        <f t="shared" si="107"/>
        <v>0</v>
      </c>
      <c r="FB62" s="60">
        <f t="shared" si="108"/>
        <v>0</v>
      </c>
      <c r="FC62" s="60">
        <f t="shared" si="109"/>
        <v>0</v>
      </c>
      <c r="FD62" s="60">
        <f t="shared" si="110"/>
        <v>0</v>
      </c>
    </row>
    <row r="63" spans="1:160" ht="10.5" customHeight="1">
      <c r="A63" s="8" t="str">
        <f t="shared" si="111"/>
        <v/>
      </c>
      <c r="B63" s="9" t="str">
        <f t="shared" si="61"/>
        <v/>
      </c>
      <c r="C63" s="18"/>
      <c r="D63" s="16"/>
      <c r="E63" s="17"/>
      <c r="F63" s="17"/>
      <c r="G63" s="13"/>
      <c r="H63" s="14" t="str">
        <f t="shared" si="62"/>
        <v/>
      </c>
      <c r="I63" s="8" t="str">
        <f t="shared" si="63"/>
        <v/>
      </c>
      <c r="J63" s="9" t="str">
        <f t="shared" si="64"/>
        <v/>
      </c>
      <c r="K63" s="32" t="str">
        <f t="shared" si="65"/>
        <v/>
      </c>
      <c r="L63" s="33" t="str">
        <f t="shared" si="66"/>
        <v/>
      </c>
      <c r="M63" s="34" t="str">
        <f t="shared" si="67"/>
        <v/>
      </c>
      <c r="N63" s="35" t="str">
        <f t="shared" si="68"/>
        <v/>
      </c>
      <c r="O63" s="36"/>
      <c r="P63" s="36"/>
      <c r="Q63" s="36"/>
      <c r="R63" s="36"/>
      <c r="S63" s="36"/>
      <c r="T63" s="36"/>
      <c r="U63" s="36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53"/>
      <c r="AS63" s="53"/>
      <c r="AT63" s="53"/>
      <c r="AW63" s="5"/>
      <c r="AX63" s="5"/>
      <c r="AY63" s="60" t="str">
        <f t="shared" si="69"/>
        <v/>
      </c>
      <c r="AZ63" s="60" t="str">
        <f t="shared" si="70"/>
        <v/>
      </c>
      <c r="BA63" s="61" t="str">
        <f t="shared" si="71"/>
        <v/>
      </c>
      <c r="BB63" s="61" t="str">
        <f t="shared" si="72"/>
        <v/>
      </c>
      <c r="BC63" s="61" t="str">
        <f t="shared" si="73"/>
        <v/>
      </c>
      <c r="BD63" s="61" t="str">
        <f t="shared" si="74"/>
        <v/>
      </c>
      <c r="BE63" s="64" t="str">
        <f t="shared" si="75"/>
        <v/>
      </c>
      <c r="BF63" s="64" t="str">
        <f t="shared" si="76"/>
        <v/>
      </c>
      <c r="BG63" s="64" t="str">
        <f t="shared" si="77"/>
        <v/>
      </c>
      <c r="BH63" s="64" t="str">
        <f t="shared" si="78"/>
        <v/>
      </c>
      <c r="BI63" s="65"/>
      <c r="BJ63" s="66" t="str">
        <f t="shared" si="79"/>
        <v/>
      </c>
      <c r="BK63" s="71" t="s">
        <v>235</v>
      </c>
      <c r="BL63" s="70">
        <v>123</v>
      </c>
      <c r="BM63" s="5">
        <v>12.7</v>
      </c>
      <c r="BN63" s="77">
        <v>12.8</v>
      </c>
      <c r="BO63" s="78">
        <f t="shared" si="112"/>
        <v>13.7</v>
      </c>
      <c r="BP63" s="79">
        <v>13.8</v>
      </c>
      <c r="BQ63" s="80">
        <v>21.7</v>
      </c>
      <c r="BR63" s="81">
        <f t="shared" si="113"/>
        <v>21.8</v>
      </c>
      <c r="BS63" s="82">
        <v>26.6</v>
      </c>
      <c r="BT63" s="83">
        <v>26.7</v>
      </c>
      <c r="BU63" s="41"/>
      <c r="BV63" s="87" t="s">
        <v>235</v>
      </c>
      <c r="BW63" s="86">
        <v>123</v>
      </c>
      <c r="BX63" s="5">
        <v>12.4</v>
      </c>
      <c r="BY63" s="88">
        <v>12.5</v>
      </c>
      <c r="BZ63" s="78">
        <f t="shared" si="114"/>
        <v>13.5</v>
      </c>
      <c r="CA63" s="89">
        <v>13.6</v>
      </c>
      <c r="CB63" s="90">
        <v>22.8</v>
      </c>
      <c r="CC63" s="92">
        <f t="shared" si="115"/>
        <v>22.9</v>
      </c>
      <c r="CD63" s="93">
        <v>28.8</v>
      </c>
      <c r="CE63" s="83" t="s">
        <v>236</v>
      </c>
      <c r="CF63" s="5"/>
      <c r="CG63" s="91" t="str">
        <f t="shared" si="80"/>
        <v/>
      </c>
      <c r="CH63" s="91"/>
      <c r="CI63" s="91" t="str">
        <f t="shared" si="81"/>
        <v/>
      </c>
      <c r="CJ63" s="91"/>
      <c r="CK63" s="91" t="str">
        <f t="shared" si="82"/>
        <v/>
      </c>
      <c r="CL63" s="91" t="str">
        <f t="shared" si="83"/>
        <v/>
      </c>
      <c r="CM63" s="91" t="str">
        <f t="shared" si="84"/>
        <v/>
      </c>
      <c r="CN63" s="91" t="str">
        <f t="shared" si="85"/>
        <v/>
      </c>
      <c r="CO63" s="91" t="str">
        <f t="shared" si="86"/>
        <v/>
      </c>
      <c r="CP63" s="91" t="str">
        <f t="shared" si="87"/>
        <v/>
      </c>
      <c r="CQ63" s="91" t="str">
        <f t="shared" si="88"/>
        <v/>
      </c>
      <c r="CR63" s="91" t="str">
        <f t="shared" si="89"/>
        <v/>
      </c>
      <c r="CS63" s="91" t="str">
        <f t="shared" si="90"/>
        <v/>
      </c>
      <c r="CT63" s="91" t="str">
        <f t="shared" si="91"/>
        <v/>
      </c>
      <c r="CV63" s="94"/>
      <c r="CW63" s="95">
        <v>51</v>
      </c>
      <c r="CX63" s="96">
        <f t="shared" si="116"/>
        <v>11.5</v>
      </c>
      <c r="CY63" s="97">
        <v>11.6</v>
      </c>
      <c r="CZ63" s="96">
        <f t="shared" si="117"/>
        <v>13</v>
      </c>
      <c r="DA63" s="97">
        <v>13.1</v>
      </c>
      <c r="DB63" s="97">
        <v>21.9</v>
      </c>
      <c r="DC63" s="96">
        <f t="shared" si="118"/>
        <v>22</v>
      </c>
      <c r="DD63" s="41"/>
      <c r="DE63" s="41"/>
      <c r="DF63" s="41"/>
      <c r="DG63" s="94"/>
      <c r="DH63" s="96">
        <f t="shared" si="119"/>
        <v>11.2</v>
      </c>
      <c r="DI63" s="97">
        <v>11.3</v>
      </c>
      <c r="DJ63" s="96">
        <f t="shared" si="120"/>
        <v>12.6</v>
      </c>
      <c r="DK63" s="97">
        <v>12.7</v>
      </c>
      <c r="DL63" s="97">
        <v>22.4</v>
      </c>
      <c r="DM63" s="96">
        <f t="shared" si="121"/>
        <v>22.5</v>
      </c>
      <c r="DN63" s="106">
        <v>22.5</v>
      </c>
      <c r="DO63" s="41"/>
      <c r="DP63" s="66" t="str">
        <f t="shared" si="92"/>
        <v/>
      </c>
      <c r="DQ63" s="60" t="str">
        <f t="shared" si="93"/>
        <v/>
      </c>
      <c r="DR63" s="60" t="str">
        <f t="shared" si="94"/>
        <v/>
      </c>
      <c r="DS63" s="60" t="str">
        <f t="shared" si="95"/>
        <v/>
      </c>
      <c r="DV63" s="119" t="s">
        <v>127</v>
      </c>
      <c r="DW63" s="120">
        <v>88</v>
      </c>
      <c r="DX63" s="121">
        <v>107.3</v>
      </c>
      <c r="DY63" s="145">
        <v>107.4</v>
      </c>
      <c r="DZ63" s="146">
        <v>112.7</v>
      </c>
      <c r="EA63" s="149">
        <v>112.8</v>
      </c>
      <c r="EB63" s="150">
        <v>134.4</v>
      </c>
      <c r="EC63" s="148">
        <v>134.5</v>
      </c>
      <c r="EE63" s="143" t="s">
        <v>127</v>
      </c>
      <c r="EF63" s="144">
        <v>88</v>
      </c>
      <c r="EG63" s="170">
        <v>105.9</v>
      </c>
      <c r="EH63" s="174">
        <v>106</v>
      </c>
      <c r="EI63" s="175">
        <v>111.5</v>
      </c>
      <c r="EJ63" s="180">
        <v>111.6</v>
      </c>
      <c r="EK63" s="181">
        <v>133.9</v>
      </c>
      <c r="EL63" s="173">
        <v>134</v>
      </c>
      <c r="EN63" s="154" t="str">
        <f t="shared" si="96"/>
        <v/>
      </c>
      <c r="EO63" s="154" t="e">
        <f t="shared" si="97"/>
        <v>#N/A</v>
      </c>
      <c r="EP63" s="154" t="e">
        <f t="shared" si="98"/>
        <v>#N/A</v>
      </c>
      <c r="EQ63" s="154" t="e">
        <f t="shared" si="99"/>
        <v>#N/A</v>
      </c>
      <c r="ES63" s="154" t="e">
        <f t="shared" si="100"/>
        <v>#N/A</v>
      </c>
      <c r="ET63" s="154" t="e">
        <f t="shared" si="101"/>
        <v>#N/A</v>
      </c>
      <c r="EU63" s="154" t="e">
        <f t="shared" si="102"/>
        <v>#N/A</v>
      </c>
      <c r="EW63" s="60">
        <f t="shared" si="103"/>
        <v>0</v>
      </c>
      <c r="EX63" s="60">
        <f t="shared" si="104"/>
        <v>0</v>
      </c>
      <c r="EY63" s="60">
        <f t="shared" si="105"/>
        <v>0</v>
      </c>
      <c r="EZ63" s="60">
        <f t="shared" si="106"/>
        <v>0</v>
      </c>
      <c r="FA63" s="60">
        <f t="shared" si="107"/>
        <v>0</v>
      </c>
      <c r="FB63" s="60">
        <f t="shared" si="108"/>
        <v>0</v>
      </c>
      <c r="FC63" s="60">
        <f t="shared" si="109"/>
        <v>0</v>
      </c>
      <c r="FD63" s="60">
        <f t="shared" si="110"/>
        <v>0</v>
      </c>
    </row>
    <row r="64" spans="1:160" ht="10.5" customHeight="1">
      <c r="A64" s="8" t="str">
        <f t="shared" si="111"/>
        <v/>
      </c>
      <c r="B64" s="9" t="str">
        <f t="shared" si="61"/>
        <v/>
      </c>
      <c r="C64" s="18"/>
      <c r="D64" s="16"/>
      <c r="E64" s="17"/>
      <c r="F64" s="17"/>
      <c r="G64" s="13"/>
      <c r="H64" s="14" t="str">
        <f t="shared" si="62"/>
        <v/>
      </c>
      <c r="I64" s="8" t="str">
        <f t="shared" si="63"/>
        <v/>
      </c>
      <c r="J64" s="9" t="str">
        <f t="shared" si="64"/>
        <v/>
      </c>
      <c r="K64" s="32" t="str">
        <f t="shared" si="65"/>
        <v/>
      </c>
      <c r="L64" s="33" t="str">
        <f t="shared" si="66"/>
        <v/>
      </c>
      <c r="M64" s="34" t="str">
        <f t="shared" si="67"/>
        <v/>
      </c>
      <c r="N64" s="35" t="str">
        <f t="shared" si="68"/>
        <v/>
      </c>
      <c r="O64" s="36"/>
      <c r="P64" s="36"/>
      <c r="Q64" s="36"/>
      <c r="R64" s="36"/>
      <c r="S64" s="36"/>
      <c r="T64" s="36"/>
      <c r="U64" s="36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53"/>
      <c r="AS64" s="53"/>
      <c r="AT64" s="53"/>
      <c r="AW64" s="5"/>
      <c r="AX64" s="5"/>
      <c r="AY64" s="60" t="str">
        <f t="shared" si="69"/>
        <v/>
      </c>
      <c r="AZ64" s="60" t="str">
        <f t="shared" si="70"/>
        <v/>
      </c>
      <c r="BA64" s="61" t="str">
        <f t="shared" si="71"/>
        <v/>
      </c>
      <c r="BB64" s="61" t="str">
        <f t="shared" si="72"/>
        <v/>
      </c>
      <c r="BC64" s="61" t="str">
        <f t="shared" si="73"/>
        <v/>
      </c>
      <c r="BD64" s="61" t="str">
        <f t="shared" si="74"/>
        <v/>
      </c>
      <c r="BE64" s="64" t="str">
        <f t="shared" si="75"/>
        <v/>
      </c>
      <c r="BF64" s="64" t="str">
        <f t="shared" si="76"/>
        <v/>
      </c>
      <c r="BG64" s="64" t="str">
        <f t="shared" si="77"/>
        <v/>
      </c>
      <c r="BH64" s="64" t="str">
        <f t="shared" si="78"/>
        <v/>
      </c>
      <c r="BI64" s="65"/>
      <c r="BJ64" s="66" t="str">
        <f t="shared" si="79"/>
        <v/>
      </c>
      <c r="BK64" s="71" t="s">
        <v>237</v>
      </c>
      <c r="BL64" s="70">
        <v>124</v>
      </c>
      <c r="BM64" s="5">
        <v>12.8</v>
      </c>
      <c r="BN64" s="77">
        <v>12.9</v>
      </c>
      <c r="BO64" s="78">
        <f t="shared" si="112"/>
        <v>13.7</v>
      </c>
      <c r="BP64" s="79">
        <v>13.8</v>
      </c>
      <c r="BQ64" s="80">
        <v>21.7</v>
      </c>
      <c r="BR64" s="81">
        <f t="shared" si="113"/>
        <v>21.8</v>
      </c>
      <c r="BS64" s="82">
        <v>26.7</v>
      </c>
      <c r="BT64" s="83">
        <v>26.8</v>
      </c>
      <c r="BU64" s="41"/>
      <c r="BV64" s="87" t="s">
        <v>237</v>
      </c>
      <c r="BW64" s="86">
        <v>124</v>
      </c>
      <c r="BX64" s="5">
        <v>12.4</v>
      </c>
      <c r="BY64" s="88">
        <v>12.5</v>
      </c>
      <c r="BZ64" s="78">
        <f t="shared" si="114"/>
        <v>13.5</v>
      </c>
      <c r="CA64" s="89">
        <v>13.6</v>
      </c>
      <c r="CB64" s="90">
        <v>22.9</v>
      </c>
      <c r="CC64" s="92">
        <f t="shared" si="115"/>
        <v>23</v>
      </c>
      <c r="CD64" s="93">
        <v>29</v>
      </c>
      <c r="CE64" s="83" t="s">
        <v>238</v>
      </c>
      <c r="CF64" s="5"/>
      <c r="CG64" s="91" t="str">
        <f t="shared" si="80"/>
        <v/>
      </c>
      <c r="CH64" s="91"/>
      <c r="CI64" s="91" t="str">
        <f t="shared" si="81"/>
        <v/>
      </c>
      <c r="CJ64" s="91"/>
      <c r="CK64" s="91" t="str">
        <f t="shared" si="82"/>
        <v/>
      </c>
      <c r="CL64" s="91" t="str">
        <f t="shared" si="83"/>
        <v/>
      </c>
      <c r="CM64" s="91" t="str">
        <f t="shared" si="84"/>
        <v/>
      </c>
      <c r="CN64" s="91" t="str">
        <f t="shared" si="85"/>
        <v/>
      </c>
      <c r="CO64" s="91" t="str">
        <f t="shared" si="86"/>
        <v/>
      </c>
      <c r="CP64" s="91" t="str">
        <f t="shared" si="87"/>
        <v/>
      </c>
      <c r="CQ64" s="91" t="str">
        <f t="shared" si="88"/>
        <v/>
      </c>
      <c r="CR64" s="91" t="str">
        <f t="shared" si="89"/>
        <v/>
      </c>
      <c r="CS64" s="91" t="str">
        <f t="shared" si="90"/>
        <v/>
      </c>
      <c r="CT64" s="91" t="str">
        <f t="shared" si="91"/>
        <v/>
      </c>
      <c r="CV64" s="94"/>
      <c r="CW64" s="95">
        <v>52</v>
      </c>
      <c r="CX64" s="96">
        <f t="shared" si="116"/>
        <v>11.6</v>
      </c>
      <c r="CY64" s="97">
        <v>11.7</v>
      </c>
      <c r="CZ64" s="96">
        <f t="shared" si="117"/>
        <v>13.1</v>
      </c>
      <c r="DA64" s="97">
        <v>13.2</v>
      </c>
      <c r="DB64" s="97">
        <v>22.2</v>
      </c>
      <c r="DC64" s="96">
        <f t="shared" si="118"/>
        <v>22.3</v>
      </c>
      <c r="DD64" s="41"/>
      <c r="DE64" s="41"/>
      <c r="DF64" s="41"/>
      <c r="DG64" s="94"/>
      <c r="DH64" s="96">
        <f t="shared" si="119"/>
        <v>11.3</v>
      </c>
      <c r="DI64" s="97">
        <v>11.4</v>
      </c>
      <c r="DJ64" s="96">
        <f t="shared" si="120"/>
        <v>12.7</v>
      </c>
      <c r="DK64" s="97">
        <v>12.8</v>
      </c>
      <c r="DL64" s="97">
        <v>22.6</v>
      </c>
      <c r="DM64" s="96">
        <f t="shared" si="121"/>
        <v>22.7</v>
      </c>
      <c r="DN64" s="106">
        <v>22.7</v>
      </c>
      <c r="DO64" s="41"/>
      <c r="DP64" s="66" t="str">
        <f t="shared" si="92"/>
        <v/>
      </c>
      <c r="DQ64" s="60" t="str">
        <f t="shared" si="93"/>
        <v/>
      </c>
      <c r="DR64" s="60" t="str">
        <f t="shared" si="94"/>
        <v/>
      </c>
      <c r="DS64" s="60" t="str">
        <f t="shared" si="95"/>
        <v/>
      </c>
      <c r="DV64" s="119" t="s">
        <v>131</v>
      </c>
      <c r="DW64" s="120">
        <v>89</v>
      </c>
      <c r="DX64" s="121">
        <v>107.7</v>
      </c>
      <c r="DY64" s="145">
        <v>107.8</v>
      </c>
      <c r="DZ64" s="146">
        <v>113.1</v>
      </c>
      <c r="EA64" s="149">
        <v>113.2</v>
      </c>
      <c r="EB64" s="150">
        <v>134.9</v>
      </c>
      <c r="EC64" s="148">
        <v>135</v>
      </c>
      <c r="EE64" s="143" t="s">
        <v>131</v>
      </c>
      <c r="EF64" s="144">
        <v>89</v>
      </c>
      <c r="EG64" s="170">
        <v>106.3</v>
      </c>
      <c r="EH64" s="174">
        <v>106.4</v>
      </c>
      <c r="EI64" s="175">
        <v>111.9</v>
      </c>
      <c r="EJ64" s="180">
        <v>112</v>
      </c>
      <c r="EK64" s="181">
        <v>134.4</v>
      </c>
      <c r="EL64" s="173">
        <v>134.5</v>
      </c>
      <c r="EN64" s="154" t="str">
        <f t="shared" si="96"/>
        <v/>
      </c>
      <c r="EO64" s="154" t="e">
        <f t="shared" si="97"/>
        <v>#N/A</v>
      </c>
      <c r="EP64" s="154" t="e">
        <f t="shared" si="98"/>
        <v>#N/A</v>
      </c>
      <c r="EQ64" s="154" t="e">
        <f t="shared" si="99"/>
        <v>#N/A</v>
      </c>
      <c r="ES64" s="154" t="e">
        <f t="shared" si="100"/>
        <v>#N/A</v>
      </c>
      <c r="ET64" s="154" t="e">
        <f t="shared" si="101"/>
        <v>#N/A</v>
      </c>
      <c r="EU64" s="154" t="e">
        <f t="shared" si="102"/>
        <v>#N/A</v>
      </c>
      <c r="EW64" s="60">
        <f t="shared" si="103"/>
        <v>0</v>
      </c>
      <c r="EX64" s="60">
        <f t="shared" si="104"/>
        <v>0</v>
      </c>
      <c r="EY64" s="60">
        <f t="shared" si="105"/>
        <v>0</v>
      </c>
      <c r="EZ64" s="60">
        <f t="shared" si="106"/>
        <v>0</v>
      </c>
      <c r="FA64" s="60">
        <f t="shared" si="107"/>
        <v>0</v>
      </c>
      <c r="FB64" s="60">
        <f t="shared" si="108"/>
        <v>0</v>
      </c>
      <c r="FC64" s="60">
        <f t="shared" si="109"/>
        <v>0</v>
      </c>
      <c r="FD64" s="60">
        <f t="shared" si="110"/>
        <v>0</v>
      </c>
    </row>
    <row r="65" spans="1:174" ht="10.5" customHeight="1">
      <c r="A65" s="8" t="str">
        <f t="shared" si="111"/>
        <v/>
      </c>
      <c r="B65" s="9" t="str">
        <f t="shared" si="61"/>
        <v/>
      </c>
      <c r="C65" s="18"/>
      <c r="D65" s="16"/>
      <c r="E65" s="17"/>
      <c r="F65" s="17"/>
      <c r="G65" s="13"/>
      <c r="H65" s="14" t="str">
        <f t="shared" si="62"/>
        <v/>
      </c>
      <c r="I65" s="8" t="str">
        <f t="shared" si="63"/>
        <v/>
      </c>
      <c r="J65" s="9" t="str">
        <f t="shared" si="64"/>
        <v/>
      </c>
      <c r="K65" s="32" t="str">
        <f t="shared" si="65"/>
        <v/>
      </c>
      <c r="L65" s="33" t="str">
        <f t="shared" si="66"/>
        <v/>
      </c>
      <c r="M65" s="34" t="str">
        <f t="shared" si="67"/>
        <v/>
      </c>
      <c r="N65" s="35" t="str">
        <f t="shared" si="68"/>
        <v/>
      </c>
      <c r="O65" s="36"/>
      <c r="P65" s="36"/>
      <c r="Q65" s="36"/>
      <c r="R65" s="36"/>
      <c r="S65" s="36"/>
      <c r="T65" s="36"/>
      <c r="U65" s="36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53"/>
      <c r="AS65" s="53"/>
      <c r="AT65" s="53"/>
      <c r="AW65" s="5"/>
      <c r="AX65" s="5"/>
      <c r="AY65" s="60" t="str">
        <f t="shared" si="69"/>
        <v/>
      </c>
      <c r="AZ65" s="60" t="str">
        <f t="shared" si="70"/>
        <v/>
      </c>
      <c r="BA65" s="61" t="str">
        <f t="shared" si="71"/>
        <v/>
      </c>
      <c r="BB65" s="61" t="str">
        <f t="shared" si="72"/>
        <v/>
      </c>
      <c r="BC65" s="61" t="str">
        <f t="shared" si="73"/>
        <v/>
      </c>
      <c r="BD65" s="61" t="str">
        <f t="shared" si="74"/>
        <v/>
      </c>
      <c r="BE65" s="64" t="str">
        <f t="shared" si="75"/>
        <v/>
      </c>
      <c r="BF65" s="64" t="str">
        <f t="shared" si="76"/>
        <v/>
      </c>
      <c r="BG65" s="64" t="str">
        <f t="shared" si="77"/>
        <v/>
      </c>
      <c r="BH65" s="64" t="str">
        <f t="shared" si="78"/>
        <v/>
      </c>
      <c r="BI65" s="65"/>
      <c r="BJ65" s="66" t="str">
        <f t="shared" si="79"/>
        <v/>
      </c>
      <c r="BK65" s="71" t="s">
        <v>239</v>
      </c>
      <c r="BL65" s="70">
        <v>125</v>
      </c>
      <c r="BM65" s="5">
        <v>12.8</v>
      </c>
      <c r="BN65" s="77">
        <v>12.9</v>
      </c>
      <c r="BO65" s="78">
        <f t="shared" si="112"/>
        <v>13.8</v>
      </c>
      <c r="BP65" s="79">
        <v>13.9</v>
      </c>
      <c r="BQ65" s="80">
        <v>21.8</v>
      </c>
      <c r="BR65" s="81">
        <f t="shared" si="113"/>
        <v>21.9</v>
      </c>
      <c r="BS65" s="82">
        <v>26.9</v>
      </c>
      <c r="BT65" s="83">
        <v>27</v>
      </c>
      <c r="BU65" s="41"/>
      <c r="BV65" s="87" t="s">
        <v>239</v>
      </c>
      <c r="BW65" s="86">
        <v>125</v>
      </c>
      <c r="BX65" s="5">
        <v>12.4</v>
      </c>
      <c r="BY65" s="88">
        <v>12.5</v>
      </c>
      <c r="BZ65" s="78">
        <f t="shared" si="114"/>
        <v>13.5</v>
      </c>
      <c r="CA65" s="89">
        <v>13.6</v>
      </c>
      <c r="CB65" s="90">
        <v>23</v>
      </c>
      <c r="CC65" s="92">
        <f t="shared" si="115"/>
        <v>23.1</v>
      </c>
      <c r="CD65" s="93">
        <v>29.1</v>
      </c>
      <c r="CE65" s="83" t="s">
        <v>240</v>
      </c>
      <c r="CF65" s="5"/>
      <c r="CG65" s="91" t="str">
        <f t="shared" si="80"/>
        <v/>
      </c>
      <c r="CH65" s="91"/>
      <c r="CI65" s="91" t="str">
        <f t="shared" si="81"/>
        <v/>
      </c>
      <c r="CJ65" s="91"/>
      <c r="CK65" s="91" t="str">
        <f t="shared" si="82"/>
        <v/>
      </c>
      <c r="CL65" s="91" t="str">
        <f t="shared" si="83"/>
        <v/>
      </c>
      <c r="CM65" s="91" t="str">
        <f t="shared" si="84"/>
        <v/>
      </c>
      <c r="CN65" s="91" t="str">
        <f t="shared" si="85"/>
        <v/>
      </c>
      <c r="CO65" s="91" t="str">
        <f t="shared" si="86"/>
        <v/>
      </c>
      <c r="CP65" s="91" t="str">
        <f t="shared" si="87"/>
        <v/>
      </c>
      <c r="CQ65" s="91" t="str">
        <f t="shared" si="88"/>
        <v/>
      </c>
      <c r="CR65" s="91" t="str">
        <f t="shared" si="89"/>
        <v/>
      </c>
      <c r="CS65" s="91" t="str">
        <f t="shared" si="90"/>
        <v/>
      </c>
      <c r="CT65" s="91" t="str">
        <f t="shared" si="91"/>
        <v/>
      </c>
      <c r="CV65" s="94"/>
      <c r="CW65" s="95">
        <v>53</v>
      </c>
      <c r="CX65" s="96">
        <f t="shared" si="116"/>
        <v>11.7</v>
      </c>
      <c r="CY65" s="97">
        <v>11.8</v>
      </c>
      <c r="CZ65" s="96">
        <f t="shared" si="117"/>
        <v>13.2</v>
      </c>
      <c r="DA65" s="97">
        <v>13.3</v>
      </c>
      <c r="DB65" s="97">
        <v>22.4</v>
      </c>
      <c r="DC65" s="96">
        <f t="shared" si="118"/>
        <v>22.5</v>
      </c>
      <c r="DD65" s="41"/>
      <c r="DE65" s="41"/>
      <c r="DF65" s="41"/>
      <c r="DG65" s="94"/>
      <c r="DH65" s="96">
        <f t="shared" si="119"/>
        <v>11.4</v>
      </c>
      <c r="DI65" s="97">
        <v>11.5</v>
      </c>
      <c r="DJ65" s="96">
        <f t="shared" si="120"/>
        <v>12.8</v>
      </c>
      <c r="DK65" s="97">
        <v>12.9</v>
      </c>
      <c r="DL65" s="97">
        <v>22.9</v>
      </c>
      <c r="DM65" s="96">
        <f t="shared" si="121"/>
        <v>23</v>
      </c>
      <c r="DN65" s="106">
        <v>23</v>
      </c>
      <c r="DO65" s="41"/>
      <c r="DP65" s="66" t="str">
        <f t="shared" si="92"/>
        <v/>
      </c>
      <c r="DQ65" s="60" t="str">
        <f t="shared" si="93"/>
        <v/>
      </c>
      <c r="DR65" s="60" t="str">
        <f t="shared" si="94"/>
        <v/>
      </c>
      <c r="DS65" s="60" t="str">
        <f t="shared" si="95"/>
        <v/>
      </c>
      <c r="DV65" s="119" t="s">
        <v>135</v>
      </c>
      <c r="DW65" s="120">
        <v>90</v>
      </c>
      <c r="DX65" s="121">
        <v>108</v>
      </c>
      <c r="DY65" s="145">
        <v>108.1</v>
      </c>
      <c r="DZ65" s="146">
        <v>113.5</v>
      </c>
      <c r="EA65" s="149">
        <v>113.6</v>
      </c>
      <c r="EB65" s="150">
        <v>135.5</v>
      </c>
      <c r="EC65" s="148">
        <v>135.6</v>
      </c>
      <c r="EE65" s="143" t="s">
        <v>135</v>
      </c>
      <c r="EF65" s="144">
        <v>90</v>
      </c>
      <c r="EG65" s="170">
        <v>106.7</v>
      </c>
      <c r="EH65" s="174">
        <v>106.8</v>
      </c>
      <c r="EI65" s="175">
        <v>112.3</v>
      </c>
      <c r="EJ65" s="180">
        <v>112.4</v>
      </c>
      <c r="EK65" s="181">
        <v>134.9</v>
      </c>
      <c r="EL65" s="173">
        <v>135</v>
      </c>
      <c r="EN65" s="154" t="str">
        <f t="shared" si="96"/>
        <v/>
      </c>
      <c r="EO65" s="154" t="e">
        <f t="shared" si="97"/>
        <v>#N/A</v>
      </c>
      <c r="EP65" s="154" t="e">
        <f t="shared" si="98"/>
        <v>#N/A</v>
      </c>
      <c r="EQ65" s="154" t="e">
        <f t="shared" si="99"/>
        <v>#N/A</v>
      </c>
      <c r="ES65" s="154" t="e">
        <f t="shared" si="100"/>
        <v>#N/A</v>
      </c>
      <c r="ET65" s="154" t="e">
        <f t="shared" si="101"/>
        <v>#N/A</v>
      </c>
      <c r="EU65" s="154" t="e">
        <f t="shared" si="102"/>
        <v>#N/A</v>
      </c>
      <c r="EW65" s="60">
        <f t="shared" si="103"/>
        <v>0</v>
      </c>
      <c r="EX65" s="60">
        <f t="shared" si="104"/>
        <v>0</v>
      </c>
      <c r="EY65" s="60">
        <f t="shared" si="105"/>
        <v>0</v>
      </c>
      <c r="EZ65" s="60">
        <f t="shared" si="106"/>
        <v>0</v>
      </c>
      <c r="FA65" s="60">
        <f t="shared" si="107"/>
        <v>0</v>
      </c>
      <c r="FB65" s="60">
        <f t="shared" si="108"/>
        <v>0</v>
      </c>
      <c r="FC65" s="60">
        <f t="shared" si="109"/>
        <v>0</v>
      </c>
      <c r="FD65" s="60">
        <f t="shared" si="110"/>
        <v>0</v>
      </c>
    </row>
    <row r="66" spans="1:174" ht="10.5" customHeight="1">
      <c r="A66" s="8" t="str">
        <f t="shared" si="111"/>
        <v/>
      </c>
      <c r="B66" s="9" t="str">
        <f t="shared" si="61"/>
        <v/>
      </c>
      <c r="C66" s="18"/>
      <c r="D66" s="16"/>
      <c r="E66" s="17"/>
      <c r="F66" s="17"/>
      <c r="G66" s="13"/>
      <c r="H66" s="14" t="str">
        <f t="shared" si="62"/>
        <v/>
      </c>
      <c r="I66" s="8" t="str">
        <f t="shared" si="63"/>
        <v/>
      </c>
      <c r="J66" s="9" t="str">
        <f t="shared" si="64"/>
        <v/>
      </c>
      <c r="K66" s="32" t="str">
        <f t="shared" si="65"/>
        <v/>
      </c>
      <c r="L66" s="33" t="str">
        <f t="shared" si="66"/>
        <v/>
      </c>
      <c r="M66" s="34" t="str">
        <f t="shared" si="67"/>
        <v/>
      </c>
      <c r="N66" s="35" t="str">
        <f t="shared" si="68"/>
        <v/>
      </c>
      <c r="O66" s="36"/>
      <c r="P66" s="36"/>
      <c r="Q66" s="36"/>
      <c r="R66" s="36"/>
      <c r="S66" s="36"/>
      <c r="T66" s="36"/>
      <c r="U66" s="36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53"/>
      <c r="AS66" s="53"/>
      <c r="AT66" s="53"/>
      <c r="AW66" s="5"/>
      <c r="AX66" s="5"/>
      <c r="AY66" s="60" t="str">
        <f t="shared" si="69"/>
        <v/>
      </c>
      <c r="AZ66" s="60" t="str">
        <f t="shared" si="70"/>
        <v/>
      </c>
      <c r="BA66" s="61" t="str">
        <f t="shared" si="71"/>
        <v/>
      </c>
      <c r="BB66" s="61" t="str">
        <f t="shared" si="72"/>
        <v/>
      </c>
      <c r="BC66" s="61" t="str">
        <f t="shared" si="73"/>
        <v/>
      </c>
      <c r="BD66" s="61" t="str">
        <f t="shared" si="74"/>
        <v/>
      </c>
      <c r="BE66" s="64" t="str">
        <f t="shared" si="75"/>
        <v/>
      </c>
      <c r="BF66" s="64" t="str">
        <f t="shared" si="76"/>
        <v/>
      </c>
      <c r="BG66" s="64" t="str">
        <f t="shared" si="77"/>
        <v/>
      </c>
      <c r="BH66" s="64" t="str">
        <f t="shared" si="78"/>
        <v/>
      </c>
      <c r="BI66" s="65"/>
      <c r="BJ66" s="66" t="str">
        <f t="shared" si="79"/>
        <v/>
      </c>
      <c r="BK66" s="71" t="s">
        <v>241</v>
      </c>
      <c r="BL66" s="70">
        <v>126</v>
      </c>
      <c r="BM66" s="5">
        <v>12.8</v>
      </c>
      <c r="BN66" s="77">
        <v>12.9</v>
      </c>
      <c r="BO66" s="78">
        <f t="shared" si="112"/>
        <v>13.8</v>
      </c>
      <c r="BP66" s="79">
        <v>13.9</v>
      </c>
      <c r="BQ66" s="80">
        <v>21.9</v>
      </c>
      <c r="BR66" s="81">
        <f t="shared" si="113"/>
        <v>22</v>
      </c>
      <c r="BS66" s="82">
        <v>27</v>
      </c>
      <c r="BT66" s="83">
        <v>27.1</v>
      </c>
      <c r="BU66" s="41"/>
      <c r="BV66" s="87" t="s">
        <v>241</v>
      </c>
      <c r="BW66" s="86">
        <v>126</v>
      </c>
      <c r="BX66" s="5">
        <v>12.4</v>
      </c>
      <c r="BY66" s="88">
        <v>12.5</v>
      </c>
      <c r="BZ66" s="78">
        <f t="shared" si="114"/>
        <v>13.6</v>
      </c>
      <c r="CA66" s="89">
        <v>13.7</v>
      </c>
      <c r="CB66" s="90">
        <v>23.1</v>
      </c>
      <c r="CC66" s="92">
        <f t="shared" si="115"/>
        <v>23.2</v>
      </c>
      <c r="CD66" s="93">
        <v>29.3</v>
      </c>
      <c r="CE66" s="83" t="s">
        <v>242</v>
      </c>
      <c r="CF66" s="5"/>
      <c r="CG66" s="91" t="str">
        <f t="shared" si="80"/>
        <v/>
      </c>
      <c r="CH66" s="91"/>
      <c r="CI66" s="91" t="str">
        <f t="shared" si="81"/>
        <v/>
      </c>
      <c r="CJ66" s="91"/>
      <c r="CK66" s="91" t="str">
        <f t="shared" si="82"/>
        <v/>
      </c>
      <c r="CL66" s="91" t="str">
        <f t="shared" si="83"/>
        <v/>
      </c>
      <c r="CM66" s="91" t="str">
        <f t="shared" si="84"/>
        <v/>
      </c>
      <c r="CN66" s="91" t="str">
        <f t="shared" si="85"/>
        <v/>
      </c>
      <c r="CO66" s="91" t="str">
        <f t="shared" si="86"/>
        <v/>
      </c>
      <c r="CP66" s="91" t="str">
        <f t="shared" si="87"/>
        <v/>
      </c>
      <c r="CQ66" s="91" t="str">
        <f t="shared" si="88"/>
        <v/>
      </c>
      <c r="CR66" s="91" t="str">
        <f t="shared" si="89"/>
        <v/>
      </c>
      <c r="CS66" s="91" t="str">
        <f t="shared" si="90"/>
        <v/>
      </c>
      <c r="CT66" s="91" t="str">
        <f t="shared" si="91"/>
        <v/>
      </c>
      <c r="CV66" s="94"/>
      <c r="CW66" s="95">
        <v>54</v>
      </c>
      <c r="CX66" s="96">
        <f t="shared" si="116"/>
        <v>11.8</v>
      </c>
      <c r="CY66" s="97">
        <v>11.9</v>
      </c>
      <c r="CZ66" s="96">
        <f t="shared" si="117"/>
        <v>13.3</v>
      </c>
      <c r="DA66" s="97">
        <v>13.4</v>
      </c>
      <c r="DB66" s="97">
        <v>22.7</v>
      </c>
      <c r="DC66" s="96">
        <f t="shared" si="118"/>
        <v>22.8</v>
      </c>
      <c r="DD66" s="41"/>
      <c r="DE66" s="41"/>
      <c r="DF66" s="41"/>
      <c r="DG66" s="94"/>
      <c r="DH66" s="96">
        <f t="shared" si="119"/>
        <v>11.5</v>
      </c>
      <c r="DI66" s="97">
        <v>11.6</v>
      </c>
      <c r="DJ66" s="96">
        <f t="shared" si="120"/>
        <v>12.9</v>
      </c>
      <c r="DK66" s="97">
        <v>13</v>
      </c>
      <c r="DL66" s="97">
        <v>23.2</v>
      </c>
      <c r="DM66" s="96">
        <f t="shared" si="121"/>
        <v>23.3</v>
      </c>
      <c r="DN66" s="106">
        <v>23.3</v>
      </c>
      <c r="DO66" s="41"/>
      <c r="DP66" s="66" t="str">
        <f t="shared" si="92"/>
        <v/>
      </c>
      <c r="DQ66" s="60" t="str">
        <f t="shared" si="93"/>
        <v/>
      </c>
      <c r="DR66" s="60" t="str">
        <f t="shared" si="94"/>
        <v/>
      </c>
      <c r="DS66" s="60" t="str">
        <f t="shared" si="95"/>
        <v/>
      </c>
      <c r="DV66" s="119" t="s">
        <v>139</v>
      </c>
      <c r="DW66" s="120">
        <v>91</v>
      </c>
      <c r="DX66" s="121">
        <v>108.4</v>
      </c>
      <c r="DY66" s="145">
        <v>108.5</v>
      </c>
      <c r="DZ66" s="146">
        <v>113.9</v>
      </c>
      <c r="EA66" s="149">
        <v>114</v>
      </c>
      <c r="EB66" s="150">
        <v>136</v>
      </c>
      <c r="EC66" s="148">
        <v>136.1</v>
      </c>
      <c r="EE66" s="143" t="s">
        <v>139</v>
      </c>
      <c r="EF66" s="144">
        <v>91</v>
      </c>
      <c r="EG66" s="170">
        <v>107.1</v>
      </c>
      <c r="EH66" s="174">
        <v>107.2</v>
      </c>
      <c r="EI66" s="175">
        <v>112.7</v>
      </c>
      <c r="EJ66" s="180">
        <v>112.8</v>
      </c>
      <c r="EK66" s="181">
        <v>135.5</v>
      </c>
      <c r="EL66" s="173">
        <v>135.6</v>
      </c>
      <c r="EN66" s="154" t="str">
        <f t="shared" si="96"/>
        <v/>
      </c>
      <c r="EO66" s="154" t="e">
        <f t="shared" si="97"/>
        <v>#N/A</v>
      </c>
      <c r="EP66" s="154" t="e">
        <f t="shared" si="98"/>
        <v>#N/A</v>
      </c>
      <c r="EQ66" s="154" t="e">
        <f t="shared" si="99"/>
        <v>#N/A</v>
      </c>
      <c r="ES66" s="154" t="e">
        <f t="shared" si="100"/>
        <v>#N/A</v>
      </c>
      <c r="ET66" s="154" t="e">
        <f t="shared" si="101"/>
        <v>#N/A</v>
      </c>
      <c r="EU66" s="154" t="e">
        <f t="shared" si="102"/>
        <v>#N/A</v>
      </c>
      <c r="EW66" s="60">
        <f t="shared" si="103"/>
        <v>0</v>
      </c>
      <c r="EX66" s="60">
        <f t="shared" si="104"/>
        <v>0</v>
      </c>
      <c r="EY66" s="60">
        <f t="shared" si="105"/>
        <v>0</v>
      </c>
      <c r="EZ66" s="60">
        <f t="shared" si="106"/>
        <v>0</v>
      </c>
      <c r="FA66" s="60">
        <f t="shared" si="107"/>
        <v>0</v>
      </c>
      <c r="FB66" s="60">
        <f t="shared" si="108"/>
        <v>0</v>
      </c>
      <c r="FC66" s="60">
        <f t="shared" si="109"/>
        <v>0</v>
      </c>
      <c r="FD66" s="60">
        <f t="shared" si="110"/>
        <v>0</v>
      </c>
    </row>
    <row r="67" spans="1:174" ht="10.5" customHeight="1">
      <c r="A67" s="8" t="str">
        <f t="shared" si="111"/>
        <v/>
      </c>
      <c r="B67" s="9" t="str">
        <f t="shared" si="61"/>
        <v/>
      </c>
      <c r="C67" s="18"/>
      <c r="D67" s="16"/>
      <c r="E67" s="17"/>
      <c r="F67" s="17"/>
      <c r="G67" s="13"/>
      <c r="H67" s="14" t="str">
        <f t="shared" si="62"/>
        <v/>
      </c>
      <c r="I67" s="8" t="str">
        <f t="shared" si="63"/>
        <v/>
      </c>
      <c r="J67" s="9" t="str">
        <f t="shared" si="64"/>
        <v/>
      </c>
      <c r="K67" s="32" t="str">
        <f t="shared" si="65"/>
        <v/>
      </c>
      <c r="L67" s="33" t="str">
        <f t="shared" si="66"/>
        <v/>
      </c>
      <c r="M67" s="34" t="str">
        <f t="shared" si="67"/>
        <v/>
      </c>
      <c r="N67" s="35" t="str">
        <f t="shared" si="68"/>
        <v/>
      </c>
      <c r="O67" s="36"/>
      <c r="P67" s="36"/>
      <c r="Q67" s="36"/>
      <c r="R67" s="36"/>
      <c r="S67" s="36"/>
      <c r="T67" s="36"/>
      <c r="U67" s="36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53"/>
      <c r="AS67" s="53"/>
      <c r="AT67" s="53"/>
      <c r="AW67" s="5"/>
      <c r="AX67" s="5"/>
      <c r="AY67" s="60" t="str">
        <f t="shared" si="69"/>
        <v/>
      </c>
      <c r="AZ67" s="60" t="str">
        <f t="shared" si="70"/>
        <v/>
      </c>
      <c r="BA67" s="61" t="str">
        <f t="shared" si="71"/>
        <v/>
      </c>
      <c r="BB67" s="61" t="str">
        <f t="shared" si="72"/>
        <v/>
      </c>
      <c r="BC67" s="61" t="str">
        <f t="shared" si="73"/>
        <v/>
      </c>
      <c r="BD67" s="61" t="str">
        <f t="shared" si="74"/>
        <v/>
      </c>
      <c r="BE67" s="64" t="str">
        <f t="shared" si="75"/>
        <v/>
      </c>
      <c r="BF67" s="64" t="str">
        <f t="shared" si="76"/>
        <v/>
      </c>
      <c r="BG67" s="64" t="str">
        <f t="shared" si="77"/>
        <v/>
      </c>
      <c r="BH67" s="64" t="str">
        <f t="shared" si="78"/>
        <v/>
      </c>
      <c r="BI67" s="65"/>
      <c r="BJ67" s="66" t="str">
        <f t="shared" si="79"/>
        <v/>
      </c>
      <c r="BK67" s="71" t="s">
        <v>243</v>
      </c>
      <c r="BL67" s="70">
        <v>127</v>
      </c>
      <c r="BM67" s="5">
        <v>12.8</v>
      </c>
      <c r="BN67" s="77">
        <v>12.9</v>
      </c>
      <c r="BO67" s="78">
        <f t="shared" si="112"/>
        <v>13.8</v>
      </c>
      <c r="BP67" s="79">
        <v>13.9</v>
      </c>
      <c r="BQ67" s="80">
        <v>22</v>
      </c>
      <c r="BR67" s="81">
        <f t="shared" si="113"/>
        <v>22.1</v>
      </c>
      <c r="BS67" s="82">
        <v>27.2</v>
      </c>
      <c r="BT67" s="83">
        <v>27.3</v>
      </c>
      <c r="BU67" s="41"/>
      <c r="BV67" s="87" t="s">
        <v>243</v>
      </c>
      <c r="BW67" s="86">
        <v>127</v>
      </c>
      <c r="BX67" s="5">
        <v>12.5</v>
      </c>
      <c r="BY67" s="88">
        <v>12.6</v>
      </c>
      <c r="BZ67" s="78">
        <f t="shared" si="114"/>
        <v>13.6</v>
      </c>
      <c r="CA67" s="89">
        <v>13.7</v>
      </c>
      <c r="CB67" s="90">
        <v>23.2</v>
      </c>
      <c r="CC67" s="92">
        <f t="shared" si="115"/>
        <v>23.3</v>
      </c>
      <c r="CD67" s="93">
        <v>29.4</v>
      </c>
      <c r="CE67" s="83" t="s">
        <v>244</v>
      </c>
      <c r="CF67" s="5"/>
      <c r="CG67" s="91" t="str">
        <f t="shared" si="80"/>
        <v/>
      </c>
      <c r="CH67" s="91"/>
      <c r="CI67" s="91" t="str">
        <f t="shared" si="81"/>
        <v/>
      </c>
      <c r="CJ67" s="91"/>
      <c r="CK67" s="91" t="str">
        <f t="shared" si="82"/>
        <v/>
      </c>
      <c r="CL67" s="91" t="str">
        <f t="shared" si="83"/>
        <v/>
      </c>
      <c r="CM67" s="91" t="str">
        <f t="shared" si="84"/>
        <v/>
      </c>
      <c r="CN67" s="91" t="str">
        <f t="shared" si="85"/>
        <v/>
      </c>
      <c r="CO67" s="91" t="str">
        <f t="shared" si="86"/>
        <v/>
      </c>
      <c r="CP67" s="91" t="str">
        <f t="shared" si="87"/>
        <v/>
      </c>
      <c r="CQ67" s="91" t="str">
        <f t="shared" si="88"/>
        <v/>
      </c>
      <c r="CR67" s="91" t="str">
        <f t="shared" si="89"/>
        <v/>
      </c>
      <c r="CS67" s="91" t="str">
        <f t="shared" si="90"/>
        <v/>
      </c>
      <c r="CT67" s="91" t="str">
        <f t="shared" si="91"/>
        <v/>
      </c>
      <c r="CV67" s="94"/>
      <c r="CW67" s="95">
        <v>55</v>
      </c>
      <c r="CX67" s="96">
        <f t="shared" si="116"/>
        <v>11.9</v>
      </c>
      <c r="CY67" s="97">
        <v>12</v>
      </c>
      <c r="CZ67" s="96">
        <f t="shared" si="117"/>
        <v>13.4</v>
      </c>
      <c r="DA67" s="97">
        <v>13.5</v>
      </c>
      <c r="DB67" s="97">
        <v>22.9</v>
      </c>
      <c r="DC67" s="96">
        <f t="shared" si="118"/>
        <v>23</v>
      </c>
      <c r="DD67" s="41"/>
      <c r="DE67" s="41"/>
      <c r="DF67" s="41"/>
      <c r="DG67" s="94"/>
      <c r="DH67" s="96">
        <f t="shared" si="119"/>
        <v>11.6</v>
      </c>
      <c r="DI67" s="97">
        <v>11.7</v>
      </c>
      <c r="DJ67" s="96">
        <f t="shared" si="120"/>
        <v>13.1</v>
      </c>
      <c r="DK67" s="97">
        <v>13.2</v>
      </c>
      <c r="DL67" s="97">
        <v>23.5</v>
      </c>
      <c r="DM67" s="96">
        <f t="shared" si="121"/>
        <v>23.6</v>
      </c>
      <c r="DN67" s="106">
        <v>23.6</v>
      </c>
      <c r="DO67" s="41"/>
      <c r="DP67" s="66" t="str">
        <f t="shared" si="92"/>
        <v/>
      </c>
      <c r="DQ67" s="60" t="str">
        <f t="shared" si="93"/>
        <v/>
      </c>
      <c r="DR67" s="60" t="str">
        <f t="shared" si="94"/>
        <v/>
      </c>
      <c r="DS67" s="60" t="str">
        <f t="shared" si="95"/>
        <v/>
      </c>
      <c r="DV67" s="119" t="s">
        <v>143</v>
      </c>
      <c r="DW67" s="120">
        <v>92</v>
      </c>
      <c r="DX67" s="121">
        <v>108.8</v>
      </c>
      <c r="DY67" s="145">
        <v>108.9</v>
      </c>
      <c r="DZ67" s="146">
        <v>114.3</v>
      </c>
      <c r="EA67" s="149">
        <v>114.4</v>
      </c>
      <c r="EB67" s="150">
        <v>136.5</v>
      </c>
      <c r="EC67" s="148">
        <v>136.6</v>
      </c>
      <c r="EE67" s="143" t="s">
        <v>143</v>
      </c>
      <c r="EF67" s="144">
        <v>92</v>
      </c>
      <c r="EG67" s="170">
        <v>107.5</v>
      </c>
      <c r="EH67" s="174">
        <v>107.6</v>
      </c>
      <c r="EI67" s="175">
        <v>113.1</v>
      </c>
      <c r="EJ67" s="180">
        <v>113.2</v>
      </c>
      <c r="EK67" s="181">
        <v>136</v>
      </c>
      <c r="EL67" s="173">
        <v>136.1</v>
      </c>
      <c r="EN67" s="154" t="str">
        <f t="shared" si="96"/>
        <v/>
      </c>
      <c r="EO67" s="154" t="e">
        <f t="shared" si="97"/>
        <v>#N/A</v>
      </c>
      <c r="EP67" s="154" t="e">
        <f t="shared" si="98"/>
        <v>#N/A</v>
      </c>
      <c r="EQ67" s="154" t="e">
        <f t="shared" si="99"/>
        <v>#N/A</v>
      </c>
      <c r="ES67" s="154" t="e">
        <f t="shared" si="100"/>
        <v>#N/A</v>
      </c>
      <c r="ET67" s="154" t="e">
        <f t="shared" si="101"/>
        <v>#N/A</v>
      </c>
      <c r="EU67" s="154" t="e">
        <f t="shared" si="102"/>
        <v>#N/A</v>
      </c>
      <c r="EW67" s="60">
        <f t="shared" si="103"/>
        <v>0</v>
      </c>
      <c r="EX67" s="60">
        <f t="shared" si="104"/>
        <v>0</v>
      </c>
      <c r="EY67" s="60">
        <f t="shared" si="105"/>
        <v>0</v>
      </c>
      <c r="EZ67" s="60">
        <f t="shared" si="106"/>
        <v>0</v>
      </c>
      <c r="FA67" s="60">
        <f t="shared" si="107"/>
        <v>0</v>
      </c>
      <c r="FB67" s="60">
        <f t="shared" si="108"/>
        <v>0</v>
      </c>
      <c r="FC67" s="60">
        <f t="shared" si="109"/>
        <v>0</v>
      </c>
      <c r="FD67" s="60">
        <f t="shared" si="110"/>
        <v>0</v>
      </c>
    </row>
    <row r="68" spans="1:174" ht="10.5" customHeight="1">
      <c r="A68" s="8" t="str">
        <f t="shared" si="111"/>
        <v/>
      </c>
      <c r="B68" s="9" t="str">
        <f t="shared" si="61"/>
        <v/>
      </c>
      <c r="C68" s="18"/>
      <c r="D68" s="16"/>
      <c r="E68" s="17"/>
      <c r="F68" s="17"/>
      <c r="G68" s="13"/>
      <c r="H68" s="14" t="str">
        <f t="shared" si="62"/>
        <v/>
      </c>
      <c r="I68" s="8" t="str">
        <f t="shared" si="63"/>
        <v/>
      </c>
      <c r="J68" s="9" t="str">
        <f t="shared" si="64"/>
        <v/>
      </c>
      <c r="K68" s="32" t="str">
        <f t="shared" si="65"/>
        <v/>
      </c>
      <c r="L68" s="33" t="str">
        <f t="shared" si="66"/>
        <v/>
      </c>
      <c r="M68" s="34" t="str">
        <f t="shared" si="67"/>
        <v/>
      </c>
      <c r="N68" s="35" t="str">
        <f t="shared" si="68"/>
        <v/>
      </c>
      <c r="O68" s="36"/>
      <c r="P68" s="36"/>
      <c r="Q68" s="36"/>
      <c r="R68" s="36"/>
      <c r="S68" s="36"/>
      <c r="T68" s="36"/>
      <c r="U68" s="36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53"/>
      <c r="AS68" s="53"/>
      <c r="AT68" s="53"/>
      <c r="AW68" s="5"/>
      <c r="AX68" s="5"/>
      <c r="AY68" s="60" t="str">
        <f t="shared" si="69"/>
        <v/>
      </c>
      <c r="AZ68" s="60" t="str">
        <f t="shared" si="70"/>
        <v/>
      </c>
      <c r="BA68" s="61" t="str">
        <f t="shared" si="71"/>
        <v/>
      </c>
      <c r="BB68" s="61" t="str">
        <f t="shared" si="72"/>
        <v/>
      </c>
      <c r="BC68" s="61" t="str">
        <f t="shared" si="73"/>
        <v/>
      </c>
      <c r="BD68" s="61" t="str">
        <f t="shared" si="74"/>
        <v/>
      </c>
      <c r="BE68" s="64" t="str">
        <f t="shared" si="75"/>
        <v/>
      </c>
      <c r="BF68" s="64" t="str">
        <f t="shared" si="76"/>
        <v/>
      </c>
      <c r="BG68" s="64" t="str">
        <f t="shared" si="77"/>
        <v/>
      </c>
      <c r="BH68" s="64" t="str">
        <f t="shared" si="78"/>
        <v/>
      </c>
      <c r="BI68" s="65"/>
      <c r="BJ68" s="66" t="str">
        <f t="shared" si="79"/>
        <v/>
      </c>
      <c r="BK68" s="71" t="s">
        <v>245</v>
      </c>
      <c r="BL68" s="70">
        <v>128</v>
      </c>
      <c r="BM68" s="5">
        <v>12.9</v>
      </c>
      <c r="BN68" s="77">
        <v>13</v>
      </c>
      <c r="BO68" s="78">
        <f t="shared" si="112"/>
        <v>13.8</v>
      </c>
      <c r="BP68" s="79">
        <v>13.9</v>
      </c>
      <c r="BQ68" s="80">
        <v>22.1</v>
      </c>
      <c r="BR68" s="81">
        <f t="shared" si="113"/>
        <v>22.2</v>
      </c>
      <c r="BS68" s="82">
        <v>27.4</v>
      </c>
      <c r="BT68" s="83">
        <v>27.5</v>
      </c>
      <c r="BU68" s="41"/>
      <c r="BV68" s="87" t="s">
        <v>245</v>
      </c>
      <c r="BW68" s="86">
        <v>128</v>
      </c>
      <c r="BX68" s="5">
        <v>12.5</v>
      </c>
      <c r="BY68" s="88">
        <v>12.6</v>
      </c>
      <c r="BZ68" s="78">
        <f t="shared" si="114"/>
        <v>13.6</v>
      </c>
      <c r="CA68" s="89">
        <v>13.7</v>
      </c>
      <c r="CB68" s="90">
        <v>23.3</v>
      </c>
      <c r="CC68" s="92">
        <f t="shared" si="115"/>
        <v>23.4</v>
      </c>
      <c r="CD68" s="93">
        <v>29.6</v>
      </c>
      <c r="CE68" s="83" t="s">
        <v>246</v>
      </c>
      <c r="CF68" s="5"/>
      <c r="CG68" s="91" t="str">
        <f t="shared" si="80"/>
        <v/>
      </c>
      <c r="CH68" s="91"/>
      <c r="CI68" s="91" t="str">
        <f t="shared" si="81"/>
        <v/>
      </c>
      <c r="CJ68" s="91"/>
      <c r="CK68" s="91" t="str">
        <f t="shared" si="82"/>
        <v/>
      </c>
      <c r="CL68" s="91" t="str">
        <f t="shared" si="83"/>
        <v/>
      </c>
      <c r="CM68" s="91" t="str">
        <f t="shared" si="84"/>
        <v/>
      </c>
      <c r="CN68" s="91" t="str">
        <f t="shared" si="85"/>
        <v/>
      </c>
      <c r="CO68" s="91" t="str">
        <f t="shared" si="86"/>
        <v/>
      </c>
      <c r="CP68" s="91" t="str">
        <f t="shared" si="87"/>
        <v/>
      </c>
      <c r="CQ68" s="91" t="str">
        <f t="shared" si="88"/>
        <v/>
      </c>
      <c r="CR68" s="91" t="str">
        <f t="shared" si="89"/>
        <v/>
      </c>
      <c r="CS68" s="91" t="str">
        <f t="shared" si="90"/>
        <v/>
      </c>
      <c r="CT68" s="91" t="str">
        <f t="shared" si="91"/>
        <v/>
      </c>
      <c r="CV68" s="94"/>
      <c r="CW68" s="95">
        <v>56</v>
      </c>
      <c r="CX68" s="96">
        <f t="shared" si="116"/>
        <v>12</v>
      </c>
      <c r="CY68" s="97">
        <v>12.1</v>
      </c>
      <c r="CZ68" s="96">
        <f t="shared" si="117"/>
        <v>13.5</v>
      </c>
      <c r="DA68" s="97">
        <v>13.6</v>
      </c>
      <c r="DB68" s="97">
        <v>23.2</v>
      </c>
      <c r="DC68" s="96">
        <f t="shared" si="118"/>
        <v>23.3</v>
      </c>
      <c r="DD68" s="41"/>
      <c r="DE68" s="41"/>
      <c r="DF68" s="41"/>
      <c r="DG68" s="94"/>
      <c r="DH68" s="96">
        <f t="shared" si="119"/>
        <v>11.7</v>
      </c>
      <c r="DI68" s="97">
        <v>11.8</v>
      </c>
      <c r="DJ68" s="96">
        <f t="shared" si="120"/>
        <v>13.2</v>
      </c>
      <c r="DK68" s="97">
        <v>13.3</v>
      </c>
      <c r="DL68" s="97">
        <v>23.8</v>
      </c>
      <c r="DM68" s="96">
        <f t="shared" si="121"/>
        <v>23.9</v>
      </c>
      <c r="DN68" s="106">
        <v>23.9</v>
      </c>
      <c r="DO68" s="41"/>
      <c r="DP68" s="66" t="str">
        <f t="shared" si="92"/>
        <v/>
      </c>
      <c r="DQ68" s="60" t="str">
        <f t="shared" si="93"/>
        <v/>
      </c>
      <c r="DR68" s="60" t="str">
        <f t="shared" si="94"/>
        <v/>
      </c>
      <c r="DS68" s="60" t="str">
        <f t="shared" si="95"/>
        <v/>
      </c>
      <c r="DV68" s="119" t="s">
        <v>147</v>
      </c>
      <c r="DW68" s="120">
        <v>93</v>
      </c>
      <c r="DX68" s="121">
        <v>109.1</v>
      </c>
      <c r="DY68" s="145">
        <v>109.2</v>
      </c>
      <c r="DZ68" s="146">
        <v>114.7</v>
      </c>
      <c r="EA68" s="149">
        <v>114.8</v>
      </c>
      <c r="EB68" s="150">
        <v>137</v>
      </c>
      <c r="EC68" s="148">
        <v>137.1</v>
      </c>
      <c r="EE68" s="143" t="s">
        <v>147</v>
      </c>
      <c r="EF68" s="144">
        <v>93</v>
      </c>
      <c r="EG68" s="170">
        <v>107.9</v>
      </c>
      <c r="EH68" s="174">
        <v>108</v>
      </c>
      <c r="EI68" s="175">
        <v>113.6</v>
      </c>
      <c r="EJ68" s="180">
        <v>113.7</v>
      </c>
      <c r="EK68" s="181">
        <v>136.5</v>
      </c>
      <c r="EL68" s="173">
        <v>136.6</v>
      </c>
      <c r="EN68" s="154" t="str">
        <f t="shared" si="96"/>
        <v/>
      </c>
      <c r="EO68" s="154" t="e">
        <f t="shared" si="97"/>
        <v>#N/A</v>
      </c>
      <c r="EP68" s="154" t="e">
        <f t="shared" si="98"/>
        <v>#N/A</v>
      </c>
      <c r="EQ68" s="154" t="e">
        <f t="shared" si="99"/>
        <v>#N/A</v>
      </c>
      <c r="ES68" s="154" t="e">
        <f t="shared" si="100"/>
        <v>#N/A</v>
      </c>
      <c r="ET68" s="154" t="e">
        <f t="shared" si="101"/>
        <v>#N/A</v>
      </c>
      <c r="EU68" s="154" t="e">
        <f t="shared" si="102"/>
        <v>#N/A</v>
      </c>
      <c r="EW68" s="60">
        <f t="shared" si="103"/>
        <v>0</v>
      </c>
      <c r="EX68" s="60">
        <f t="shared" si="104"/>
        <v>0</v>
      </c>
      <c r="EY68" s="60">
        <f t="shared" si="105"/>
        <v>0</v>
      </c>
      <c r="EZ68" s="60">
        <f t="shared" si="106"/>
        <v>0</v>
      </c>
      <c r="FA68" s="60">
        <f t="shared" si="107"/>
        <v>0</v>
      </c>
      <c r="FB68" s="60">
        <f t="shared" si="108"/>
        <v>0</v>
      </c>
      <c r="FC68" s="60">
        <f t="shared" si="109"/>
        <v>0</v>
      </c>
      <c r="FD68" s="60">
        <f t="shared" si="110"/>
        <v>0</v>
      </c>
    </row>
    <row r="69" spans="1:174" ht="10.5" customHeight="1">
      <c r="A69" s="8" t="str">
        <f t="shared" si="111"/>
        <v/>
      </c>
      <c r="B69" s="9" t="str">
        <f t="shared" si="61"/>
        <v/>
      </c>
      <c r="C69" s="18"/>
      <c r="D69" s="16"/>
      <c r="E69" s="17"/>
      <c r="F69" s="17"/>
      <c r="G69" s="13"/>
      <c r="H69" s="14" t="str">
        <f t="shared" si="62"/>
        <v/>
      </c>
      <c r="I69" s="8" t="str">
        <f t="shared" si="63"/>
        <v/>
      </c>
      <c r="J69" s="9" t="str">
        <f t="shared" si="64"/>
        <v/>
      </c>
      <c r="K69" s="32" t="str">
        <f t="shared" si="65"/>
        <v/>
      </c>
      <c r="L69" s="33" t="str">
        <f t="shared" si="66"/>
        <v/>
      </c>
      <c r="M69" s="34" t="str">
        <f t="shared" si="67"/>
        <v/>
      </c>
      <c r="N69" s="35" t="str">
        <f t="shared" si="68"/>
        <v/>
      </c>
      <c r="O69" s="36"/>
      <c r="P69" s="36"/>
      <c r="Q69" s="36"/>
      <c r="R69" s="36"/>
      <c r="S69" s="36"/>
      <c r="T69" s="36"/>
      <c r="U69" s="36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53"/>
      <c r="AS69" s="53"/>
      <c r="AT69" s="53"/>
      <c r="AW69" s="5"/>
      <c r="AX69" s="5"/>
      <c r="AY69" s="60" t="str">
        <f t="shared" si="69"/>
        <v/>
      </c>
      <c r="AZ69" s="60" t="str">
        <f t="shared" si="70"/>
        <v/>
      </c>
      <c r="BA69" s="61" t="str">
        <f t="shared" si="71"/>
        <v/>
      </c>
      <c r="BB69" s="61" t="str">
        <f t="shared" si="72"/>
        <v/>
      </c>
      <c r="BC69" s="61" t="str">
        <f t="shared" si="73"/>
        <v/>
      </c>
      <c r="BD69" s="61" t="str">
        <f t="shared" si="74"/>
        <v/>
      </c>
      <c r="BE69" s="64" t="str">
        <f t="shared" si="75"/>
        <v/>
      </c>
      <c r="BF69" s="64" t="str">
        <f t="shared" si="76"/>
        <v/>
      </c>
      <c r="BG69" s="64" t="str">
        <f t="shared" si="77"/>
        <v/>
      </c>
      <c r="BH69" s="64" t="str">
        <f t="shared" si="78"/>
        <v/>
      </c>
      <c r="BI69" s="65"/>
      <c r="BJ69" s="66" t="str">
        <f t="shared" si="79"/>
        <v/>
      </c>
      <c r="BK69" s="71" t="s">
        <v>247</v>
      </c>
      <c r="BL69" s="70">
        <v>129</v>
      </c>
      <c r="BM69" s="5">
        <v>12.9</v>
      </c>
      <c r="BN69" s="77">
        <v>13</v>
      </c>
      <c r="BO69" s="78">
        <f t="shared" si="112"/>
        <v>13.9</v>
      </c>
      <c r="BP69" s="79">
        <v>14</v>
      </c>
      <c r="BQ69" s="80">
        <v>22.2</v>
      </c>
      <c r="BR69" s="81">
        <f t="shared" si="113"/>
        <v>22.3</v>
      </c>
      <c r="BS69" s="82">
        <v>27.5</v>
      </c>
      <c r="BT69" s="83">
        <v>27.6</v>
      </c>
      <c r="BU69" s="41"/>
      <c r="BV69" s="87" t="s">
        <v>247</v>
      </c>
      <c r="BW69" s="86">
        <v>129</v>
      </c>
      <c r="BX69" s="5">
        <v>12.5</v>
      </c>
      <c r="BY69" s="88">
        <v>12.6</v>
      </c>
      <c r="BZ69" s="78">
        <f t="shared" si="114"/>
        <v>13.7</v>
      </c>
      <c r="CA69" s="89">
        <v>13.8</v>
      </c>
      <c r="CB69" s="90">
        <v>23.4</v>
      </c>
      <c r="CC69" s="92">
        <f t="shared" si="115"/>
        <v>23.5</v>
      </c>
      <c r="CD69" s="93">
        <v>29.7</v>
      </c>
      <c r="CE69" s="83" t="s">
        <v>248</v>
      </c>
      <c r="CF69" s="5"/>
      <c r="CG69" s="91" t="str">
        <f t="shared" si="80"/>
        <v/>
      </c>
      <c r="CH69" s="91"/>
      <c r="CI69" s="91" t="str">
        <f t="shared" si="81"/>
        <v/>
      </c>
      <c r="CJ69" s="91"/>
      <c r="CK69" s="91" t="str">
        <f t="shared" si="82"/>
        <v/>
      </c>
      <c r="CL69" s="91" t="str">
        <f t="shared" si="83"/>
        <v/>
      </c>
      <c r="CM69" s="91" t="str">
        <f t="shared" si="84"/>
        <v/>
      </c>
      <c r="CN69" s="91" t="str">
        <f t="shared" si="85"/>
        <v/>
      </c>
      <c r="CO69" s="91" t="str">
        <f t="shared" si="86"/>
        <v/>
      </c>
      <c r="CP69" s="91" t="str">
        <f t="shared" si="87"/>
        <v/>
      </c>
      <c r="CQ69" s="91" t="str">
        <f t="shared" si="88"/>
        <v/>
      </c>
      <c r="CR69" s="91" t="str">
        <f t="shared" si="89"/>
        <v/>
      </c>
      <c r="CS69" s="91" t="str">
        <f t="shared" si="90"/>
        <v/>
      </c>
      <c r="CT69" s="91" t="str">
        <f t="shared" si="91"/>
        <v/>
      </c>
      <c r="CV69" s="94"/>
      <c r="CW69" s="95">
        <v>57</v>
      </c>
      <c r="CX69" s="96">
        <f t="shared" si="116"/>
        <v>12.1</v>
      </c>
      <c r="CY69" s="97">
        <v>12.2</v>
      </c>
      <c r="CZ69" s="96">
        <f t="shared" si="117"/>
        <v>13.6</v>
      </c>
      <c r="DA69" s="97">
        <v>13.7</v>
      </c>
      <c r="DB69" s="97">
        <v>23.4</v>
      </c>
      <c r="DC69" s="96">
        <f t="shared" si="118"/>
        <v>23.5</v>
      </c>
      <c r="DD69" s="41"/>
      <c r="DE69" s="41"/>
      <c r="DF69" s="41"/>
      <c r="DG69" s="94"/>
      <c r="DH69" s="96">
        <f t="shared" si="119"/>
        <v>11.8</v>
      </c>
      <c r="DI69" s="97">
        <v>11.9</v>
      </c>
      <c r="DJ69" s="96">
        <f t="shared" si="120"/>
        <v>13.3</v>
      </c>
      <c r="DK69" s="97">
        <v>13.4</v>
      </c>
      <c r="DL69" s="97">
        <v>24.1</v>
      </c>
      <c r="DM69" s="96">
        <f t="shared" si="121"/>
        <v>24.2</v>
      </c>
      <c r="DN69" s="106">
        <v>24.2</v>
      </c>
      <c r="DO69" s="41"/>
      <c r="DP69" s="66" t="str">
        <f t="shared" si="92"/>
        <v/>
      </c>
      <c r="DQ69" s="60" t="str">
        <f t="shared" si="93"/>
        <v/>
      </c>
      <c r="DR69" s="60" t="str">
        <f t="shared" si="94"/>
        <v/>
      </c>
      <c r="DS69" s="60" t="str">
        <f t="shared" si="95"/>
        <v/>
      </c>
      <c r="DV69" s="119" t="s">
        <v>151</v>
      </c>
      <c r="DW69" s="120">
        <v>94</v>
      </c>
      <c r="DX69" s="121">
        <v>109.5</v>
      </c>
      <c r="DY69" s="145">
        <v>109.6</v>
      </c>
      <c r="DZ69" s="146">
        <v>115.1</v>
      </c>
      <c r="EA69" s="149">
        <v>115.2</v>
      </c>
      <c r="EB69" s="150">
        <v>137.5</v>
      </c>
      <c r="EC69" s="148">
        <v>137.6</v>
      </c>
      <c r="EE69" s="143" t="s">
        <v>151</v>
      </c>
      <c r="EF69" s="144">
        <v>94</v>
      </c>
      <c r="EG69" s="170">
        <v>108.3</v>
      </c>
      <c r="EH69" s="174">
        <v>108.4</v>
      </c>
      <c r="EI69" s="175">
        <v>114</v>
      </c>
      <c r="EJ69" s="180">
        <v>114.1</v>
      </c>
      <c r="EK69" s="181">
        <v>137.1</v>
      </c>
      <c r="EL69" s="173">
        <v>137.19999999999999</v>
      </c>
      <c r="EN69" s="154" t="str">
        <f t="shared" si="96"/>
        <v/>
      </c>
      <c r="EO69" s="154" t="e">
        <f t="shared" si="97"/>
        <v>#N/A</v>
      </c>
      <c r="EP69" s="154" t="e">
        <f t="shared" si="98"/>
        <v>#N/A</v>
      </c>
      <c r="EQ69" s="154" t="e">
        <f t="shared" si="99"/>
        <v>#N/A</v>
      </c>
      <c r="ES69" s="154" t="e">
        <f t="shared" si="100"/>
        <v>#N/A</v>
      </c>
      <c r="ET69" s="154" t="e">
        <f t="shared" si="101"/>
        <v>#N/A</v>
      </c>
      <c r="EU69" s="154" t="e">
        <f t="shared" si="102"/>
        <v>#N/A</v>
      </c>
      <c r="EW69" s="60">
        <f t="shared" si="103"/>
        <v>0</v>
      </c>
      <c r="EX69" s="60">
        <f t="shared" si="104"/>
        <v>0</v>
      </c>
      <c r="EY69" s="60">
        <f t="shared" si="105"/>
        <v>0</v>
      </c>
      <c r="EZ69" s="60">
        <f t="shared" si="106"/>
        <v>0</v>
      </c>
      <c r="FA69" s="60">
        <f t="shared" si="107"/>
        <v>0</v>
      </c>
      <c r="FB69" s="60">
        <f t="shared" si="108"/>
        <v>0</v>
      </c>
      <c r="FC69" s="60">
        <f t="shared" si="109"/>
        <v>0</v>
      </c>
      <c r="FD69" s="60">
        <f t="shared" si="110"/>
        <v>0</v>
      </c>
    </row>
    <row r="70" spans="1:174" ht="10.5" customHeight="1">
      <c r="A70" s="8" t="str">
        <f t="shared" si="111"/>
        <v/>
      </c>
      <c r="B70" s="9" t="str">
        <f t="shared" si="61"/>
        <v/>
      </c>
      <c r="C70" s="18"/>
      <c r="D70" s="16"/>
      <c r="E70" s="17"/>
      <c r="F70" s="17"/>
      <c r="G70" s="13"/>
      <c r="H70" s="14" t="str">
        <f t="shared" si="62"/>
        <v/>
      </c>
      <c r="I70" s="8" t="str">
        <f t="shared" si="63"/>
        <v/>
      </c>
      <c r="J70" s="9" t="str">
        <f t="shared" si="64"/>
        <v/>
      </c>
      <c r="K70" s="32" t="str">
        <f t="shared" si="65"/>
        <v/>
      </c>
      <c r="L70" s="33" t="str">
        <f t="shared" si="66"/>
        <v/>
      </c>
      <c r="M70" s="34" t="str">
        <f t="shared" si="67"/>
        <v/>
      </c>
      <c r="N70" s="35" t="str">
        <f t="shared" si="68"/>
        <v/>
      </c>
      <c r="O70" s="36"/>
      <c r="P70" s="36"/>
      <c r="Q70" s="36"/>
      <c r="R70" s="36"/>
      <c r="S70" s="36"/>
      <c r="T70" s="36"/>
      <c r="U70" s="36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53"/>
      <c r="AS70" s="53"/>
      <c r="AT70" s="53"/>
      <c r="AW70" s="5"/>
      <c r="AX70" s="5"/>
      <c r="AY70" s="60" t="str">
        <f t="shared" si="69"/>
        <v/>
      </c>
      <c r="AZ70" s="60" t="str">
        <f t="shared" si="70"/>
        <v/>
      </c>
      <c r="BA70" s="61" t="str">
        <f t="shared" si="71"/>
        <v/>
      </c>
      <c r="BB70" s="61" t="str">
        <f t="shared" si="72"/>
        <v/>
      </c>
      <c r="BC70" s="61" t="str">
        <f t="shared" si="73"/>
        <v/>
      </c>
      <c r="BD70" s="61" t="str">
        <f t="shared" si="74"/>
        <v/>
      </c>
      <c r="BE70" s="64" t="str">
        <f t="shared" si="75"/>
        <v/>
      </c>
      <c r="BF70" s="64" t="str">
        <f t="shared" si="76"/>
        <v/>
      </c>
      <c r="BG70" s="64" t="str">
        <f t="shared" si="77"/>
        <v/>
      </c>
      <c r="BH70" s="64" t="str">
        <f t="shared" si="78"/>
        <v/>
      </c>
      <c r="BI70" s="65"/>
      <c r="BJ70" s="66" t="str">
        <f t="shared" si="79"/>
        <v/>
      </c>
      <c r="BK70" s="71" t="s">
        <v>249</v>
      </c>
      <c r="BL70" s="70">
        <v>130</v>
      </c>
      <c r="BM70" s="5">
        <v>12.9</v>
      </c>
      <c r="BN70" s="77">
        <v>13</v>
      </c>
      <c r="BO70" s="78">
        <f t="shared" si="112"/>
        <v>13.9</v>
      </c>
      <c r="BP70" s="79">
        <v>14</v>
      </c>
      <c r="BQ70" s="80">
        <v>22.3</v>
      </c>
      <c r="BR70" s="81">
        <f t="shared" si="113"/>
        <v>22.4</v>
      </c>
      <c r="BS70" s="82">
        <v>27.7</v>
      </c>
      <c r="BT70" s="83">
        <v>27.8</v>
      </c>
      <c r="BU70" s="41"/>
      <c r="BV70" s="87" t="s">
        <v>249</v>
      </c>
      <c r="BW70" s="86">
        <v>130</v>
      </c>
      <c r="BX70" s="5">
        <v>12.6</v>
      </c>
      <c r="BY70" s="88">
        <v>12.7</v>
      </c>
      <c r="BZ70" s="78">
        <f t="shared" si="114"/>
        <v>13.7</v>
      </c>
      <c r="CA70" s="89">
        <v>13.8</v>
      </c>
      <c r="CB70" s="90">
        <v>23.5</v>
      </c>
      <c r="CC70" s="92">
        <f t="shared" si="115"/>
        <v>23.6</v>
      </c>
      <c r="CD70" s="93">
        <v>29.9</v>
      </c>
      <c r="CE70" s="83" t="s">
        <v>250</v>
      </c>
      <c r="CF70" s="5"/>
      <c r="CG70" s="91" t="str">
        <f t="shared" si="80"/>
        <v/>
      </c>
      <c r="CH70" s="91"/>
      <c r="CI70" s="91" t="str">
        <f t="shared" si="81"/>
        <v/>
      </c>
      <c r="CJ70" s="91"/>
      <c r="CK70" s="91" t="str">
        <f t="shared" si="82"/>
        <v/>
      </c>
      <c r="CL70" s="91" t="str">
        <f t="shared" si="83"/>
        <v/>
      </c>
      <c r="CM70" s="91" t="str">
        <f t="shared" si="84"/>
        <v/>
      </c>
      <c r="CN70" s="91" t="str">
        <f t="shared" si="85"/>
        <v/>
      </c>
      <c r="CO70" s="91" t="str">
        <f t="shared" si="86"/>
        <v/>
      </c>
      <c r="CP70" s="91" t="str">
        <f t="shared" si="87"/>
        <v/>
      </c>
      <c r="CQ70" s="91" t="str">
        <f t="shared" si="88"/>
        <v/>
      </c>
      <c r="CR70" s="91" t="str">
        <f t="shared" si="89"/>
        <v/>
      </c>
      <c r="CS70" s="91" t="str">
        <f t="shared" si="90"/>
        <v/>
      </c>
      <c r="CT70" s="91" t="str">
        <f t="shared" si="91"/>
        <v/>
      </c>
      <c r="CV70" s="94"/>
      <c r="CW70" s="95">
        <v>58</v>
      </c>
      <c r="CX70" s="96">
        <f t="shared" si="116"/>
        <v>12.2</v>
      </c>
      <c r="CY70" s="97">
        <v>12.3</v>
      </c>
      <c r="CZ70" s="96">
        <f t="shared" si="117"/>
        <v>13.7</v>
      </c>
      <c r="DA70" s="97">
        <v>13.8</v>
      </c>
      <c r="DB70" s="97">
        <v>23.7</v>
      </c>
      <c r="DC70" s="96">
        <f t="shared" si="118"/>
        <v>23.8</v>
      </c>
      <c r="DD70" s="41"/>
      <c r="DE70" s="41"/>
      <c r="DF70" s="41"/>
      <c r="DG70" s="94"/>
      <c r="DH70" s="96">
        <f t="shared" si="119"/>
        <v>11.9</v>
      </c>
      <c r="DI70" s="97">
        <v>12</v>
      </c>
      <c r="DJ70" s="96">
        <f t="shared" si="120"/>
        <v>13.4</v>
      </c>
      <c r="DK70" s="97">
        <v>13.5</v>
      </c>
      <c r="DL70" s="97">
        <v>24.4</v>
      </c>
      <c r="DM70" s="96">
        <f t="shared" si="121"/>
        <v>24.5</v>
      </c>
      <c r="DN70" s="106">
        <v>24.5</v>
      </c>
      <c r="DO70" s="41"/>
      <c r="DP70" s="66" t="str">
        <f t="shared" si="92"/>
        <v/>
      </c>
      <c r="DQ70" s="60" t="str">
        <f t="shared" si="93"/>
        <v/>
      </c>
      <c r="DR70" s="60" t="str">
        <f t="shared" si="94"/>
        <v/>
      </c>
      <c r="DS70" s="60" t="str">
        <f t="shared" si="95"/>
        <v/>
      </c>
      <c r="DV70" s="119" t="s">
        <v>155</v>
      </c>
      <c r="DW70" s="120">
        <v>95</v>
      </c>
      <c r="DX70" s="121">
        <v>109.9</v>
      </c>
      <c r="DY70" s="145">
        <v>110</v>
      </c>
      <c r="DZ70" s="146">
        <v>115.5</v>
      </c>
      <c r="EA70" s="149">
        <v>115.6</v>
      </c>
      <c r="EB70" s="150">
        <v>138.1</v>
      </c>
      <c r="EC70" s="148">
        <v>138.19999999999999</v>
      </c>
      <c r="EE70" s="143" t="s">
        <v>155</v>
      </c>
      <c r="EF70" s="144">
        <v>95</v>
      </c>
      <c r="EG70" s="170">
        <v>108.7</v>
      </c>
      <c r="EH70" s="174">
        <v>108.8</v>
      </c>
      <c r="EI70" s="175">
        <v>114.4</v>
      </c>
      <c r="EJ70" s="180">
        <v>114.5</v>
      </c>
      <c r="EK70" s="181">
        <v>137.6</v>
      </c>
      <c r="EL70" s="173">
        <v>137.69999999999999</v>
      </c>
      <c r="EN70" s="154" t="str">
        <f t="shared" si="96"/>
        <v/>
      </c>
      <c r="EO70" s="154" t="e">
        <f t="shared" si="97"/>
        <v>#N/A</v>
      </c>
      <c r="EP70" s="154" t="e">
        <f t="shared" si="98"/>
        <v>#N/A</v>
      </c>
      <c r="EQ70" s="154" t="e">
        <f t="shared" si="99"/>
        <v>#N/A</v>
      </c>
      <c r="ES70" s="154" t="e">
        <f t="shared" si="100"/>
        <v>#N/A</v>
      </c>
      <c r="ET70" s="154" t="e">
        <f t="shared" si="101"/>
        <v>#N/A</v>
      </c>
      <c r="EU70" s="154" t="e">
        <f t="shared" si="102"/>
        <v>#N/A</v>
      </c>
      <c r="EW70" s="60">
        <f t="shared" si="103"/>
        <v>0</v>
      </c>
      <c r="EX70" s="60">
        <f t="shared" si="104"/>
        <v>0</v>
      </c>
      <c r="EY70" s="60">
        <f t="shared" si="105"/>
        <v>0</v>
      </c>
      <c r="EZ70" s="60">
        <f t="shared" si="106"/>
        <v>0</v>
      </c>
      <c r="FA70" s="60">
        <f t="shared" si="107"/>
        <v>0</v>
      </c>
      <c r="FB70" s="60">
        <f t="shared" si="108"/>
        <v>0</v>
      </c>
      <c r="FC70" s="60">
        <f t="shared" si="109"/>
        <v>0</v>
      </c>
      <c r="FD70" s="60">
        <f t="shared" si="110"/>
        <v>0</v>
      </c>
    </row>
    <row r="71" spans="1:174" ht="10.5" customHeight="1">
      <c r="A71" s="8" t="str">
        <f t="shared" si="111"/>
        <v/>
      </c>
      <c r="B71" s="9" t="str">
        <f t="shared" si="61"/>
        <v/>
      </c>
      <c r="C71" s="18"/>
      <c r="D71" s="16"/>
      <c r="E71" s="17"/>
      <c r="F71" s="17"/>
      <c r="G71" s="13"/>
      <c r="H71" s="14" t="str">
        <f t="shared" si="62"/>
        <v/>
      </c>
      <c r="I71" s="8" t="str">
        <f t="shared" si="63"/>
        <v/>
      </c>
      <c r="J71" s="9" t="str">
        <f t="shared" si="64"/>
        <v/>
      </c>
      <c r="K71" s="32" t="str">
        <f t="shared" si="65"/>
        <v/>
      </c>
      <c r="L71" s="33" t="str">
        <f t="shared" si="66"/>
        <v/>
      </c>
      <c r="M71" s="34" t="str">
        <f t="shared" si="67"/>
        <v/>
      </c>
      <c r="N71" s="35" t="str">
        <f t="shared" si="68"/>
        <v/>
      </c>
      <c r="O71" s="36"/>
      <c r="P71" s="36"/>
      <c r="Q71" s="36"/>
      <c r="R71" s="36"/>
      <c r="S71" s="36"/>
      <c r="T71" s="36"/>
      <c r="U71" s="36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53"/>
      <c r="AS71" s="53"/>
      <c r="AT71" s="53"/>
      <c r="AW71" s="5"/>
      <c r="AX71" s="5"/>
      <c r="AY71" s="60" t="str">
        <f t="shared" si="69"/>
        <v/>
      </c>
      <c r="AZ71" s="60" t="str">
        <f t="shared" si="70"/>
        <v/>
      </c>
      <c r="BA71" s="61" t="str">
        <f t="shared" si="71"/>
        <v/>
      </c>
      <c r="BB71" s="61" t="str">
        <f t="shared" si="72"/>
        <v/>
      </c>
      <c r="BC71" s="61" t="str">
        <f t="shared" si="73"/>
        <v/>
      </c>
      <c r="BD71" s="61" t="str">
        <f t="shared" si="74"/>
        <v/>
      </c>
      <c r="BE71" s="64" t="str">
        <f t="shared" si="75"/>
        <v/>
      </c>
      <c r="BF71" s="64" t="str">
        <f t="shared" si="76"/>
        <v/>
      </c>
      <c r="BG71" s="64" t="str">
        <f t="shared" si="77"/>
        <v/>
      </c>
      <c r="BH71" s="64" t="str">
        <f t="shared" si="78"/>
        <v/>
      </c>
      <c r="BI71" s="65"/>
      <c r="BJ71" s="66" t="str">
        <f t="shared" si="79"/>
        <v/>
      </c>
      <c r="BK71" s="71" t="s">
        <v>251</v>
      </c>
      <c r="BL71" s="70">
        <v>131</v>
      </c>
      <c r="BM71" s="5">
        <v>12.9</v>
      </c>
      <c r="BN71" s="77">
        <v>13</v>
      </c>
      <c r="BO71" s="78">
        <f t="shared" si="112"/>
        <v>13.9</v>
      </c>
      <c r="BP71" s="79">
        <v>14</v>
      </c>
      <c r="BQ71" s="80">
        <v>22.4</v>
      </c>
      <c r="BR71" s="81">
        <f t="shared" si="113"/>
        <v>22.5</v>
      </c>
      <c r="BS71" s="82">
        <v>27.9</v>
      </c>
      <c r="BT71" s="83">
        <v>28</v>
      </c>
      <c r="BU71" s="41"/>
      <c r="BV71" s="87" t="s">
        <v>251</v>
      </c>
      <c r="BW71" s="86">
        <v>131</v>
      </c>
      <c r="BX71" s="5">
        <v>12.6</v>
      </c>
      <c r="BY71" s="88">
        <v>12.7</v>
      </c>
      <c r="BZ71" s="78">
        <f t="shared" si="114"/>
        <v>13.7</v>
      </c>
      <c r="CA71" s="89">
        <v>13.8</v>
      </c>
      <c r="CB71" s="90">
        <v>23.6</v>
      </c>
      <c r="CC71" s="92">
        <f t="shared" si="115"/>
        <v>23.7</v>
      </c>
      <c r="CD71" s="93">
        <v>30</v>
      </c>
      <c r="CE71" s="83" t="s">
        <v>252</v>
      </c>
      <c r="CF71" s="5"/>
      <c r="CG71" s="91" t="str">
        <f t="shared" si="80"/>
        <v/>
      </c>
      <c r="CH71" s="91"/>
      <c r="CI71" s="91" t="str">
        <f t="shared" si="81"/>
        <v/>
      </c>
      <c r="CJ71" s="91"/>
      <c r="CK71" s="91" t="str">
        <f t="shared" si="82"/>
        <v/>
      </c>
      <c r="CL71" s="91" t="str">
        <f t="shared" si="83"/>
        <v/>
      </c>
      <c r="CM71" s="91" t="str">
        <f t="shared" si="84"/>
        <v/>
      </c>
      <c r="CN71" s="91" t="str">
        <f t="shared" si="85"/>
        <v/>
      </c>
      <c r="CO71" s="91" t="str">
        <f t="shared" si="86"/>
        <v/>
      </c>
      <c r="CP71" s="91" t="str">
        <f t="shared" si="87"/>
        <v/>
      </c>
      <c r="CQ71" s="91" t="str">
        <f t="shared" si="88"/>
        <v/>
      </c>
      <c r="CR71" s="91" t="str">
        <f t="shared" si="89"/>
        <v/>
      </c>
      <c r="CS71" s="91" t="str">
        <f t="shared" si="90"/>
        <v/>
      </c>
      <c r="CT71" s="91" t="str">
        <f t="shared" si="91"/>
        <v/>
      </c>
      <c r="CV71" s="94"/>
      <c r="CW71" s="95">
        <v>59</v>
      </c>
      <c r="CX71" s="96">
        <f t="shared" si="116"/>
        <v>12.3</v>
      </c>
      <c r="CY71" s="97">
        <v>12.4</v>
      </c>
      <c r="CZ71" s="96">
        <f t="shared" si="117"/>
        <v>13.9</v>
      </c>
      <c r="DA71" s="97">
        <v>14</v>
      </c>
      <c r="DB71" s="97">
        <v>23.9</v>
      </c>
      <c r="DC71" s="96">
        <f t="shared" si="118"/>
        <v>24</v>
      </c>
      <c r="DD71" s="41"/>
      <c r="DE71" s="41"/>
      <c r="DF71" s="41"/>
      <c r="DG71" s="94"/>
      <c r="DH71" s="96">
        <f t="shared" si="119"/>
        <v>12</v>
      </c>
      <c r="DI71" s="97">
        <v>12.1</v>
      </c>
      <c r="DJ71" s="96">
        <f t="shared" si="120"/>
        <v>13.5</v>
      </c>
      <c r="DK71" s="97">
        <v>13.6</v>
      </c>
      <c r="DL71" s="97">
        <v>24.6</v>
      </c>
      <c r="DM71" s="96">
        <f t="shared" si="121"/>
        <v>24.7</v>
      </c>
      <c r="DN71" s="106">
        <v>24.7</v>
      </c>
      <c r="DO71" s="41"/>
      <c r="DP71" s="66" t="str">
        <f t="shared" si="92"/>
        <v/>
      </c>
      <c r="DQ71" s="60" t="str">
        <f t="shared" si="93"/>
        <v/>
      </c>
      <c r="DR71" s="60" t="str">
        <f t="shared" si="94"/>
        <v/>
      </c>
      <c r="DS71" s="60" t="str">
        <f t="shared" si="95"/>
        <v/>
      </c>
      <c r="DV71" s="119" t="s">
        <v>158</v>
      </c>
      <c r="DW71" s="120">
        <v>96</v>
      </c>
      <c r="DX71" s="121">
        <v>110.2</v>
      </c>
      <c r="DY71" s="145">
        <v>110.3</v>
      </c>
      <c r="DZ71" s="146">
        <v>115.9</v>
      </c>
      <c r="EA71" s="149">
        <v>116</v>
      </c>
      <c r="EB71" s="150">
        <v>138.6</v>
      </c>
      <c r="EC71" s="148">
        <v>138.69999999999999</v>
      </c>
      <c r="EE71" s="143" t="s">
        <v>158</v>
      </c>
      <c r="EF71" s="144">
        <v>96</v>
      </c>
      <c r="EG71" s="170">
        <v>109.1</v>
      </c>
      <c r="EH71" s="174">
        <v>109.2</v>
      </c>
      <c r="EI71" s="175">
        <v>114.9</v>
      </c>
      <c r="EJ71" s="180">
        <v>115</v>
      </c>
      <c r="EK71" s="181">
        <v>138.19999999999999</v>
      </c>
      <c r="EL71" s="173">
        <v>138.30000000000001</v>
      </c>
      <c r="EN71" s="154" t="str">
        <f t="shared" si="96"/>
        <v/>
      </c>
      <c r="EO71" s="154" t="e">
        <f t="shared" si="97"/>
        <v>#N/A</v>
      </c>
      <c r="EP71" s="154" t="e">
        <f t="shared" si="98"/>
        <v>#N/A</v>
      </c>
      <c r="EQ71" s="154" t="e">
        <f t="shared" si="99"/>
        <v>#N/A</v>
      </c>
      <c r="ES71" s="154" t="e">
        <f t="shared" si="100"/>
        <v>#N/A</v>
      </c>
      <c r="ET71" s="154" t="e">
        <f t="shared" si="101"/>
        <v>#N/A</v>
      </c>
      <c r="EU71" s="154" t="e">
        <f t="shared" si="102"/>
        <v>#N/A</v>
      </c>
      <c r="EW71" s="60">
        <f t="shared" si="103"/>
        <v>0</v>
      </c>
      <c r="EX71" s="60">
        <f t="shared" si="104"/>
        <v>0</v>
      </c>
      <c r="EY71" s="60">
        <f t="shared" si="105"/>
        <v>0</v>
      </c>
      <c r="EZ71" s="60">
        <f t="shared" si="106"/>
        <v>0</v>
      </c>
      <c r="FA71" s="60">
        <f t="shared" si="107"/>
        <v>0</v>
      </c>
      <c r="FB71" s="60">
        <f t="shared" si="108"/>
        <v>0</v>
      </c>
      <c r="FC71" s="60">
        <f t="shared" si="109"/>
        <v>0</v>
      </c>
      <c r="FD71" s="60">
        <f t="shared" si="110"/>
        <v>0</v>
      </c>
    </row>
    <row r="72" spans="1:174" ht="10.5" customHeight="1">
      <c r="A72" s="8" t="str">
        <f t="shared" si="111"/>
        <v/>
      </c>
      <c r="B72" s="9" t="str">
        <f t="shared" si="61"/>
        <v/>
      </c>
      <c r="C72" s="18"/>
      <c r="D72" s="16"/>
      <c r="E72" s="17"/>
      <c r="F72" s="17"/>
      <c r="G72" s="13"/>
      <c r="H72" s="14" t="str">
        <f t="shared" si="62"/>
        <v/>
      </c>
      <c r="I72" s="8" t="str">
        <f t="shared" si="63"/>
        <v/>
      </c>
      <c r="J72" s="9" t="str">
        <f t="shared" si="64"/>
        <v/>
      </c>
      <c r="K72" s="32" t="str">
        <f t="shared" si="65"/>
        <v/>
      </c>
      <c r="L72" s="33" t="str">
        <f t="shared" si="66"/>
        <v/>
      </c>
      <c r="M72" s="34" t="str">
        <f t="shared" si="67"/>
        <v/>
      </c>
      <c r="N72" s="35" t="str">
        <f t="shared" si="68"/>
        <v/>
      </c>
      <c r="O72" s="36"/>
      <c r="P72" s="36"/>
      <c r="Q72" s="36"/>
      <c r="R72" s="36"/>
      <c r="S72" s="36"/>
      <c r="T72" s="36"/>
      <c r="U72" s="36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53"/>
      <c r="AS72" s="53"/>
      <c r="AT72" s="53"/>
      <c r="AW72" s="5" t="str">
        <f t="shared" ref="AW72:AW84" si="122">IF(AX72="","",AND(AX72=$BI$1,BC72=$BH$1))</f>
        <v/>
      </c>
      <c r="AX72" s="5" t="str">
        <f t="shared" ref="AX72:AX84" si="123">IF(BD72="","",IF(AY72&lt;5,"",IF(BD72&lt;=BE72,$BE$7,IF(BD72&lt;=BF72,$BF$7,IF(BD72&lt;=BG72,$BG$7,IF(BD72&lt;=BH72,$BH$7,$BI$7))))))</f>
        <v/>
      </c>
      <c r="AY72" s="60" t="str">
        <f t="shared" si="69"/>
        <v/>
      </c>
      <c r="AZ72" s="60" t="str">
        <f t="shared" si="70"/>
        <v/>
      </c>
      <c r="BA72" s="61" t="str">
        <f t="shared" si="71"/>
        <v/>
      </c>
      <c r="BB72" s="61" t="str">
        <f t="shared" si="72"/>
        <v/>
      </c>
      <c r="BC72" s="61" t="str">
        <f t="shared" si="73"/>
        <v/>
      </c>
      <c r="BD72" s="61" t="str">
        <f t="shared" si="74"/>
        <v/>
      </c>
      <c r="BE72" s="64" t="str">
        <f t="shared" si="75"/>
        <v/>
      </c>
      <c r="BF72" s="64" t="str">
        <f t="shared" si="76"/>
        <v/>
      </c>
      <c r="BG72" s="64" t="str">
        <f t="shared" si="77"/>
        <v/>
      </c>
      <c r="BH72" s="64" t="str">
        <f t="shared" si="78"/>
        <v/>
      </c>
      <c r="BI72" s="65"/>
      <c r="BJ72" s="66" t="str">
        <f t="shared" si="79"/>
        <v/>
      </c>
      <c r="BK72" s="71" t="s">
        <v>253</v>
      </c>
      <c r="BL72" s="70">
        <v>132</v>
      </c>
      <c r="BM72" s="5">
        <v>13</v>
      </c>
      <c r="BN72" s="77">
        <v>13.1</v>
      </c>
      <c r="BO72" s="78">
        <f t="shared" si="112"/>
        <v>14</v>
      </c>
      <c r="BP72" s="79">
        <v>14.1</v>
      </c>
      <c r="BQ72" s="80">
        <v>22.5</v>
      </c>
      <c r="BR72" s="81">
        <f t="shared" si="113"/>
        <v>22.6</v>
      </c>
      <c r="BS72" s="82">
        <v>28</v>
      </c>
      <c r="BT72" s="83">
        <v>28.1</v>
      </c>
      <c r="BU72" s="41"/>
      <c r="BV72" s="87" t="s">
        <v>253</v>
      </c>
      <c r="BW72" s="86">
        <v>132</v>
      </c>
      <c r="BX72" s="5">
        <v>12.6</v>
      </c>
      <c r="BY72" s="88">
        <v>12.7</v>
      </c>
      <c r="BZ72" s="78">
        <f t="shared" si="114"/>
        <v>13.8</v>
      </c>
      <c r="CA72" s="89">
        <v>13.9</v>
      </c>
      <c r="CB72" s="90">
        <v>23.7</v>
      </c>
      <c r="CC72" s="92">
        <f t="shared" si="115"/>
        <v>23.8</v>
      </c>
      <c r="CD72" s="93">
        <v>30.2</v>
      </c>
      <c r="CE72" s="83" t="s">
        <v>254</v>
      </c>
      <c r="CF72" s="5"/>
      <c r="CG72" s="91" t="str">
        <f t="shared" si="80"/>
        <v/>
      </c>
      <c r="CH72" s="91"/>
      <c r="CI72" s="91" t="str">
        <f t="shared" si="81"/>
        <v/>
      </c>
      <c r="CJ72" s="91"/>
      <c r="CK72" s="91" t="str">
        <f t="shared" si="82"/>
        <v/>
      </c>
      <c r="CL72" s="91" t="str">
        <f t="shared" si="83"/>
        <v/>
      </c>
      <c r="CM72" s="91" t="str">
        <f t="shared" si="84"/>
        <v/>
      </c>
      <c r="CN72" s="91" t="str">
        <f t="shared" si="85"/>
        <v/>
      </c>
      <c r="CO72" s="91" t="str">
        <f t="shared" si="86"/>
        <v/>
      </c>
      <c r="CP72" s="91" t="str">
        <f t="shared" si="87"/>
        <v/>
      </c>
      <c r="CQ72" s="91" t="str">
        <f t="shared" si="88"/>
        <v/>
      </c>
      <c r="CR72" s="91" t="str">
        <f t="shared" si="89"/>
        <v/>
      </c>
      <c r="CS72" s="91" t="str">
        <f t="shared" si="90"/>
        <v/>
      </c>
      <c r="CT72" s="91" t="str">
        <f t="shared" si="91"/>
        <v/>
      </c>
      <c r="CV72" s="256"/>
      <c r="CW72" s="98">
        <v>60</v>
      </c>
      <c r="CX72" s="99">
        <f t="shared" si="116"/>
        <v>12.4</v>
      </c>
      <c r="CY72" s="100">
        <v>12.5</v>
      </c>
      <c r="CZ72" s="99">
        <f t="shared" si="117"/>
        <v>14</v>
      </c>
      <c r="DA72" s="100">
        <v>14.1</v>
      </c>
      <c r="DB72" s="100">
        <v>24.2</v>
      </c>
      <c r="DC72" s="99">
        <f t="shared" si="118"/>
        <v>24.3</v>
      </c>
      <c r="DD72" s="262"/>
      <c r="DE72" s="262"/>
      <c r="DF72" s="41"/>
      <c r="DG72" s="256"/>
      <c r="DH72" s="99">
        <f t="shared" si="119"/>
        <v>12.1</v>
      </c>
      <c r="DI72" s="100">
        <v>12.2</v>
      </c>
      <c r="DJ72" s="99">
        <f t="shared" si="120"/>
        <v>13.6</v>
      </c>
      <c r="DK72" s="100">
        <v>13.7</v>
      </c>
      <c r="DL72" s="100">
        <v>24.7</v>
      </c>
      <c r="DM72" s="99">
        <f t="shared" si="121"/>
        <v>24.8</v>
      </c>
      <c r="DN72" s="107">
        <v>24.8</v>
      </c>
      <c r="DO72" s="261"/>
      <c r="DP72" s="66" t="str">
        <f t="shared" si="92"/>
        <v/>
      </c>
      <c r="DQ72" s="60" t="str">
        <f t="shared" si="93"/>
        <v/>
      </c>
      <c r="DR72" s="60" t="str">
        <f t="shared" si="94"/>
        <v/>
      </c>
      <c r="DS72" s="60" t="str">
        <f t="shared" si="95"/>
        <v/>
      </c>
      <c r="DV72" s="119" t="s">
        <v>163</v>
      </c>
      <c r="DW72" s="120">
        <v>97</v>
      </c>
      <c r="DX72" s="121">
        <v>110.6</v>
      </c>
      <c r="DY72" s="145">
        <v>110.7</v>
      </c>
      <c r="DZ72" s="146">
        <v>116.3</v>
      </c>
      <c r="EA72" s="149">
        <v>116.4</v>
      </c>
      <c r="EB72" s="150">
        <v>139.1</v>
      </c>
      <c r="EC72" s="148">
        <v>139.19999999999999</v>
      </c>
      <c r="EE72" s="143" t="s">
        <v>163</v>
      </c>
      <c r="EF72" s="144">
        <v>97</v>
      </c>
      <c r="EG72" s="170">
        <v>109.5</v>
      </c>
      <c r="EH72" s="174">
        <v>109.6</v>
      </c>
      <c r="EI72" s="175">
        <v>115.3</v>
      </c>
      <c r="EJ72" s="180">
        <v>115.4</v>
      </c>
      <c r="EK72" s="181">
        <v>138.69999999999999</v>
      </c>
      <c r="EL72" s="173">
        <v>138.80000000000001</v>
      </c>
      <c r="EN72" s="154" t="str">
        <f t="shared" si="96"/>
        <v/>
      </c>
      <c r="EO72" s="154" t="e">
        <f t="shared" si="97"/>
        <v>#N/A</v>
      </c>
      <c r="EP72" s="154" t="e">
        <f t="shared" si="98"/>
        <v>#N/A</v>
      </c>
      <c r="EQ72" s="154" t="e">
        <f t="shared" si="99"/>
        <v>#N/A</v>
      </c>
      <c r="ES72" s="154" t="e">
        <f t="shared" si="100"/>
        <v>#N/A</v>
      </c>
      <c r="ET72" s="154" t="e">
        <f t="shared" si="101"/>
        <v>#N/A</v>
      </c>
      <c r="EU72" s="154" t="e">
        <f t="shared" si="102"/>
        <v>#N/A</v>
      </c>
      <c r="EW72" s="60">
        <f t="shared" si="103"/>
        <v>0</v>
      </c>
      <c r="EX72" s="60">
        <f t="shared" si="104"/>
        <v>0</v>
      </c>
      <c r="EY72" s="60">
        <f t="shared" si="105"/>
        <v>0</v>
      </c>
      <c r="EZ72" s="60">
        <f t="shared" si="106"/>
        <v>0</v>
      </c>
      <c r="FA72" s="60">
        <f t="shared" si="107"/>
        <v>0</v>
      </c>
      <c r="FB72" s="60">
        <f t="shared" si="108"/>
        <v>0</v>
      </c>
      <c r="FC72" s="60">
        <f t="shared" si="109"/>
        <v>0</v>
      </c>
      <c r="FD72" s="60">
        <f t="shared" si="110"/>
        <v>0</v>
      </c>
    </row>
    <row r="73" spans="1:174" ht="10.5" customHeight="1">
      <c r="A73" s="8" t="str">
        <f t="shared" si="111"/>
        <v/>
      </c>
      <c r="B73" s="9" t="str">
        <f t="shared" ref="B73" si="124">IF(A73="","",".")</f>
        <v/>
      </c>
      <c r="C73" s="182"/>
      <c r="D73" s="16"/>
      <c r="E73" s="13"/>
      <c r="F73" s="13"/>
      <c r="G73" s="13"/>
      <c r="H73" s="14" t="str">
        <f t="shared" si="62"/>
        <v/>
      </c>
      <c r="I73" s="8" t="str">
        <f t="shared" si="63"/>
        <v/>
      </c>
      <c r="J73" s="9" t="str">
        <f t="shared" ref="J73" si="125">IF(I73="","",",")</f>
        <v/>
      </c>
      <c r="K73" s="32" t="str">
        <f t="shared" si="65"/>
        <v/>
      </c>
      <c r="L73" s="33" t="str">
        <f t="shared" si="66"/>
        <v/>
      </c>
      <c r="M73" s="34" t="str">
        <f t="shared" si="67"/>
        <v/>
      </c>
      <c r="N73" s="35" t="str">
        <f t="shared" si="68"/>
        <v/>
      </c>
      <c r="O73" s="36"/>
      <c r="P73" s="36"/>
      <c r="Q73" s="36"/>
      <c r="R73" s="36"/>
      <c r="S73" s="36"/>
      <c r="T73" s="36"/>
      <c r="U73" s="36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53"/>
      <c r="AS73" s="53"/>
      <c r="AT73" s="53"/>
      <c r="AW73" s="5" t="str">
        <f t="shared" si="122"/>
        <v/>
      </c>
      <c r="AX73" s="5" t="str">
        <f t="shared" si="123"/>
        <v/>
      </c>
      <c r="AY73" s="60" t="str">
        <f t="shared" si="69"/>
        <v/>
      </c>
      <c r="AZ73" s="60" t="str">
        <f t="shared" si="70"/>
        <v/>
      </c>
      <c r="BA73" s="61" t="str">
        <f t="shared" ref="BA73" si="126">IF(D73="","",IF(R$1=G$84,IF(BB73&gt;=MONTH(D73),YEAR(D$6),YEAR(D$6)-1),""))</f>
        <v/>
      </c>
      <c r="BB73" s="61" t="str">
        <f t="shared" si="72"/>
        <v/>
      </c>
      <c r="BC73" s="61" t="str">
        <f t="shared" si="73"/>
        <v/>
      </c>
      <c r="BD73" s="61" t="str">
        <f t="shared" si="74"/>
        <v/>
      </c>
      <c r="BE73" s="64" t="str">
        <f t="shared" si="75"/>
        <v/>
      </c>
      <c r="BF73" s="64" t="str">
        <f t="shared" si="76"/>
        <v/>
      </c>
      <c r="BG73" s="64" t="str">
        <f t="shared" si="77"/>
        <v/>
      </c>
      <c r="BH73" s="64" t="str">
        <f t="shared" si="78"/>
        <v/>
      </c>
      <c r="BI73" s="65"/>
      <c r="BJ73" s="66" t="str">
        <f t="shared" si="79"/>
        <v/>
      </c>
      <c r="BK73" s="71" t="s">
        <v>255</v>
      </c>
      <c r="BL73" s="70">
        <v>133</v>
      </c>
      <c r="BM73" s="5">
        <v>13</v>
      </c>
      <c r="BN73" s="77">
        <v>13.1</v>
      </c>
      <c r="BO73" s="78">
        <f t="shared" si="112"/>
        <v>14</v>
      </c>
      <c r="BP73" s="79">
        <v>14.1</v>
      </c>
      <c r="BQ73" s="80">
        <v>22.5</v>
      </c>
      <c r="BR73" s="81">
        <f t="shared" si="113"/>
        <v>22.6</v>
      </c>
      <c r="BS73" s="82">
        <v>28.2</v>
      </c>
      <c r="BT73" s="83">
        <v>28.3</v>
      </c>
      <c r="BU73" s="41"/>
      <c r="BV73" s="87" t="s">
        <v>255</v>
      </c>
      <c r="BW73" s="86">
        <v>133</v>
      </c>
      <c r="BX73" s="5">
        <v>12.7</v>
      </c>
      <c r="BY73" s="88">
        <v>12.8</v>
      </c>
      <c r="BZ73" s="78">
        <f t="shared" si="114"/>
        <v>13.8</v>
      </c>
      <c r="CA73" s="89">
        <v>13.9</v>
      </c>
      <c r="CB73" s="90">
        <v>23.8</v>
      </c>
      <c r="CC73" s="92">
        <f t="shared" si="115"/>
        <v>23.9</v>
      </c>
      <c r="CD73" s="93">
        <v>30.3</v>
      </c>
      <c r="CE73" s="83" t="s">
        <v>256</v>
      </c>
      <c r="CF73" s="5"/>
      <c r="CG73" s="91" t="str">
        <f t="shared" si="80"/>
        <v/>
      </c>
      <c r="CH73" s="91"/>
      <c r="CI73" s="91" t="str">
        <f t="shared" si="81"/>
        <v/>
      </c>
      <c r="CJ73" s="91"/>
      <c r="CK73" s="91" t="str">
        <f t="shared" si="82"/>
        <v/>
      </c>
      <c r="CL73" s="91" t="str">
        <f t="shared" si="83"/>
        <v/>
      </c>
      <c r="CM73" s="91" t="str">
        <f t="shared" si="84"/>
        <v/>
      </c>
      <c r="CN73" s="91" t="str">
        <f t="shared" si="85"/>
        <v/>
      </c>
      <c r="CO73" s="91" t="str">
        <f t="shared" si="86"/>
        <v/>
      </c>
      <c r="CP73" s="91" t="str">
        <f t="shared" si="87"/>
        <v/>
      </c>
      <c r="CQ73" s="91" t="str">
        <f t="shared" si="88"/>
        <v/>
      </c>
      <c r="CR73" s="91" t="str">
        <f t="shared" si="89"/>
        <v/>
      </c>
      <c r="CS73" s="91" t="str">
        <f t="shared" si="90"/>
        <v/>
      </c>
      <c r="CT73" s="91" t="str">
        <f t="shared" si="91"/>
        <v/>
      </c>
      <c r="CV73" s="256"/>
      <c r="CW73" s="95">
        <v>61</v>
      </c>
      <c r="CX73" s="96">
        <f t="shared" si="116"/>
        <v>12.7</v>
      </c>
      <c r="CY73" s="97">
        <v>12.8</v>
      </c>
      <c r="CZ73" s="96">
        <f t="shared" si="117"/>
        <v>14.3</v>
      </c>
      <c r="DA73" s="97">
        <v>14.4</v>
      </c>
      <c r="DB73" s="97">
        <v>24.3</v>
      </c>
      <c r="DC73" s="96">
        <f t="shared" si="118"/>
        <v>24.4</v>
      </c>
      <c r="DD73" s="262"/>
      <c r="DE73" s="262"/>
      <c r="DF73" s="41"/>
      <c r="DG73" s="256"/>
      <c r="DH73" s="263">
        <f t="shared" si="119"/>
        <v>12.4</v>
      </c>
      <c r="DI73" s="97">
        <v>12.5</v>
      </c>
      <c r="DJ73" s="96">
        <f t="shared" si="120"/>
        <v>13.9</v>
      </c>
      <c r="DK73" s="97">
        <v>14</v>
      </c>
      <c r="DL73" s="97">
        <v>24.8</v>
      </c>
      <c r="DM73" s="96">
        <f t="shared" si="121"/>
        <v>24.9</v>
      </c>
      <c r="DN73" s="107">
        <v>24.9</v>
      </c>
      <c r="DO73" s="261"/>
      <c r="DP73" s="66" t="str">
        <f t="shared" ref="DP73" si="127">IF(AY73&gt;5,"",IF(E73&lt;=DQ73,$DI$9,IF(E73&lt;=DR73,$DJ$9,IF(E73&lt;=DS73,$DL$9,$DN$9))))</f>
        <v/>
      </c>
      <c r="DQ73" s="60" t="str">
        <f t="shared" si="93"/>
        <v/>
      </c>
      <c r="DR73" s="60" t="str">
        <f t="shared" si="94"/>
        <v/>
      </c>
      <c r="DS73" s="60" t="str">
        <f t="shared" si="95"/>
        <v/>
      </c>
      <c r="DV73" s="119" t="s">
        <v>167</v>
      </c>
      <c r="DW73" s="120">
        <v>98</v>
      </c>
      <c r="DX73" s="121">
        <v>110.9</v>
      </c>
      <c r="DY73" s="145">
        <v>111</v>
      </c>
      <c r="DZ73" s="146">
        <v>116.6</v>
      </c>
      <c r="EA73" s="149">
        <v>116.7</v>
      </c>
      <c r="EB73" s="150">
        <v>139.6</v>
      </c>
      <c r="EC73" s="148">
        <v>139.69999999999999</v>
      </c>
      <c r="EE73" s="143" t="s">
        <v>167</v>
      </c>
      <c r="EF73" s="144">
        <v>98</v>
      </c>
      <c r="EG73" s="170">
        <v>109.9</v>
      </c>
      <c r="EH73" s="174">
        <v>110</v>
      </c>
      <c r="EI73" s="175">
        <v>115.7</v>
      </c>
      <c r="EJ73" s="180">
        <v>115.8</v>
      </c>
      <c r="EK73" s="181">
        <v>139.19999999999999</v>
      </c>
      <c r="EL73" s="173">
        <v>139.30000000000001</v>
      </c>
      <c r="EN73" s="154" t="str">
        <f t="shared" si="96"/>
        <v/>
      </c>
      <c r="EO73" s="154" t="e">
        <f t="shared" ref="EO73" si="128">IF(G73="m",LOOKUP(EN73,$DW$11:$DW$179,$DX$11:$DX$179),LOOKUP(EN73,$DW$11:$DW$179,$EG$11:$EG$179))</f>
        <v>#N/A</v>
      </c>
      <c r="EP73" s="154" t="e">
        <f t="shared" si="98"/>
        <v>#N/A</v>
      </c>
      <c r="EQ73" s="154" t="e">
        <f t="shared" si="99"/>
        <v>#N/A</v>
      </c>
      <c r="ES73" s="154" t="e">
        <f t="shared" si="100"/>
        <v>#N/A</v>
      </c>
      <c r="ET73" s="154" t="e">
        <f t="shared" si="101"/>
        <v>#N/A</v>
      </c>
      <c r="EU73" s="154" t="e">
        <f t="shared" si="102"/>
        <v>#N/A</v>
      </c>
      <c r="EW73" s="60">
        <f t="shared" si="103"/>
        <v>0</v>
      </c>
      <c r="EX73" s="60">
        <f t="shared" si="104"/>
        <v>0</v>
      </c>
      <c r="EY73" s="60">
        <f t="shared" si="105"/>
        <v>0</v>
      </c>
      <c r="EZ73" s="60">
        <f t="shared" si="106"/>
        <v>0</v>
      </c>
      <c r="FA73" s="60">
        <f t="shared" si="107"/>
        <v>0</v>
      </c>
      <c r="FB73" s="60">
        <f t="shared" si="108"/>
        <v>0</v>
      </c>
      <c r="FC73" s="60">
        <f t="shared" si="109"/>
        <v>0</v>
      </c>
      <c r="FD73" s="60">
        <f t="shared" si="110"/>
        <v>0</v>
      </c>
    </row>
    <row r="74" spans="1:174" ht="5.25" customHeight="1">
      <c r="A74" s="347"/>
      <c r="B74" s="347"/>
      <c r="C74" s="348"/>
      <c r="D74" s="183"/>
      <c r="E74" s="184"/>
      <c r="F74" s="184"/>
      <c r="G74" s="184"/>
      <c r="H74" s="184"/>
      <c r="I74" s="184"/>
      <c r="J74" s="184"/>
      <c r="K74" s="184"/>
      <c r="L74" s="183"/>
      <c r="M74" s="183"/>
      <c r="N74" s="183"/>
      <c r="O74" s="221"/>
      <c r="P74" s="221"/>
      <c r="Q74" s="221"/>
      <c r="R74" s="221"/>
      <c r="S74" s="221"/>
      <c r="T74" s="221"/>
      <c r="U74" s="221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W74" s="5" t="str">
        <f t="shared" si="122"/>
        <v/>
      </c>
      <c r="AX74" s="5" t="str">
        <f t="shared" si="123"/>
        <v/>
      </c>
      <c r="BB74" s="5"/>
      <c r="BE74" s="63"/>
      <c r="BF74" s="63"/>
      <c r="BG74" s="63"/>
      <c r="BK74" s="71" t="s">
        <v>257</v>
      </c>
      <c r="BL74" s="70">
        <v>134</v>
      </c>
      <c r="BM74" s="5">
        <v>13</v>
      </c>
      <c r="BN74" s="77">
        <v>13.1</v>
      </c>
      <c r="BO74" s="78">
        <f t="shared" si="112"/>
        <v>14</v>
      </c>
      <c r="BP74" s="79">
        <v>14.1</v>
      </c>
      <c r="BQ74" s="80">
        <v>22.6</v>
      </c>
      <c r="BR74" s="81">
        <f t="shared" si="113"/>
        <v>22.7</v>
      </c>
      <c r="BS74" s="82">
        <v>28.4</v>
      </c>
      <c r="BT74" s="83">
        <v>28.5</v>
      </c>
      <c r="BU74" s="41"/>
      <c r="BV74" s="87" t="s">
        <v>257</v>
      </c>
      <c r="BW74" s="86">
        <v>134</v>
      </c>
      <c r="BX74" s="5">
        <v>12.7</v>
      </c>
      <c r="BY74" s="88">
        <v>12.8</v>
      </c>
      <c r="BZ74" s="78">
        <f t="shared" si="114"/>
        <v>13.9</v>
      </c>
      <c r="CA74" s="89">
        <v>14</v>
      </c>
      <c r="CB74" s="90">
        <v>23.9</v>
      </c>
      <c r="CC74" s="92">
        <f t="shared" si="115"/>
        <v>24</v>
      </c>
      <c r="CD74" s="93">
        <v>30.5</v>
      </c>
      <c r="CE74" s="83" t="s">
        <v>258</v>
      </c>
      <c r="CF74" s="5"/>
      <c r="CG74" s="60">
        <f>SUM(CG9:CG73)</f>
        <v>0</v>
      </c>
      <c r="CH74" s="60"/>
      <c r="CI74" s="60">
        <f>SUM(CI9:CI73)</f>
        <v>0</v>
      </c>
      <c r="CJ74" s="60"/>
      <c r="CK74" s="60">
        <f>SUM(CK9:CK73)</f>
        <v>0</v>
      </c>
      <c r="CL74" s="60">
        <f>SUM(CL9:CL73)</f>
        <v>0</v>
      </c>
      <c r="CM74" s="60">
        <f>SUM(CM9:CM73)</f>
        <v>0</v>
      </c>
      <c r="CN74" s="60">
        <f>SUM(CN9:CN73)</f>
        <v>0</v>
      </c>
      <c r="CO74" s="60"/>
      <c r="CP74" s="60">
        <f>SUM(CP9:CP73)</f>
        <v>0</v>
      </c>
      <c r="CQ74" s="60"/>
      <c r="CR74" s="60">
        <f>SUM(CR9:CR73)</f>
        <v>0</v>
      </c>
      <c r="CS74" s="60">
        <f>SUM(CS9:CS73)</f>
        <v>0</v>
      </c>
      <c r="CT74" s="60">
        <f>SUM(CT9:CT73)</f>
        <v>0</v>
      </c>
      <c r="CV74" s="256"/>
      <c r="CW74" s="95">
        <v>62</v>
      </c>
      <c r="CX74" s="96">
        <f t="shared" si="116"/>
        <v>12.8</v>
      </c>
      <c r="CY74" s="97">
        <v>12.9</v>
      </c>
      <c r="CZ74" s="96">
        <f t="shared" si="117"/>
        <v>14.4</v>
      </c>
      <c r="DA74" s="97">
        <v>14.5</v>
      </c>
      <c r="DB74" s="97">
        <v>24.4</v>
      </c>
      <c r="DC74" s="96">
        <f t="shared" si="118"/>
        <v>24.5</v>
      </c>
      <c r="DD74" s="262"/>
      <c r="DE74" s="262"/>
      <c r="DF74" s="41"/>
      <c r="DG74" s="256"/>
      <c r="DH74" s="96">
        <f t="shared" si="119"/>
        <v>12.5</v>
      </c>
      <c r="DI74" s="97">
        <v>12.6</v>
      </c>
      <c r="DJ74" s="96">
        <f t="shared" si="120"/>
        <v>14</v>
      </c>
      <c r="DK74" s="97">
        <v>14.1</v>
      </c>
      <c r="DL74" s="97">
        <v>25.1</v>
      </c>
      <c r="DM74" s="96">
        <f t="shared" si="121"/>
        <v>25.2</v>
      </c>
      <c r="DN74" s="107">
        <v>25.2</v>
      </c>
      <c r="DO74" s="261"/>
      <c r="DP74" s="255"/>
      <c r="DQ74" s="60" t="str">
        <f t="shared" si="93"/>
        <v/>
      </c>
      <c r="DR74" s="60" t="str">
        <f t="shared" si="94"/>
        <v/>
      </c>
      <c r="DS74" s="60" t="str">
        <f t="shared" si="95"/>
        <v/>
      </c>
      <c r="DV74" s="119" t="s">
        <v>171</v>
      </c>
      <c r="DW74" s="120">
        <v>99</v>
      </c>
      <c r="DX74" s="121">
        <v>111.3</v>
      </c>
      <c r="DY74" s="145">
        <v>111.4</v>
      </c>
      <c r="DZ74" s="146">
        <v>117</v>
      </c>
      <c r="EA74" s="149">
        <v>117.1</v>
      </c>
      <c r="EB74" s="150">
        <v>140.1</v>
      </c>
      <c r="EC74" s="148">
        <v>140.19999999999999</v>
      </c>
      <c r="EE74" s="143" t="s">
        <v>171</v>
      </c>
      <c r="EF74" s="144">
        <v>99</v>
      </c>
      <c r="EG74" s="170">
        <v>110.3</v>
      </c>
      <c r="EH74" s="174">
        <v>110.4</v>
      </c>
      <c r="EI74" s="175">
        <v>116.2</v>
      </c>
      <c r="EJ74" s="180">
        <v>116.3</v>
      </c>
      <c r="EK74" s="181">
        <v>139.80000000000001</v>
      </c>
      <c r="EL74" s="173">
        <v>139.9</v>
      </c>
    </row>
    <row r="75" spans="1:174" ht="2.25" hidden="1" customHeight="1">
      <c r="A75" s="185"/>
      <c r="B75" s="184"/>
      <c r="C75" s="186" t="s">
        <v>259</v>
      </c>
      <c r="D75" s="349"/>
      <c r="E75" s="349"/>
      <c r="F75" s="188"/>
      <c r="G75" s="188"/>
      <c r="H75" s="188"/>
      <c r="I75" s="222"/>
      <c r="J75" s="222"/>
      <c r="K75" s="222"/>
      <c r="L75" s="222"/>
      <c r="M75" s="187"/>
      <c r="N75" s="187"/>
      <c r="O75" s="36"/>
      <c r="P75" s="36"/>
      <c r="Q75" s="36"/>
      <c r="R75" s="36"/>
      <c r="S75" s="36"/>
      <c r="T75" s="36"/>
      <c r="U75" s="36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W75" s="5" t="str">
        <f t="shared" si="122"/>
        <v/>
      </c>
      <c r="AX75" s="5" t="str">
        <f t="shared" si="123"/>
        <v/>
      </c>
      <c r="BB75" s="5"/>
      <c r="BE75" s="63"/>
      <c r="BF75" s="63"/>
      <c r="BG75" s="63"/>
      <c r="BK75" s="71" t="s">
        <v>260</v>
      </c>
      <c r="BL75" s="70">
        <v>135</v>
      </c>
      <c r="BM75" s="5">
        <v>13</v>
      </c>
      <c r="BN75" s="77">
        <v>13.1</v>
      </c>
      <c r="BO75" s="78">
        <f t="shared" si="112"/>
        <v>14</v>
      </c>
      <c r="BP75" s="79">
        <v>14.1</v>
      </c>
      <c r="BQ75" s="80">
        <v>22.7</v>
      </c>
      <c r="BR75" s="81">
        <f t="shared" si="113"/>
        <v>22.8</v>
      </c>
      <c r="BS75" s="82">
        <v>28.5</v>
      </c>
      <c r="BT75" s="83">
        <v>28.6</v>
      </c>
      <c r="BU75" s="41"/>
      <c r="BV75" s="87" t="s">
        <v>260</v>
      </c>
      <c r="BW75" s="86">
        <v>135</v>
      </c>
      <c r="BX75" s="5">
        <v>12.7</v>
      </c>
      <c r="BY75" s="88">
        <v>12.8</v>
      </c>
      <c r="BZ75" s="78">
        <f t="shared" si="114"/>
        <v>13.9</v>
      </c>
      <c r="CA75" s="89">
        <v>14</v>
      </c>
      <c r="CB75" s="90">
        <v>24</v>
      </c>
      <c r="CC75" s="92">
        <f t="shared" si="115"/>
        <v>24.1</v>
      </c>
      <c r="CD75" s="93">
        <v>30.6</v>
      </c>
      <c r="CE75" s="83" t="s">
        <v>261</v>
      </c>
      <c r="CF75" s="5"/>
      <c r="CG75" s="5"/>
      <c r="CH75" s="5"/>
      <c r="CI75" s="5"/>
      <c r="CJ75" s="5"/>
      <c r="CK75" s="5"/>
      <c r="CL75" s="5"/>
      <c r="CV75" s="256"/>
      <c r="CW75" s="95">
        <v>63</v>
      </c>
      <c r="CX75" s="96">
        <f t="shared" si="116"/>
        <v>13</v>
      </c>
      <c r="CY75" s="97">
        <v>13.1</v>
      </c>
      <c r="CZ75" s="96">
        <f t="shared" si="117"/>
        <v>14.5</v>
      </c>
      <c r="DA75" s="97">
        <v>14.6</v>
      </c>
      <c r="DB75" s="97">
        <v>24.7</v>
      </c>
      <c r="DC75" s="96">
        <f t="shared" si="118"/>
        <v>24.8</v>
      </c>
      <c r="DD75" s="262"/>
      <c r="DE75" s="262"/>
      <c r="DF75" s="41"/>
      <c r="DG75" s="256"/>
      <c r="DH75" s="96">
        <f t="shared" si="119"/>
        <v>12.6</v>
      </c>
      <c r="DI75" s="97">
        <v>12.7</v>
      </c>
      <c r="DJ75" s="96">
        <f t="shared" si="120"/>
        <v>14.1</v>
      </c>
      <c r="DK75" s="97">
        <v>14.2</v>
      </c>
      <c r="DL75" s="97">
        <v>25.4</v>
      </c>
      <c r="DM75" s="96">
        <f t="shared" si="121"/>
        <v>25.5</v>
      </c>
      <c r="DN75" s="107">
        <v>25.5</v>
      </c>
      <c r="DO75" s="261"/>
      <c r="DP75" s="255"/>
      <c r="DV75" s="119" t="s">
        <v>175</v>
      </c>
      <c r="DW75" s="120">
        <v>100</v>
      </c>
      <c r="DX75" s="121">
        <v>111.6</v>
      </c>
      <c r="DY75" s="145">
        <v>111.7</v>
      </c>
      <c r="DZ75" s="146">
        <v>117.4</v>
      </c>
      <c r="EA75" s="149">
        <v>117.5</v>
      </c>
      <c r="EB75" s="150">
        <v>140.6</v>
      </c>
      <c r="EC75" s="148">
        <v>140.69999999999999</v>
      </c>
      <c r="EE75" s="143" t="s">
        <v>175</v>
      </c>
      <c r="EF75" s="144">
        <v>100</v>
      </c>
      <c r="EG75" s="170">
        <v>110.7</v>
      </c>
      <c r="EH75" s="174">
        <v>110.8</v>
      </c>
      <c r="EI75" s="175">
        <v>116.6</v>
      </c>
      <c r="EJ75" s="180">
        <v>116.7</v>
      </c>
      <c r="EK75" s="181">
        <v>140.30000000000001</v>
      </c>
      <c r="EL75" s="173">
        <v>140.4</v>
      </c>
    </row>
    <row r="76" spans="1:174" ht="11.15" customHeight="1">
      <c r="A76" s="185"/>
      <c r="B76" s="184"/>
      <c r="C76" s="189" t="s">
        <v>16</v>
      </c>
      <c r="D76" s="189" t="s">
        <v>31</v>
      </c>
      <c r="E76" s="189" t="s">
        <v>33</v>
      </c>
      <c r="F76" s="189" t="s">
        <v>262</v>
      </c>
      <c r="G76" s="350" t="s">
        <v>263</v>
      </c>
      <c r="H76" s="350"/>
      <c r="I76" s="351" t="s">
        <v>31</v>
      </c>
      <c r="J76" s="352"/>
      <c r="K76" s="353"/>
      <c r="L76" s="190" t="s">
        <v>33</v>
      </c>
      <c r="M76" s="190" t="s">
        <v>264</v>
      </c>
      <c r="N76" s="188" t="s">
        <v>265</v>
      </c>
      <c r="O76" s="36"/>
      <c r="P76" s="36"/>
      <c r="Q76" s="36"/>
      <c r="R76" s="36"/>
      <c r="S76" s="36"/>
      <c r="T76" s="36"/>
      <c r="U76" s="36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W76" s="5" t="str">
        <f t="shared" si="122"/>
        <v/>
      </c>
      <c r="AX76" s="5" t="str">
        <f t="shared" si="123"/>
        <v/>
      </c>
      <c r="BB76" s="5"/>
      <c r="BE76" s="63"/>
      <c r="BF76" s="63"/>
      <c r="BG76" s="63"/>
      <c r="BK76" s="71" t="s">
        <v>266</v>
      </c>
      <c r="BL76" s="70">
        <v>136</v>
      </c>
      <c r="BM76" s="5">
        <v>13.1</v>
      </c>
      <c r="BN76" s="77">
        <v>13.2</v>
      </c>
      <c r="BO76" s="78">
        <f t="shared" ref="BO76:BO84" si="129">BP76-0.1</f>
        <v>14.1</v>
      </c>
      <c r="BP76" s="79">
        <v>14.2</v>
      </c>
      <c r="BQ76" s="80">
        <v>22.8</v>
      </c>
      <c r="BR76" s="81">
        <f t="shared" ref="BR76:BR84" si="130">BQ76+0.1</f>
        <v>22.9</v>
      </c>
      <c r="BS76" s="82">
        <v>28.7</v>
      </c>
      <c r="BT76" s="83">
        <v>28.8</v>
      </c>
      <c r="BU76" s="41"/>
      <c r="BV76" s="87" t="s">
        <v>266</v>
      </c>
      <c r="BW76" s="86">
        <v>136</v>
      </c>
      <c r="BX76" s="5">
        <v>12.8</v>
      </c>
      <c r="BY76" s="88">
        <v>12.9</v>
      </c>
      <c r="BZ76" s="78">
        <f t="shared" ref="BZ76:BZ84" si="131">CA76-0.1</f>
        <v>13.9</v>
      </c>
      <c r="CA76" s="89">
        <v>14</v>
      </c>
      <c r="CB76" s="90">
        <v>24.1</v>
      </c>
      <c r="CC76" s="92">
        <f t="shared" ref="CC76:CC84" si="132">CB76+0.1</f>
        <v>24.2</v>
      </c>
      <c r="CD76" s="93">
        <v>30.8</v>
      </c>
      <c r="CE76" s="83" t="s">
        <v>267</v>
      </c>
      <c r="CF76" s="5"/>
      <c r="CG76" s="5"/>
      <c r="CH76" s="5"/>
      <c r="CI76" s="5"/>
      <c r="CJ76" s="5"/>
      <c r="CK76" s="5"/>
      <c r="CL76" s="5"/>
      <c r="CV76" s="256"/>
      <c r="CW76" s="95">
        <v>64</v>
      </c>
      <c r="CX76" s="96">
        <f t="shared" ref="CX76:CX83" si="133">SUM(CY76)-0.1</f>
        <v>13.1</v>
      </c>
      <c r="CY76" s="97">
        <v>13.2</v>
      </c>
      <c r="CZ76" s="96">
        <f t="shared" ref="CZ76:CZ83" si="134">SUM(DA76)-0.1</f>
        <v>14.7</v>
      </c>
      <c r="DA76" s="97">
        <v>14.8</v>
      </c>
      <c r="DB76" s="97">
        <v>24.9</v>
      </c>
      <c r="DC76" s="96">
        <f t="shared" ref="DC76:DC83" si="135">DB76+0.1</f>
        <v>25</v>
      </c>
      <c r="DD76" s="262"/>
      <c r="DE76" s="262"/>
      <c r="DF76" s="41"/>
      <c r="DG76" s="256"/>
      <c r="DH76" s="96">
        <f t="shared" ref="DH76:DH83" si="136">SUM(DI76)-0.1</f>
        <v>12.7</v>
      </c>
      <c r="DI76" s="97">
        <v>12.8</v>
      </c>
      <c r="DJ76" s="96">
        <f t="shared" ref="DJ76:DJ83" si="137">SUM(DK76)-0.1</f>
        <v>14.2</v>
      </c>
      <c r="DK76" s="97">
        <v>14.3</v>
      </c>
      <c r="DL76" s="97">
        <v>25.6</v>
      </c>
      <c r="DM76" s="96">
        <f t="shared" ref="DM76:DM83" si="138">DL76+0.1</f>
        <v>25.7</v>
      </c>
      <c r="DN76" s="107">
        <v>25.7</v>
      </c>
      <c r="DO76" s="261"/>
      <c r="DP76" s="255"/>
      <c r="DV76" s="119" t="s">
        <v>179</v>
      </c>
      <c r="DW76" s="120">
        <v>101</v>
      </c>
      <c r="DX76" s="121">
        <v>112</v>
      </c>
      <c r="DY76" s="145">
        <v>112.1</v>
      </c>
      <c r="DZ76" s="146">
        <v>117.8</v>
      </c>
      <c r="EA76" s="149">
        <v>117.9</v>
      </c>
      <c r="EB76" s="150">
        <v>141.1</v>
      </c>
      <c r="EC76" s="148">
        <v>141.19999999999999</v>
      </c>
      <c r="EE76" s="143" t="s">
        <v>179</v>
      </c>
      <c r="EF76" s="144">
        <v>101</v>
      </c>
      <c r="EG76" s="170">
        <v>111.1</v>
      </c>
      <c r="EH76" s="174">
        <v>111.2</v>
      </c>
      <c r="EI76" s="175">
        <v>117</v>
      </c>
      <c r="EJ76" s="180">
        <v>117.1</v>
      </c>
      <c r="EK76" s="181">
        <v>140.9</v>
      </c>
      <c r="EL76" s="173">
        <v>141</v>
      </c>
    </row>
    <row r="77" spans="1:174" ht="11.15" customHeight="1">
      <c r="A77" s="184"/>
      <c r="B77" s="184"/>
      <c r="C77" s="191" t="s">
        <v>268</v>
      </c>
      <c r="D77" s="192" t="str">
        <f>IF($C$9="","",COUNTIF(G9:G73,"m"))</f>
        <v/>
      </c>
      <c r="E77" s="192" t="str">
        <f>IF($C$9="","",COUNTIF(G9:G73,"f"))</f>
        <v/>
      </c>
      <c r="F77" s="193" t="str">
        <f t="shared" ref="F77:F82" si="139">IF($C$9="","",SUM(D77,E77))</f>
        <v/>
      </c>
      <c r="G77" s="354" t="s">
        <v>269</v>
      </c>
      <c r="H77" s="355"/>
      <c r="I77" s="356" t="str">
        <f>IF($D77="","",D77-P9)</f>
        <v/>
      </c>
      <c r="J77" s="357"/>
      <c r="K77" s="358"/>
      <c r="L77" s="35" t="str">
        <f>IF($D77="","",E77-Q9)</f>
        <v/>
      </c>
      <c r="M77" s="223" t="str">
        <f>IF($C$9="","",SUM(I77:L77))</f>
        <v/>
      </c>
      <c r="N77" s="188" t="s">
        <v>270</v>
      </c>
      <c r="O77" s="36"/>
      <c r="P77" s="36"/>
      <c r="Q77" s="36"/>
      <c r="R77" s="36"/>
      <c r="S77" s="36"/>
      <c r="T77" s="36"/>
      <c r="U77" s="36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W77" s="5" t="str">
        <f t="shared" si="122"/>
        <v/>
      </c>
      <c r="AX77" s="5" t="str">
        <f t="shared" si="123"/>
        <v/>
      </c>
      <c r="BB77" s="5"/>
      <c r="BE77" s="63"/>
      <c r="BF77" s="63"/>
      <c r="BG77" s="63"/>
      <c r="BK77" s="71" t="s">
        <v>271</v>
      </c>
      <c r="BL77" s="70">
        <v>137</v>
      </c>
      <c r="BM77" s="5">
        <v>13.1</v>
      </c>
      <c r="BN77" s="77">
        <v>13.2</v>
      </c>
      <c r="BO77" s="78">
        <f t="shared" si="129"/>
        <v>14.1</v>
      </c>
      <c r="BP77" s="79">
        <v>14.2</v>
      </c>
      <c r="BQ77" s="80">
        <v>22.9</v>
      </c>
      <c r="BR77" s="81">
        <f t="shared" si="130"/>
        <v>23</v>
      </c>
      <c r="BS77" s="82">
        <v>28.8</v>
      </c>
      <c r="BT77" s="83">
        <v>28.9</v>
      </c>
      <c r="BU77" s="41"/>
      <c r="BV77" s="87" t="s">
        <v>271</v>
      </c>
      <c r="BW77" s="86">
        <v>137</v>
      </c>
      <c r="BX77" s="5">
        <v>12.8</v>
      </c>
      <c r="BY77" s="88">
        <v>12.9</v>
      </c>
      <c r="BZ77" s="78">
        <f t="shared" si="131"/>
        <v>14</v>
      </c>
      <c r="CA77" s="89">
        <v>14.1</v>
      </c>
      <c r="CB77" s="90">
        <v>24.2</v>
      </c>
      <c r="CC77" s="92">
        <f t="shared" si="132"/>
        <v>24.3</v>
      </c>
      <c r="CD77" s="93">
        <v>30.9</v>
      </c>
      <c r="CE77" s="83" t="s">
        <v>272</v>
      </c>
      <c r="CF77" s="5"/>
      <c r="CG77" s="5"/>
      <c r="CH77" s="5"/>
      <c r="CI77" s="5"/>
      <c r="CJ77" s="5"/>
      <c r="CK77" s="5"/>
      <c r="CL77" s="5"/>
      <c r="CV77" s="256"/>
      <c r="CW77" s="95">
        <v>65</v>
      </c>
      <c r="CX77" s="96">
        <f t="shared" si="133"/>
        <v>13.2</v>
      </c>
      <c r="CY77" s="97">
        <v>13.3</v>
      </c>
      <c r="CZ77" s="96">
        <f t="shared" si="134"/>
        <v>14.8</v>
      </c>
      <c r="DA77" s="97">
        <v>14.9</v>
      </c>
      <c r="DB77" s="97">
        <v>25.2</v>
      </c>
      <c r="DC77" s="96">
        <f t="shared" si="135"/>
        <v>25.3</v>
      </c>
      <c r="DD77" s="262"/>
      <c r="DE77" s="262"/>
      <c r="DF77" s="41"/>
      <c r="DG77" s="256"/>
      <c r="DH77" s="96">
        <f t="shared" si="136"/>
        <v>12.8</v>
      </c>
      <c r="DI77" s="97">
        <v>12.9</v>
      </c>
      <c r="DJ77" s="96">
        <f t="shared" si="137"/>
        <v>14.3</v>
      </c>
      <c r="DK77" s="97">
        <v>14.4</v>
      </c>
      <c r="DL77" s="97">
        <v>25.9</v>
      </c>
      <c r="DM77" s="96">
        <f t="shared" si="138"/>
        <v>26</v>
      </c>
      <c r="DN77" s="107">
        <v>26</v>
      </c>
      <c r="DO77" s="261"/>
      <c r="DP77" s="255"/>
      <c r="DV77" s="119" t="s">
        <v>183</v>
      </c>
      <c r="DW77" s="120">
        <v>102</v>
      </c>
      <c r="DX77" s="121">
        <v>112.3</v>
      </c>
      <c r="DY77" s="145">
        <v>112.4</v>
      </c>
      <c r="DZ77" s="146">
        <v>118.2</v>
      </c>
      <c r="EA77" s="149">
        <v>118.3</v>
      </c>
      <c r="EB77" s="150">
        <v>141.6</v>
      </c>
      <c r="EC77" s="148">
        <v>141.69999999999999</v>
      </c>
      <c r="EE77" s="143" t="s">
        <v>183</v>
      </c>
      <c r="EF77" s="144">
        <v>102</v>
      </c>
      <c r="EG77" s="170">
        <v>111.5</v>
      </c>
      <c r="EH77" s="174">
        <v>111.6</v>
      </c>
      <c r="EI77" s="175">
        <v>117.5</v>
      </c>
      <c r="EJ77" s="180">
        <v>117.6</v>
      </c>
      <c r="EK77" s="181">
        <v>141.4</v>
      </c>
      <c r="EL77" s="173">
        <v>141.5</v>
      </c>
      <c r="EW77" s="268">
        <f t="shared" ref="EW77:FD77" si="140">SUM(EW9:EW73)</f>
        <v>0</v>
      </c>
      <c r="EX77" s="268">
        <f t="shared" si="140"/>
        <v>0</v>
      </c>
      <c r="EY77" s="268">
        <f t="shared" si="140"/>
        <v>0</v>
      </c>
      <c r="EZ77" s="268">
        <f t="shared" si="140"/>
        <v>0</v>
      </c>
      <c r="FA77" s="268">
        <f t="shared" si="140"/>
        <v>0</v>
      </c>
      <c r="FB77" s="268">
        <f t="shared" si="140"/>
        <v>0</v>
      </c>
      <c r="FC77" s="268">
        <f t="shared" si="140"/>
        <v>0</v>
      </c>
      <c r="FD77" s="268">
        <f t="shared" si="140"/>
        <v>0</v>
      </c>
    </row>
    <row r="78" spans="1:174" ht="11.15" customHeight="1">
      <c r="A78" s="185"/>
      <c r="B78" s="184"/>
      <c r="C78" s="191" t="s">
        <v>273</v>
      </c>
      <c r="D78" s="192" t="str">
        <f>IF($C$9="","",CG74)</f>
        <v/>
      </c>
      <c r="E78" s="192" t="str">
        <f>IF($C$9="","",CN74)</f>
        <v/>
      </c>
      <c r="F78" s="193" t="str">
        <f t="shared" si="139"/>
        <v/>
      </c>
      <c r="G78" s="354" t="s">
        <v>274</v>
      </c>
      <c r="H78" s="355"/>
      <c r="I78" s="356" t="str">
        <f>IF($C$9="","",EW77)</f>
        <v/>
      </c>
      <c r="J78" s="357"/>
      <c r="K78" s="358"/>
      <c r="L78" s="223" t="str">
        <f>IF($C$9="","",FA77)</f>
        <v/>
      </c>
      <c r="M78" s="223" t="str">
        <f>IF($C$9="","",SUM(I78:L78))</f>
        <v/>
      </c>
      <c r="N78" s="188" t="s">
        <v>275</v>
      </c>
      <c r="O78" s="224"/>
      <c r="P78" s="224"/>
      <c r="Q78" s="224"/>
      <c r="R78" s="224"/>
      <c r="S78" s="224"/>
      <c r="T78" s="224"/>
      <c r="U78" s="224"/>
      <c r="V78" s="234"/>
      <c r="W78" s="234"/>
      <c r="X78" s="234"/>
      <c r="Y78" s="234"/>
      <c r="Z78" s="234"/>
      <c r="AA78" s="234"/>
      <c r="AB78" s="234"/>
      <c r="AC78" s="234"/>
      <c r="AD78" s="234"/>
      <c r="AE78" s="234"/>
      <c r="AF78" s="234"/>
      <c r="AG78" s="234"/>
      <c r="AH78" s="234"/>
      <c r="AI78" s="234"/>
      <c r="AJ78" s="234"/>
      <c r="AK78" s="234"/>
      <c r="AL78" s="234"/>
      <c r="AM78" s="234"/>
      <c r="AN78" s="234"/>
      <c r="AO78" s="234"/>
      <c r="AP78" s="234"/>
      <c r="AQ78" s="234"/>
      <c r="AR78" s="59"/>
      <c r="AW78" s="5" t="str">
        <f t="shared" si="122"/>
        <v/>
      </c>
      <c r="AX78" s="5" t="str">
        <f t="shared" si="123"/>
        <v/>
      </c>
      <c r="BB78" s="5"/>
      <c r="BE78" s="63"/>
      <c r="BF78" s="63"/>
      <c r="BG78" s="63"/>
      <c r="BK78" s="71" t="s">
        <v>276</v>
      </c>
      <c r="BL78" s="70">
        <v>138</v>
      </c>
      <c r="BM78" s="5">
        <v>13.1</v>
      </c>
      <c r="BN78" s="77">
        <v>13.2</v>
      </c>
      <c r="BO78" s="78">
        <f t="shared" si="129"/>
        <v>14.1</v>
      </c>
      <c r="BP78" s="79">
        <v>14.2</v>
      </c>
      <c r="BQ78" s="80">
        <v>23</v>
      </c>
      <c r="BR78" s="81">
        <f t="shared" si="130"/>
        <v>23.1</v>
      </c>
      <c r="BS78" s="82">
        <v>29</v>
      </c>
      <c r="BT78" s="83">
        <v>29.1</v>
      </c>
      <c r="BU78" s="41"/>
      <c r="BV78" s="87" t="s">
        <v>276</v>
      </c>
      <c r="BW78" s="86">
        <v>138</v>
      </c>
      <c r="BX78" s="5">
        <v>12.8</v>
      </c>
      <c r="BY78" s="88">
        <v>12.9</v>
      </c>
      <c r="BZ78" s="78">
        <f t="shared" si="131"/>
        <v>14</v>
      </c>
      <c r="CA78" s="89">
        <v>14.1</v>
      </c>
      <c r="CB78" s="90">
        <v>24.3</v>
      </c>
      <c r="CC78" s="92">
        <f t="shared" si="132"/>
        <v>24.4</v>
      </c>
      <c r="CD78" s="93">
        <v>31.1</v>
      </c>
      <c r="CE78" s="83" t="s">
        <v>277</v>
      </c>
      <c r="CF78" s="5"/>
      <c r="CG78" s="5"/>
      <c r="CH78" s="5"/>
      <c r="CI78" s="5"/>
      <c r="CJ78" s="5"/>
      <c r="CK78" s="5"/>
      <c r="CL78" s="5"/>
      <c r="CV78" s="256"/>
      <c r="CW78" s="95">
        <v>66</v>
      </c>
      <c r="CX78" s="96">
        <f t="shared" si="133"/>
        <v>13.3</v>
      </c>
      <c r="CY78" s="97">
        <v>13.4</v>
      </c>
      <c r="CZ78" s="96">
        <f t="shared" si="134"/>
        <v>14.9</v>
      </c>
      <c r="DA78" s="97">
        <v>15</v>
      </c>
      <c r="DB78" s="97">
        <v>25.5</v>
      </c>
      <c r="DC78" s="96">
        <f t="shared" si="135"/>
        <v>25.6</v>
      </c>
      <c r="DD78" s="262"/>
      <c r="DE78" s="262"/>
      <c r="DF78" s="41"/>
      <c r="DG78" s="256"/>
      <c r="DH78" s="96">
        <f t="shared" si="136"/>
        <v>12.9</v>
      </c>
      <c r="DI78" s="97">
        <v>13</v>
      </c>
      <c r="DJ78" s="96">
        <f t="shared" si="137"/>
        <v>14.5</v>
      </c>
      <c r="DK78" s="97">
        <v>14.6</v>
      </c>
      <c r="DL78" s="97">
        <v>26.2</v>
      </c>
      <c r="DM78" s="96">
        <f t="shared" si="138"/>
        <v>26.3</v>
      </c>
      <c r="DN78" s="107">
        <v>26.3</v>
      </c>
      <c r="DO78" s="261"/>
      <c r="DP78" s="255"/>
      <c r="DV78" s="119" t="s">
        <v>187</v>
      </c>
      <c r="DW78" s="120">
        <v>103</v>
      </c>
      <c r="DX78" s="121">
        <v>112.7</v>
      </c>
      <c r="DY78" s="145">
        <v>112.8</v>
      </c>
      <c r="DZ78" s="146">
        <v>118.6</v>
      </c>
      <c r="EA78" s="149">
        <v>118.7</v>
      </c>
      <c r="EB78" s="150">
        <v>142.1</v>
      </c>
      <c r="EC78" s="148">
        <v>142.19999999999999</v>
      </c>
      <c r="EE78" s="143" t="s">
        <v>187</v>
      </c>
      <c r="EF78" s="144">
        <v>103</v>
      </c>
      <c r="EG78" s="170">
        <v>111.9</v>
      </c>
      <c r="EH78" s="174">
        <v>112</v>
      </c>
      <c r="EI78" s="175">
        <v>117.9</v>
      </c>
      <c r="EJ78" s="180">
        <v>118</v>
      </c>
      <c r="EK78" s="181">
        <v>142</v>
      </c>
      <c r="EL78" s="173">
        <v>142.1</v>
      </c>
    </row>
    <row r="79" spans="1:174" s="2" customFormat="1" ht="11.15" customHeight="1">
      <c r="A79" s="185"/>
      <c r="B79" s="184"/>
      <c r="C79" s="191" t="s">
        <v>20</v>
      </c>
      <c r="D79" s="192" t="str">
        <f>IF($C$9="","",CI74)</f>
        <v/>
      </c>
      <c r="E79" s="192" t="str">
        <f>IF($C$9="","",CP74)</f>
        <v/>
      </c>
      <c r="F79" s="193" t="str">
        <f t="shared" si="139"/>
        <v/>
      </c>
      <c r="G79" s="354" t="s">
        <v>43</v>
      </c>
      <c r="H79" s="355"/>
      <c r="I79" s="356" t="str">
        <f>IF($C$9="","",EX77)</f>
        <v/>
      </c>
      <c r="J79" s="357"/>
      <c r="K79" s="358"/>
      <c r="L79" s="35" t="str">
        <f>IF($C$9="","",FB77)</f>
        <v/>
      </c>
      <c r="M79" s="223" t="str">
        <f>IF($C$9="","",SUM(I79:L79))</f>
        <v/>
      </c>
      <c r="N79" s="187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226"/>
      <c r="AS79" s="226"/>
      <c r="AT79" s="226"/>
      <c r="AU79" s="226"/>
      <c r="AV79" s="226"/>
      <c r="AW79" s="28" t="str">
        <f t="shared" si="122"/>
        <v/>
      </c>
      <c r="AX79" s="28" t="str">
        <f t="shared" si="123"/>
        <v/>
      </c>
      <c r="AY79" s="226"/>
      <c r="AZ79" s="226"/>
      <c r="BA79" s="226"/>
      <c r="BB79" s="28"/>
      <c r="BC79" s="226"/>
      <c r="BD79" s="226"/>
      <c r="BE79" s="221"/>
      <c r="BF79" s="221"/>
      <c r="BG79" s="221"/>
      <c r="BH79" s="226"/>
      <c r="BI79" s="226"/>
      <c r="BJ79" s="226"/>
      <c r="BK79" s="237" t="s">
        <v>278</v>
      </c>
      <c r="BL79" s="238">
        <v>139</v>
      </c>
      <c r="BM79" s="28">
        <v>13.1</v>
      </c>
      <c r="BN79" s="239">
        <v>13.2</v>
      </c>
      <c r="BO79" s="240">
        <f t="shared" si="129"/>
        <v>14.2</v>
      </c>
      <c r="BP79" s="241">
        <v>14.3</v>
      </c>
      <c r="BQ79" s="242">
        <v>23.1</v>
      </c>
      <c r="BR79" s="243">
        <f t="shared" si="130"/>
        <v>23.2</v>
      </c>
      <c r="BS79" s="244">
        <v>29.2</v>
      </c>
      <c r="BT79" s="245">
        <v>29.3</v>
      </c>
      <c r="BU79" s="22"/>
      <c r="BV79" s="247" t="s">
        <v>278</v>
      </c>
      <c r="BW79" s="248">
        <v>139</v>
      </c>
      <c r="BX79" s="28">
        <v>12.9</v>
      </c>
      <c r="BY79" s="249">
        <v>13</v>
      </c>
      <c r="BZ79" s="240">
        <f t="shared" si="131"/>
        <v>14.1</v>
      </c>
      <c r="CA79" s="250">
        <v>14.2</v>
      </c>
      <c r="CB79" s="251">
        <v>24.4</v>
      </c>
      <c r="CC79" s="252">
        <f t="shared" si="132"/>
        <v>24.5</v>
      </c>
      <c r="CD79" s="253">
        <v>31.2</v>
      </c>
      <c r="CE79" s="245" t="s">
        <v>279</v>
      </c>
      <c r="CF79" s="28"/>
      <c r="CG79" s="28"/>
      <c r="CH79" s="28"/>
      <c r="CI79" s="28"/>
      <c r="CJ79" s="28"/>
      <c r="CK79" s="28"/>
      <c r="CL79" s="28"/>
      <c r="CM79" s="226"/>
      <c r="CN79" s="226"/>
      <c r="CO79" s="226"/>
      <c r="CP79" s="226"/>
      <c r="CQ79" s="226"/>
      <c r="CR79" s="226"/>
      <c r="CS79" s="226"/>
      <c r="CT79" s="226"/>
      <c r="CU79" s="226"/>
      <c r="CV79" s="257"/>
      <c r="CW79" s="258">
        <v>67</v>
      </c>
      <c r="CX79" s="259">
        <f t="shared" si="133"/>
        <v>13.4</v>
      </c>
      <c r="CY79" s="260">
        <v>13.5</v>
      </c>
      <c r="CZ79" s="259">
        <f t="shared" si="134"/>
        <v>15.1</v>
      </c>
      <c r="DA79" s="260">
        <v>15.2</v>
      </c>
      <c r="DB79" s="260">
        <v>25.7</v>
      </c>
      <c r="DC79" s="259">
        <f t="shared" si="135"/>
        <v>25.8</v>
      </c>
      <c r="DD79" s="264"/>
      <c r="DE79" s="264"/>
      <c r="DF79" s="22"/>
      <c r="DG79" s="257"/>
      <c r="DH79" s="259">
        <f t="shared" si="136"/>
        <v>13</v>
      </c>
      <c r="DI79" s="260">
        <v>13.1</v>
      </c>
      <c r="DJ79" s="259">
        <f t="shared" si="137"/>
        <v>14.6</v>
      </c>
      <c r="DK79" s="260">
        <v>14.7</v>
      </c>
      <c r="DL79" s="260">
        <v>26.5</v>
      </c>
      <c r="DM79" s="259">
        <f t="shared" si="138"/>
        <v>26.6</v>
      </c>
      <c r="DN79" s="265">
        <v>26.6</v>
      </c>
      <c r="DO79" s="266"/>
      <c r="DP79" s="267"/>
      <c r="DQ79" s="226"/>
      <c r="DR79" s="226"/>
      <c r="DS79" s="226"/>
      <c r="DT79" s="226"/>
      <c r="DU79" s="226"/>
      <c r="DV79" s="119" t="s">
        <v>191</v>
      </c>
      <c r="DW79" s="120">
        <v>104</v>
      </c>
      <c r="DX79" s="121">
        <v>113</v>
      </c>
      <c r="DY79" s="145">
        <v>113.1</v>
      </c>
      <c r="DZ79" s="146">
        <v>118.9</v>
      </c>
      <c r="EA79" s="149">
        <v>119</v>
      </c>
      <c r="EB79" s="150">
        <v>142.6</v>
      </c>
      <c r="EC79" s="148">
        <v>142.69999999999999</v>
      </c>
      <c r="ED79" s="226"/>
      <c r="EE79" s="143" t="s">
        <v>191</v>
      </c>
      <c r="EF79" s="144">
        <v>104</v>
      </c>
      <c r="EG79" s="170">
        <v>112.4</v>
      </c>
      <c r="EH79" s="174">
        <v>112.5</v>
      </c>
      <c r="EI79" s="175">
        <v>118.4</v>
      </c>
      <c r="EJ79" s="180">
        <v>118.5</v>
      </c>
      <c r="EK79" s="181">
        <v>142.5</v>
      </c>
      <c r="EL79" s="173">
        <v>142.6</v>
      </c>
      <c r="EM79" s="226"/>
      <c r="EN79" s="226"/>
      <c r="EO79" s="226"/>
      <c r="EP79" s="226"/>
      <c r="EQ79" s="226"/>
      <c r="ER79" s="226"/>
      <c r="ES79" s="226"/>
      <c r="ET79" s="226"/>
      <c r="EU79" s="226"/>
      <c r="EV79" s="226"/>
      <c r="EW79" s="226"/>
      <c r="EX79" s="226"/>
      <c r="EY79" s="226"/>
      <c r="EZ79" s="226"/>
      <c r="FA79" s="226"/>
      <c r="FB79" s="226"/>
      <c r="FC79" s="226"/>
      <c r="FD79" s="226"/>
      <c r="FE79" s="226"/>
      <c r="FF79" s="226"/>
      <c r="FG79" s="226"/>
      <c r="FH79" s="226"/>
      <c r="FI79" s="226"/>
      <c r="FJ79" s="226"/>
      <c r="FK79" s="226"/>
      <c r="FL79" s="226"/>
      <c r="FM79" s="226"/>
      <c r="FN79" s="226"/>
      <c r="FO79" s="226"/>
      <c r="FP79" s="226"/>
      <c r="FQ79" s="226"/>
      <c r="FR79" s="226"/>
    </row>
    <row r="80" spans="1:174" ht="11.15" customHeight="1">
      <c r="A80" s="185"/>
      <c r="B80" s="184"/>
      <c r="C80" s="191" t="s">
        <v>41</v>
      </c>
      <c r="D80" s="192" t="str">
        <f>IF($C$9="","",CK74)</f>
        <v/>
      </c>
      <c r="E80" s="192" t="str">
        <f>IF($C$9="","",CR74)</f>
        <v/>
      </c>
      <c r="F80" s="193" t="str">
        <f t="shared" si="139"/>
        <v/>
      </c>
      <c r="G80" s="354" t="s">
        <v>41</v>
      </c>
      <c r="H80" s="355"/>
      <c r="I80" s="356" t="str">
        <f>IF($C$9="","",EY77)</f>
        <v/>
      </c>
      <c r="J80" s="357"/>
      <c r="K80" s="358"/>
      <c r="L80" s="225" t="str">
        <f>IF($C$9="","",FC77)</f>
        <v/>
      </c>
      <c r="M80" s="223" t="str">
        <f>IF($C$9="","",SUM(I80:L80))</f>
        <v/>
      </c>
      <c r="N80" s="184"/>
      <c r="O80" s="226"/>
      <c r="P80" s="226"/>
      <c r="Q80" s="226"/>
      <c r="R80" s="226"/>
      <c r="S80" s="226"/>
      <c r="T80" s="226"/>
      <c r="U80" s="226"/>
      <c r="AW80" s="5" t="str">
        <f t="shared" si="122"/>
        <v/>
      </c>
      <c r="AX80" s="5" t="str">
        <f t="shared" si="123"/>
        <v/>
      </c>
      <c r="BB80" s="5"/>
      <c r="BE80" s="63"/>
      <c r="BF80" s="63"/>
      <c r="BG80" s="63"/>
      <c r="BK80" s="71" t="s">
        <v>280</v>
      </c>
      <c r="BL80" s="70">
        <v>140</v>
      </c>
      <c r="BM80" s="5">
        <v>13.2</v>
      </c>
      <c r="BN80" s="77">
        <v>13.3</v>
      </c>
      <c r="BO80" s="78">
        <f t="shared" si="129"/>
        <v>14.2</v>
      </c>
      <c r="BP80" s="79">
        <v>14.3</v>
      </c>
      <c r="BQ80" s="80">
        <v>23.2</v>
      </c>
      <c r="BR80" s="81">
        <f t="shared" si="130"/>
        <v>23.3</v>
      </c>
      <c r="BS80" s="82">
        <v>29.3</v>
      </c>
      <c r="BT80" s="83">
        <v>29.4</v>
      </c>
      <c r="BU80" s="41"/>
      <c r="BV80" s="87" t="s">
        <v>280</v>
      </c>
      <c r="BW80" s="86">
        <v>140</v>
      </c>
      <c r="BX80" s="5">
        <v>12.9</v>
      </c>
      <c r="BY80" s="88">
        <v>13</v>
      </c>
      <c r="BZ80" s="78">
        <f t="shared" si="131"/>
        <v>14.1</v>
      </c>
      <c r="CA80" s="89">
        <v>14.2</v>
      </c>
      <c r="CB80" s="90">
        <v>24.5</v>
      </c>
      <c r="CC80" s="92">
        <f t="shared" si="132"/>
        <v>24.6</v>
      </c>
      <c r="CD80" s="93">
        <v>31.4</v>
      </c>
      <c r="CE80" s="83" t="s">
        <v>281</v>
      </c>
      <c r="CF80" s="5"/>
      <c r="CG80" s="5"/>
      <c r="CH80" s="5"/>
      <c r="CI80" s="5"/>
      <c r="CJ80" s="5"/>
      <c r="CK80" s="5"/>
      <c r="CL80" s="5"/>
      <c r="CV80" s="256"/>
      <c r="CW80" s="95">
        <v>68</v>
      </c>
      <c r="CX80" s="96">
        <f t="shared" si="133"/>
        <v>13.6</v>
      </c>
      <c r="CY80" s="97">
        <v>13.7</v>
      </c>
      <c r="CZ80" s="96">
        <f t="shared" si="134"/>
        <v>15.2</v>
      </c>
      <c r="DA80" s="97">
        <v>15.3</v>
      </c>
      <c r="DB80" s="97">
        <v>26</v>
      </c>
      <c r="DC80" s="96">
        <f t="shared" si="135"/>
        <v>26.1</v>
      </c>
      <c r="DD80" s="262"/>
      <c r="DE80" s="262"/>
      <c r="DF80" s="41"/>
      <c r="DG80" s="256"/>
      <c r="DH80" s="96">
        <f t="shared" si="136"/>
        <v>13.1</v>
      </c>
      <c r="DI80" s="97">
        <v>13.2</v>
      </c>
      <c r="DJ80" s="96">
        <f t="shared" si="137"/>
        <v>14.7</v>
      </c>
      <c r="DK80" s="97">
        <v>14.8</v>
      </c>
      <c r="DL80" s="97">
        <v>26.7</v>
      </c>
      <c r="DM80" s="96">
        <f t="shared" si="138"/>
        <v>26.8</v>
      </c>
      <c r="DN80" s="107">
        <v>26.8</v>
      </c>
      <c r="DO80" s="261"/>
      <c r="DP80" s="255"/>
      <c r="DV80" s="119" t="s">
        <v>195</v>
      </c>
      <c r="DW80" s="120">
        <v>105</v>
      </c>
      <c r="DX80" s="121">
        <v>113.4</v>
      </c>
      <c r="DY80" s="145">
        <v>113.5</v>
      </c>
      <c r="DZ80" s="146">
        <v>119.3</v>
      </c>
      <c r="EA80" s="149">
        <v>119.4</v>
      </c>
      <c r="EB80" s="150">
        <v>143.1</v>
      </c>
      <c r="EC80" s="148">
        <v>143.19999999999999</v>
      </c>
      <c r="EE80" s="143" t="s">
        <v>195</v>
      </c>
      <c r="EF80" s="144">
        <v>105</v>
      </c>
      <c r="EG80" s="170">
        <v>112.8</v>
      </c>
      <c r="EH80" s="174">
        <v>112.9</v>
      </c>
      <c r="EI80" s="175">
        <v>118.8</v>
      </c>
      <c r="EJ80" s="180">
        <v>118.9</v>
      </c>
      <c r="EK80" s="181">
        <v>143.1</v>
      </c>
      <c r="EL80" s="173">
        <v>143.19999999999999</v>
      </c>
    </row>
    <row r="81" spans="1:142" ht="11.15" customHeight="1">
      <c r="A81" s="185"/>
      <c r="B81" s="184"/>
      <c r="C81" s="194" t="s">
        <v>22</v>
      </c>
      <c r="D81" s="192" t="str">
        <f>IF($C$9="","",CL74)</f>
        <v/>
      </c>
      <c r="E81" s="192" t="str">
        <f>IF($C$9="","",CS74)</f>
        <v/>
      </c>
      <c r="F81" s="193" t="str">
        <f t="shared" si="139"/>
        <v/>
      </c>
      <c r="G81" s="354" t="s">
        <v>42</v>
      </c>
      <c r="H81" s="355"/>
      <c r="I81" s="359" t="str">
        <f>IF($C$9="","",EZ77)</f>
        <v/>
      </c>
      <c r="J81" s="360"/>
      <c r="K81" s="361"/>
      <c r="L81" s="225" t="str">
        <f>IF($C$9="","",FD77)</f>
        <v/>
      </c>
      <c r="M81" s="223" t="str">
        <f>IF($C$9="","",SUM(I81:L81))</f>
        <v/>
      </c>
      <c r="N81" s="184"/>
      <c r="O81" s="226"/>
      <c r="P81" s="226"/>
      <c r="Q81" s="226"/>
      <c r="R81" s="226"/>
      <c r="S81" s="226"/>
      <c r="T81" s="226"/>
      <c r="U81" s="226"/>
      <c r="AW81" s="5" t="str">
        <f t="shared" si="122"/>
        <v/>
      </c>
      <c r="AX81" s="5" t="str">
        <f t="shared" si="123"/>
        <v/>
      </c>
      <c r="BE81" s="63"/>
      <c r="BF81" s="63"/>
      <c r="BG81" s="63"/>
      <c r="BK81" s="71" t="s">
        <v>282</v>
      </c>
      <c r="BL81" s="70">
        <v>141</v>
      </c>
      <c r="BM81" s="5">
        <v>13.2</v>
      </c>
      <c r="BN81" s="77">
        <v>13.3</v>
      </c>
      <c r="BO81" s="78">
        <f t="shared" si="129"/>
        <v>14.2</v>
      </c>
      <c r="BP81" s="79">
        <v>14.3</v>
      </c>
      <c r="BQ81" s="80">
        <v>23.3</v>
      </c>
      <c r="BR81" s="81">
        <f t="shared" si="130"/>
        <v>23.4</v>
      </c>
      <c r="BS81" s="82">
        <v>29.5</v>
      </c>
      <c r="BT81" s="83">
        <v>29.6</v>
      </c>
      <c r="BU81" s="41"/>
      <c r="BV81" s="87" t="s">
        <v>282</v>
      </c>
      <c r="BW81" s="86">
        <v>141</v>
      </c>
      <c r="BX81" s="5">
        <v>12.9</v>
      </c>
      <c r="BY81" s="88">
        <v>13</v>
      </c>
      <c r="BZ81" s="78">
        <f t="shared" si="131"/>
        <v>14.2</v>
      </c>
      <c r="CA81" s="89">
        <v>14.3</v>
      </c>
      <c r="CB81" s="90">
        <v>24.7</v>
      </c>
      <c r="CC81" s="92">
        <f t="shared" si="132"/>
        <v>24.8</v>
      </c>
      <c r="CD81" s="93">
        <v>31.5</v>
      </c>
      <c r="CE81" s="83" t="s">
        <v>283</v>
      </c>
      <c r="CF81" s="5"/>
      <c r="CG81" s="5"/>
      <c r="CH81" s="5"/>
      <c r="CI81" s="5"/>
      <c r="CJ81" s="5"/>
      <c r="CK81" s="5"/>
      <c r="CL81" s="5"/>
      <c r="CV81" s="256"/>
      <c r="CW81" s="95">
        <v>69</v>
      </c>
      <c r="CX81" s="96">
        <f t="shared" si="133"/>
        <v>13.7</v>
      </c>
      <c r="CY81" s="97">
        <v>13.8</v>
      </c>
      <c r="CZ81" s="96">
        <f t="shared" si="134"/>
        <v>15.3</v>
      </c>
      <c r="DA81" s="97">
        <v>15.4</v>
      </c>
      <c r="DB81" s="97">
        <v>26.3</v>
      </c>
      <c r="DC81" s="96">
        <f t="shared" si="135"/>
        <v>26.4</v>
      </c>
      <c r="DD81" s="262"/>
      <c r="DE81" s="262"/>
      <c r="DF81" s="41"/>
      <c r="DG81" s="256"/>
      <c r="DH81" s="96">
        <f t="shared" si="136"/>
        <v>13.2</v>
      </c>
      <c r="DI81" s="97">
        <v>13.3</v>
      </c>
      <c r="DJ81" s="96">
        <f t="shared" si="137"/>
        <v>14.8</v>
      </c>
      <c r="DK81" s="97">
        <v>14.9</v>
      </c>
      <c r="DL81" s="97">
        <v>27</v>
      </c>
      <c r="DM81" s="96">
        <f t="shared" si="138"/>
        <v>27.1</v>
      </c>
      <c r="DN81" s="107">
        <v>27.1</v>
      </c>
      <c r="DO81" s="261"/>
      <c r="DP81" s="255"/>
      <c r="DV81" s="119" t="s">
        <v>199</v>
      </c>
      <c r="DW81" s="120">
        <v>106</v>
      </c>
      <c r="DX81" s="121">
        <v>113.7</v>
      </c>
      <c r="DY81" s="145">
        <v>113.8</v>
      </c>
      <c r="DZ81" s="146">
        <v>119.7</v>
      </c>
      <c r="EA81" s="149">
        <v>119.8</v>
      </c>
      <c r="EB81" s="150">
        <v>143.6</v>
      </c>
      <c r="EC81" s="148">
        <v>143.69999999999999</v>
      </c>
      <c r="EE81" s="143" t="s">
        <v>199</v>
      </c>
      <c r="EF81" s="144">
        <v>106</v>
      </c>
      <c r="EG81" s="170">
        <v>113.2</v>
      </c>
      <c r="EH81" s="174">
        <v>113.3</v>
      </c>
      <c r="EI81" s="175">
        <v>119.3</v>
      </c>
      <c r="EJ81" s="180">
        <v>119.4</v>
      </c>
      <c r="EK81" s="181">
        <v>143.6</v>
      </c>
      <c r="EL81" s="173">
        <v>143.69999999999999</v>
      </c>
    </row>
    <row r="82" spans="1:142" ht="11.15" customHeight="1">
      <c r="A82" s="185"/>
      <c r="B82" s="184"/>
      <c r="C82" s="191" t="s">
        <v>23</v>
      </c>
      <c r="D82" s="192" t="str">
        <f>IF($C$9="","",CM74)</f>
        <v/>
      </c>
      <c r="E82" s="192" t="str">
        <f>IF($C$9="","",CT74)</f>
        <v/>
      </c>
      <c r="F82" s="193" t="str">
        <f t="shared" si="139"/>
        <v/>
      </c>
      <c r="G82" s="195"/>
      <c r="H82" s="195"/>
      <c r="I82" s="367" t="s">
        <v>284</v>
      </c>
      <c r="J82" s="367"/>
      <c r="K82" s="367"/>
      <c r="L82" s="367"/>
      <c r="M82" s="227"/>
      <c r="N82" s="184"/>
      <c r="O82" s="226"/>
      <c r="P82" s="226"/>
      <c r="Q82" s="226"/>
      <c r="R82" s="226"/>
      <c r="S82" s="226"/>
      <c r="T82" s="226"/>
      <c r="U82" s="226"/>
      <c r="AW82" s="5" t="str">
        <f t="shared" si="122"/>
        <v/>
      </c>
      <c r="AX82" s="5" t="str">
        <f t="shared" si="123"/>
        <v/>
      </c>
      <c r="BE82" s="63"/>
      <c r="BF82" s="63"/>
      <c r="BG82" s="63"/>
      <c r="BK82" s="71" t="s">
        <v>285</v>
      </c>
      <c r="BL82" s="70">
        <v>142</v>
      </c>
      <c r="BM82" s="5">
        <v>13.2</v>
      </c>
      <c r="BN82" s="77">
        <v>13.3</v>
      </c>
      <c r="BO82" s="78">
        <f t="shared" si="129"/>
        <v>14.3</v>
      </c>
      <c r="BP82" s="79">
        <v>14.4</v>
      </c>
      <c r="BQ82" s="80">
        <v>23.4</v>
      </c>
      <c r="BR82" s="81">
        <f t="shared" si="130"/>
        <v>23.5</v>
      </c>
      <c r="BS82" s="82">
        <v>29.6</v>
      </c>
      <c r="BT82" s="83">
        <v>29.7</v>
      </c>
      <c r="BU82" s="41"/>
      <c r="BV82" s="87" t="s">
        <v>285</v>
      </c>
      <c r="BW82" s="86">
        <v>142</v>
      </c>
      <c r="BX82" s="5">
        <v>13</v>
      </c>
      <c r="BY82" s="88">
        <v>13.1</v>
      </c>
      <c r="BZ82" s="78">
        <f t="shared" si="131"/>
        <v>14.2</v>
      </c>
      <c r="CA82" s="89">
        <v>14.3</v>
      </c>
      <c r="CB82" s="90">
        <v>24.8</v>
      </c>
      <c r="CC82" s="92">
        <f t="shared" si="132"/>
        <v>24.9</v>
      </c>
      <c r="CD82" s="93">
        <v>31.6</v>
      </c>
      <c r="CE82" s="83" t="s">
        <v>286</v>
      </c>
      <c r="CF82" s="5"/>
      <c r="CG82" s="5"/>
      <c r="CH82" s="5"/>
      <c r="CI82" s="5"/>
      <c r="CJ82" s="5"/>
      <c r="CK82" s="5"/>
      <c r="CL82" s="5"/>
      <c r="CV82" s="256"/>
      <c r="CW82" s="95">
        <v>70</v>
      </c>
      <c r="CX82" s="96">
        <f t="shared" si="133"/>
        <v>13.8</v>
      </c>
      <c r="CY82" s="97">
        <v>13.9</v>
      </c>
      <c r="CZ82" s="96">
        <f t="shared" si="134"/>
        <v>15.5</v>
      </c>
      <c r="DA82" s="97">
        <v>15.6</v>
      </c>
      <c r="DB82" s="97">
        <v>26.6</v>
      </c>
      <c r="DC82" s="96">
        <f t="shared" si="135"/>
        <v>26.7</v>
      </c>
      <c r="DD82" s="262"/>
      <c r="DE82" s="262"/>
      <c r="DF82" s="41"/>
      <c r="DG82" s="256"/>
      <c r="DH82" s="96">
        <f t="shared" si="136"/>
        <v>13.3</v>
      </c>
      <c r="DI82" s="97">
        <v>13.4</v>
      </c>
      <c r="DJ82" s="96">
        <f t="shared" si="137"/>
        <v>14.9</v>
      </c>
      <c r="DK82" s="97">
        <v>15</v>
      </c>
      <c r="DL82" s="97">
        <v>27.3</v>
      </c>
      <c r="DM82" s="96">
        <f t="shared" si="138"/>
        <v>27.4</v>
      </c>
      <c r="DN82" s="107">
        <v>27.4</v>
      </c>
      <c r="DO82" s="261"/>
      <c r="DP82" s="255"/>
      <c r="DV82" s="119" t="s">
        <v>203</v>
      </c>
      <c r="DW82" s="120">
        <v>107</v>
      </c>
      <c r="DX82" s="121">
        <v>114.1</v>
      </c>
      <c r="DY82" s="145">
        <v>114.2</v>
      </c>
      <c r="DZ82" s="146">
        <v>120.1</v>
      </c>
      <c r="EA82" s="149">
        <v>120.2</v>
      </c>
      <c r="EB82" s="150">
        <v>144.1</v>
      </c>
      <c r="EC82" s="148">
        <v>144.19999999999999</v>
      </c>
      <c r="EE82" s="143" t="s">
        <v>203</v>
      </c>
      <c r="EF82" s="144">
        <v>107</v>
      </c>
      <c r="EG82" s="170">
        <v>113.6</v>
      </c>
      <c r="EH82" s="174">
        <v>113.7</v>
      </c>
      <c r="EI82" s="175">
        <v>119.7</v>
      </c>
      <c r="EJ82" s="180">
        <v>119.8</v>
      </c>
      <c r="EK82" s="181">
        <v>144.19999999999999</v>
      </c>
      <c r="EL82" s="173">
        <v>144.30000000000001</v>
      </c>
    </row>
    <row r="83" spans="1:142" ht="11.15" customHeight="1">
      <c r="A83" s="185"/>
      <c r="B83" s="184"/>
      <c r="D83" s="196"/>
      <c r="E83" s="196"/>
      <c r="F83" s="197"/>
      <c r="G83" s="349"/>
      <c r="H83" s="349"/>
      <c r="I83" s="349"/>
      <c r="J83" s="349"/>
      <c r="K83" s="349"/>
      <c r="L83" s="349"/>
      <c r="M83" s="184"/>
      <c r="N83" s="184"/>
      <c r="O83" s="226"/>
      <c r="P83" s="226"/>
      <c r="Q83" s="226"/>
      <c r="R83" s="226"/>
      <c r="S83" s="226"/>
      <c r="T83" s="226"/>
      <c r="U83" s="226"/>
      <c r="AW83" s="5" t="str">
        <f t="shared" si="122"/>
        <v/>
      </c>
      <c r="AX83" s="5" t="str">
        <f t="shared" si="123"/>
        <v/>
      </c>
      <c r="BE83" s="63"/>
      <c r="BF83" s="63"/>
      <c r="BG83" s="63"/>
      <c r="BK83" s="71" t="s">
        <v>287</v>
      </c>
      <c r="BL83" s="70">
        <v>143</v>
      </c>
      <c r="BM83" s="5">
        <v>13.3</v>
      </c>
      <c r="BN83" s="77">
        <v>13.4</v>
      </c>
      <c r="BO83" s="78">
        <f t="shared" si="129"/>
        <v>14.3</v>
      </c>
      <c r="BP83" s="79">
        <v>14.4</v>
      </c>
      <c r="BQ83" s="80">
        <v>23.5</v>
      </c>
      <c r="BR83" s="81">
        <f t="shared" si="130"/>
        <v>23.6</v>
      </c>
      <c r="BS83" s="82">
        <v>29.8</v>
      </c>
      <c r="BT83" s="83">
        <v>29.9</v>
      </c>
      <c r="BU83" s="41"/>
      <c r="BV83" s="87" t="s">
        <v>287</v>
      </c>
      <c r="BW83" s="86">
        <v>143</v>
      </c>
      <c r="BX83" s="5">
        <v>13</v>
      </c>
      <c r="BY83" s="88">
        <v>13.1</v>
      </c>
      <c r="BZ83" s="78">
        <f t="shared" si="131"/>
        <v>14.2</v>
      </c>
      <c r="CA83" s="89">
        <v>14.3</v>
      </c>
      <c r="CB83" s="90">
        <v>24.9</v>
      </c>
      <c r="CC83" s="92">
        <f t="shared" si="132"/>
        <v>25</v>
      </c>
      <c r="CD83" s="93">
        <v>31.8</v>
      </c>
      <c r="CE83" s="83" t="s">
        <v>288</v>
      </c>
      <c r="CF83" s="5"/>
      <c r="CG83" s="5"/>
      <c r="CH83" s="5"/>
      <c r="CI83" s="5"/>
      <c r="CJ83" s="5"/>
      <c r="CK83" s="5"/>
      <c r="CL83" s="5"/>
      <c r="CV83" s="256"/>
      <c r="CW83" s="95">
        <v>71</v>
      </c>
      <c r="CX83" s="96">
        <f t="shared" si="133"/>
        <v>13.9</v>
      </c>
      <c r="CY83" s="97">
        <v>14</v>
      </c>
      <c r="CZ83" s="96">
        <f t="shared" si="134"/>
        <v>15.6</v>
      </c>
      <c r="DA83" s="97">
        <v>15.7</v>
      </c>
      <c r="DB83" s="97">
        <v>26.8</v>
      </c>
      <c r="DC83" s="96">
        <f t="shared" si="135"/>
        <v>26.9</v>
      </c>
      <c r="DD83" s="262"/>
      <c r="DE83" s="262"/>
      <c r="DF83" s="41"/>
      <c r="DG83" s="256"/>
      <c r="DH83" s="96">
        <f t="shared" si="136"/>
        <v>13.4</v>
      </c>
      <c r="DI83" s="97">
        <v>13.5</v>
      </c>
      <c r="DJ83" s="96">
        <f t="shared" si="137"/>
        <v>15.1</v>
      </c>
      <c r="DK83" s="97">
        <v>15.2</v>
      </c>
      <c r="DL83" s="97">
        <v>27.6</v>
      </c>
      <c r="DM83" s="96">
        <f t="shared" si="138"/>
        <v>27.7</v>
      </c>
      <c r="DN83" s="106">
        <v>27.7</v>
      </c>
      <c r="DO83" s="261"/>
      <c r="DP83" s="255"/>
      <c r="DV83" s="119" t="s">
        <v>205</v>
      </c>
      <c r="DW83" s="120">
        <v>108</v>
      </c>
      <c r="DX83" s="121">
        <v>114.4</v>
      </c>
      <c r="DY83" s="145">
        <v>114.5</v>
      </c>
      <c r="DZ83" s="146">
        <v>120.4</v>
      </c>
      <c r="EA83" s="149">
        <v>120.5</v>
      </c>
      <c r="EB83" s="150">
        <v>144.6</v>
      </c>
      <c r="EC83" s="148">
        <v>144.69999999999999</v>
      </c>
      <c r="EE83" s="143" t="s">
        <v>205</v>
      </c>
      <c r="EF83" s="144">
        <v>108</v>
      </c>
      <c r="EG83" s="170">
        <v>114.1</v>
      </c>
      <c r="EH83" s="174">
        <v>114.2</v>
      </c>
      <c r="EI83" s="175">
        <v>120.2</v>
      </c>
      <c r="EJ83" s="180">
        <v>120.3</v>
      </c>
      <c r="EK83" s="181">
        <v>144.69999999999999</v>
      </c>
      <c r="EL83" s="173">
        <v>144.80000000000001</v>
      </c>
    </row>
    <row r="84" spans="1:142" ht="11.15" customHeight="1">
      <c r="A84" s="185"/>
      <c r="B84" s="184"/>
      <c r="D84" s="198"/>
      <c r="E84" s="198"/>
      <c r="F84" s="199"/>
      <c r="G84" s="362"/>
      <c r="H84" s="363"/>
      <c r="I84" s="363"/>
      <c r="J84" s="363"/>
      <c r="K84" s="363"/>
      <c r="L84" s="364"/>
      <c r="M84" s="364"/>
      <c r="N84" s="364"/>
      <c r="O84" s="226"/>
      <c r="P84" s="226"/>
      <c r="Q84" s="226"/>
      <c r="R84" s="226"/>
      <c r="S84" s="226"/>
      <c r="T84" s="226"/>
      <c r="U84" s="226"/>
      <c r="AW84" s="5" t="str">
        <f t="shared" si="122"/>
        <v/>
      </c>
      <c r="AX84" s="5" t="str">
        <f t="shared" si="123"/>
        <v/>
      </c>
      <c r="BE84" s="63"/>
      <c r="BF84" s="63"/>
      <c r="BG84" s="63"/>
      <c r="BK84" s="71" t="s">
        <v>289</v>
      </c>
      <c r="BL84" s="70">
        <v>144</v>
      </c>
      <c r="BM84" s="5">
        <v>13.3</v>
      </c>
      <c r="BN84" s="77">
        <v>13.4</v>
      </c>
      <c r="BO84" s="78">
        <f t="shared" si="129"/>
        <v>14.4</v>
      </c>
      <c r="BP84" s="79">
        <v>14.5</v>
      </c>
      <c r="BQ84" s="80">
        <v>23.6</v>
      </c>
      <c r="BR84" s="81">
        <f t="shared" si="130"/>
        <v>23.7</v>
      </c>
      <c r="BS84" s="82">
        <v>30</v>
      </c>
      <c r="BT84" s="83">
        <v>30.1</v>
      </c>
      <c r="BU84" s="41"/>
      <c r="BV84" s="87" t="s">
        <v>289</v>
      </c>
      <c r="BW84" s="86">
        <v>144</v>
      </c>
      <c r="BX84" s="5">
        <v>13.1</v>
      </c>
      <c r="BY84" s="88">
        <v>13.2</v>
      </c>
      <c r="BZ84" s="78">
        <f t="shared" si="131"/>
        <v>14.3</v>
      </c>
      <c r="CA84" s="89">
        <v>14.4</v>
      </c>
      <c r="CB84" s="90">
        <v>25</v>
      </c>
      <c r="CC84" s="92">
        <f t="shared" si="132"/>
        <v>25.1</v>
      </c>
      <c r="CD84" s="93">
        <v>31.9</v>
      </c>
      <c r="CE84" s="83" t="s">
        <v>290</v>
      </c>
      <c r="CF84" s="5"/>
      <c r="CG84" s="5"/>
      <c r="CH84" s="5"/>
      <c r="CI84" s="5"/>
      <c r="CJ84" s="5"/>
      <c r="CK84" s="5"/>
      <c r="CL84" s="5"/>
      <c r="CV84" s="256"/>
      <c r="CW84" s="261"/>
      <c r="CX84" s="262"/>
      <c r="CY84" s="262"/>
      <c r="CZ84" s="262"/>
      <c r="DA84" s="262"/>
      <c r="DB84" s="262"/>
      <c r="DC84" s="262"/>
      <c r="DD84" s="262"/>
      <c r="DE84" s="262"/>
      <c r="DF84" s="41"/>
      <c r="DG84" s="256"/>
      <c r="DH84" s="261"/>
      <c r="DI84" s="261"/>
      <c r="DJ84" s="261"/>
      <c r="DK84" s="261"/>
      <c r="DL84" s="261"/>
      <c r="DM84" s="255"/>
      <c r="DN84" s="255"/>
      <c r="DO84" s="261"/>
      <c r="DP84" s="255"/>
      <c r="DV84" s="119" t="s">
        <v>207</v>
      </c>
      <c r="DW84" s="120">
        <v>109</v>
      </c>
      <c r="DX84" s="121">
        <v>114.8</v>
      </c>
      <c r="DY84" s="145">
        <v>114.9</v>
      </c>
      <c r="DZ84" s="146">
        <v>120.8</v>
      </c>
      <c r="EA84" s="149">
        <v>120.9</v>
      </c>
      <c r="EB84" s="150">
        <v>145.1</v>
      </c>
      <c r="EC84" s="148">
        <v>145.19999999999999</v>
      </c>
      <c r="EE84" s="143" t="s">
        <v>207</v>
      </c>
      <c r="EF84" s="144">
        <v>109</v>
      </c>
      <c r="EG84" s="170">
        <v>114.5</v>
      </c>
      <c r="EH84" s="174">
        <v>114.6</v>
      </c>
      <c r="EI84" s="175">
        <v>120.6</v>
      </c>
      <c r="EJ84" s="180">
        <v>120.7</v>
      </c>
      <c r="EK84" s="181">
        <v>145.30000000000001</v>
      </c>
      <c r="EL84" s="173">
        <v>145.4</v>
      </c>
    </row>
    <row r="85" spans="1:142" ht="10.5" customHeight="1">
      <c r="A85" s="185"/>
      <c r="B85" s="184"/>
      <c r="C85" s="200"/>
      <c r="D85" s="200"/>
      <c r="E85" s="200"/>
      <c r="F85" s="200"/>
      <c r="G85" s="187"/>
      <c r="H85" s="187"/>
      <c r="I85" s="228"/>
      <c r="J85" s="228"/>
      <c r="K85" s="228"/>
      <c r="L85" s="365"/>
      <c r="M85" s="365"/>
      <c r="N85" s="365"/>
      <c r="O85" s="226"/>
      <c r="P85" s="226"/>
      <c r="Q85" s="226"/>
      <c r="R85" s="226"/>
      <c r="S85" s="226"/>
      <c r="T85" s="226"/>
      <c r="U85" s="226"/>
      <c r="BE85" s="63"/>
      <c r="BF85" s="63"/>
      <c r="BG85" s="63"/>
      <c r="BK85" s="71"/>
      <c r="BL85" s="70"/>
      <c r="BM85" s="5"/>
      <c r="BN85" s="77"/>
      <c r="BO85" s="82"/>
      <c r="BP85" s="79"/>
      <c r="BQ85" s="80"/>
      <c r="BR85" s="246"/>
      <c r="BS85" s="82"/>
      <c r="BT85" s="83"/>
      <c r="BU85" s="41"/>
      <c r="BV85" s="87"/>
      <c r="BW85" s="86"/>
      <c r="BY85" s="88"/>
      <c r="BZ85" s="82"/>
      <c r="CA85" s="89"/>
      <c r="CB85" s="90"/>
      <c r="CC85" s="254"/>
      <c r="CD85" s="93"/>
      <c r="CE85" s="83"/>
      <c r="CF85" s="5"/>
      <c r="CG85" s="5"/>
      <c r="CH85" s="5"/>
      <c r="CI85" s="5"/>
      <c r="CJ85" s="5"/>
      <c r="CK85" s="5"/>
      <c r="CL85" s="5"/>
      <c r="CV85" s="256"/>
      <c r="CW85" s="261"/>
      <c r="CX85" s="262"/>
      <c r="CY85" s="262"/>
      <c r="CZ85" s="262"/>
      <c r="DA85" s="262"/>
      <c r="DB85" s="262"/>
      <c r="DC85" s="262"/>
      <c r="DD85" s="262"/>
      <c r="DE85" s="262"/>
      <c r="DF85" s="41"/>
      <c r="DG85" s="256"/>
      <c r="DH85" s="261"/>
      <c r="DI85" s="261"/>
      <c r="DJ85" s="261"/>
      <c r="DK85" s="261"/>
      <c r="DL85" s="261"/>
      <c r="DM85" s="255"/>
      <c r="DN85" s="255"/>
      <c r="DO85" s="261"/>
      <c r="DP85" s="255"/>
      <c r="DV85" s="119" t="s">
        <v>209</v>
      </c>
      <c r="DW85" s="120">
        <v>110</v>
      </c>
      <c r="DX85" s="121">
        <v>115.1</v>
      </c>
      <c r="DY85" s="145">
        <v>115.2</v>
      </c>
      <c r="DZ85" s="146">
        <v>121.2</v>
      </c>
      <c r="EA85" s="149">
        <v>121.3</v>
      </c>
      <c r="EB85" s="150">
        <v>145.6</v>
      </c>
      <c r="EC85" s="148">
        <v>145.69999999999999</v>
      </c>
      <c r="EE85" s="143" t="s">
        <v>209</v>
      </c>
      <c r="EF85" s="144">
        <v>110</v>
      </c>
      <c r="EG85" s="170">
        <v>114.9</v>
      </c>
      <c r="EH85" s="174">
        <v>115</v>
      </c>
      <c r="EI85" s="175">
        <v>121.1</v>
      </c>
      <c r="EJ85" s="180">
        <v>121.2</v>
      </c>
      <c r="EK85" s="181">
        <v>145.80000000000001</v>
      </c>
      <c r="EL85" s="173">
        <v>145.9</v>
      </c>
    </row>
    <row r="86" spans="1:142" ht="11.15" customHeight="1">
      <c r="A86" s="185"/>
      <c r="B86" s="184"/>
      <c r="C86" s="201"/>
      <c r="D86" s="183"/>
      <c r="E86" s="184"/>
      <c r="F86" s="202"/>
      <c r="G86" s="202"/>
      <c r="H86" s="203"/>
      <c r="I86" s="203"/>
      <c r="J86" s="203"/>
      <c r="K86" s="203"/>
      <c r="L86" s="366"/>
      <c r="M86" s="366"/>
      <c r="N86" s="366"/>
      <c r="O86" s="22"/>
      <c r="P86" s="22"/>
      <c r="Q86" s="22"/>
      <c r="R86" s="22"/>
      <c r="S86" s="22"/>
      <c r="T86" s="22"/>
      <c r="U86" s="22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BE86" s="63"/>
      <c r="BF86" s="63"/>
      <c r="BG86" s="63"/>
      <c r="BK86" s="71" t="s">
        <v>291</v>
      </c>
      <c r="BL86" s="70">
        <v>145</v>
      </c>
      <c r="BM86" s="5">
        <v>13.3</v>
      </c>
      <c r="BN86" s="77">
        <v>13.4</v>
      </c>
      <c r="BO86" s="78">
        <f t="shared" ref="BO86:BO117" si="141">BP86-0.1</f>
        <v>14.4</v>
      </c>
      <c r="BP86" s="79">
        <v>14.5</v>
      </c>
      <c r="BQ86" s="80">
        <v>23.7</v>
      </c>
      <c r="BR86" s="81">
        <f t="shared" ref="BR86:BR117" si="142">BQ86+0.1</f>
        <v>23.8</v>
      </c>
      <c r="BS86" s="82">
        <v>30.1</v>
      </c>
      <c r="BT86" s="83">
        <v>30.2</v>
      </c>
      <c r="BU86" s="41"/>
      <c r="BV86" s="87" t="s">
        <v>291</v>
      </c>
      <c r="BW86" s="86">
        <v>145</v>
      </c>
      <c r="BX86" s="5">
        <v>13.1</v>
      </c>
      <c r="BY86" s="88">
        <v>13.2</v>
      </c>
      <c r="BZ86" s="78">
        <f t="shared" ref="BZ86:BZ117" si="143">CA86-0.1</f>
        <v>14.3</v>
      </c>
      <c r="CA86" s="89">
        <v>14.4</v>
      </c>
      <c r="CB86" s="90">
        <v>25.1</v>
      </c>
      <c r="CC86" s="92">
        <f t="shared" ref="CC86:CC117" si="144">CB86+0.1</f>
        <v>25.2</v>
      </c>
      <c r="CD86" s="93">
        <v>32</v>
      </c>
      <c r="CE86" s="83" t="s">
        <v>292</v>
      </c>
      <c r="CF86" s="5"/>
      <c r="CG86" s="5"/>
      <c r="CH86" s="5"/>
      <c r="CI86" s="5"/>
      <c r="CJ86" s="5"/>
      <c r="CK86" s="5"/>
      <c r="CL86" s="5"/>
      <c r="CV86" s="256"/>
      <c r="CW86" s="261"/>
      <c r="CX86" s="262"/>
      <c r="CY86" s="262"/>
      <c r="CZ86" s="262"/>
      <c r="DA86" s="262"/>
      <c r="DB86" s="262"/>
      <c r="DC86" s="262"/>
      <c r="DD86" s="262"/>
      <c r="DE86" s="262"/>
      <c r="DF86" s="41"/>
      <c r="DG86" s="256"/>
      <c r="DH86" s="261"/>
      <c r="DI86" s="261"/>
      <c r="DJ86" s="261"/>
      <c r="DK86" s="261"/>
      <c r="DL86" s="261"/>
      <c r="DM86" s="261"/>
      <c r="DN86" s="261"/>
      <c r="DO86" s="255"/>
      <c r="DP86" s="255"/>
      <c r="DV86" s="119" t="s">
        <v>211</v>
      </c>
      <c r="DW86" s="120">
        <v>111</v>
      </c>
      <c r="DX86" s="121">
        <v>115.5</v>
      </c>
      <c r="DY86" s="145">
        <v>115.6</v>
      </c>
      <c r="DZ86" s="146">
        <v>121.6</v>
      </c>
      <c r="EA86" s="149">
        <v>121.7</v>
      </c>
      <c r="EB86" s="150">
        <v>146.1</v>
      </c>
      <c r="EC86" s="148">
        <v>146.19999999999999</v>
      </c>
      <c r="EE86" s="143" t="s">
        <v>211</v>
      </c>
      <c r="EF86" s="144">
        <v>111</v>
      </c>
      <c r="EG86" s="170">
        <v>115.4</v>
      </c>
      <c r="EH86" s="174">
        <v>115.5</v>
      </c>
      <c r="EI86" s="175">
        <v>121.5</v>
      </c>
      <c r="EJ86" s="180">
        <v>121.6</v>
      </c>
      <c r="EK86" s="181">
        <v>146.4</v>
      </c>
      <c r="EL86" s="173">
        <v>146.5</v>
      </c>
    </row>
    <row r="87" spans="1:142" ht="11.15" customHeight="1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368"/>
      <c r="M87" s="368"/>
      <c r="N87" s="368"/>
      <c r="O87" s="226"/>
      <c r="P87" s="226"/>
      <c r="Q87" s="226"/>
      <c r="R87" s="226"/>
      <c r="S87" s="226"/>
      <c r="T87" s="226"/>
      <c r="U87" s="226"/>
      <c r="BE87" s="63"/>
      <c r="BF87" s="63"/>
      <c r="BG87" s="63"/>
      <c r="BK87" s="71" t="s">
        <v>293</v>
      </c>
      <c r="BL87" s="70">
        <v>146</v>
      </c>
      <c r="BM87" s="5">
        <v>13.4</v>
      </c>
      <c r="BN87" s="77">
        <v>13.5</v>
      </c>
      <c r="BO87" s="78">
        <f t="shared" si="141"/>
        <v>14.4</v>
      </c>
      <c r="BP87" s="79">
        <v>14.5</v>
      </c>
      <c r="BQ87" s="80">
        <v>23.8</v>
      </c>
      <c r="BR87" s="81">
        <f t="shared" si="142"/>
        <v>23.9</v>
      </c>
      <c r="BS87" s="82">
        <v>30.3</v>
      </c>
      <c r="BT87" s="83">
        <v>30.4</v>
      </c>
      <c r="BU87" s="41"/>
      <c r="BV87" s="87" t="s">
        <v>293</v>
      </c>
      <c r="BW87" s="86">
        <v>146</v>
      </c>
      <c r="BX87" s="5">
        <v>13.1</v>
      </c>
      <c r="BY87" s="88">
        <v>13.2</v>
      </c>
      <c r="BZ87" s="78">
        <f t="shared" si="143"/>
        <v>14.4</v>
      </c>
      <c r="CA87" s="89">
        <v>14.5</v>
      </c>
      <c r="CB87" s="90">
        <v>25.2</v>
      </c>
      <c r="CC87" s="92">
        <f t="shared" si="144"/>
        <v>25.3</v>
      </c>
      <c r="CD87" s="93">
        <v>32.200000000000003</v>
      </c>
      <c r="CE87" s="83" t="s">
        <v>294</v>
      </c>
      <c r="CF87" s="5"/>
      <c r="CG87" s="5"/>
      <c r="CH87" s="5"/>
      <c r="CI87" s="5"/>
      <c r="CJ87" s="5"/>
      <c r="CK87" s="5"/>
      <c r="CL87" s="5"/>
      <c r="CV87" s="256"/>
      <c r="CW87" s="261"/>
      <c r="CX87" s="262"/>
      <c r="CY87" s="262"/>
      <c r="CZ87" s="262"/>
      <c r="DA87" s="262"/>
      <c r="DB87" s="262"/>
      <c r="DC87" s="262"/>
      <c r="DD87" s="262"/>
      <c r="DE87" s="262"/>
      <c r="DF87" s="41"/>
      <c r="DG87" s="256"/>
      <c r="DH87" s="261"/>
      <c r="DI87" s="261"/>
      <c r="DJ87" s="261"/>
      <c r="DK87" s="261"/>
      <c r="DL87" s="261"/>
      <c r="DM87" s="255"/>
      <c r="DN87" s="255"/>
      <c r="DO87" s="261"/>
      <c r="DP87" s="255"/>
      <c r="DV87" s="119" t="s">
        <v>213</v>
      </c>
      <c r="DW87" s="120">
        <v>112</v>
      </c>
      <c r="DX87" s="121">
        <v>115.8</v>
      </c>
      <c r="DY87" s="145">
        <v>115.9</v>
      </c>
      <c r="DZ87" s="146">
        <v>121.9</v>
      </c>
      <c r="EA87" s="149">
        <v>122</v>
      </c>
      <c r="EB87" s="150">
        <v>146.6</v>
      </c>
      <c r="EC87" s="148">
        <v>146.69999999999999</v>
      </c>
      <c r="EE87" s="143" t="s">
        <v>213</v>
      </c>
      <c r="EF87" s="144">
        <v>112</v>
      </c>
      <c r="EG87" s="170">
        <v>115.8</v>
      </c>
      <c r="EH87" s="174">
        <v>115.9</v>
      </c>
      <c r="EI87" s="175">
        <v>122</v>
      </c>
      <c r="EJ87" s="180">
        <v>122.1</v>
      </c>
      <c r="EK87" s="181">
        <v>146.9</v>
      </c>
      <c r="EL87" s="173">
        <v>147</v>
      </c>
    </row>
    <row r="88" spans="1:142" ht="11.15" customHeight="1">
      <c r="A88" s="184"/>
      <c r="B88" s="184"/>
      <c r="C88" s="201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226"/>
      <c r="P88" s="226"/>
      <c r="Q88" s="226"/>
      <c r="R88" s="226"/>
      <c r="S88" s="226"/>
      <c r="T88" s="226"/>
      <c r="U88" s="226"/>
      <c r="BE88" s="63"/>
      <c r="BF88" s="63"/>
      <c r="BG88" s="63"/>
      <c r="BK88" s="71" t="s">
        <v>295</v>
      </c>
      <c r="BL88" s="70">
        <v>147</v>
      </c>
      <c r="BM88" s="5">
        <v>13.4</v>
      </c>
      <c r="BN88" s="77">
        <v>13.5</v>
      </c>
      <c r="BO88" s="78">
        <f t="shared" si="141"/>
        <v>14.5</v>
      </c>
      <c r="BP88" s="79">
        <v>14.6</v>
      </c>
      <c r="BQ88" s="80">
        <v>23.9</v>
      </c>
      <c r="BR88" s="81">
        <f t="shared" si="142"/>
        <v>24</v>
      </c>
      <c r="BS88" s="82">
        <v>30.4</v>
      </c>
      <c r="BT88" s="83">
        <v>30.5</v>
      </c>
      <c r="BU88" s="41"/>
      <c r="BV88" s="87" t="s">
        <v>295</v>
      </c>
      <c r="BW88" s="86">
        <v>147</v>
      </c>
      <c r="BX88" s="5">
        <v>13.2</v>
      </c>
      <c r="BY88" s="88">
        <v>13.3</v>
      </c>
      <c r="BZ88" s="78">
        <f t="shared" si="143"/>
        <v>14.4</v>
      </c>
      <c r="CA88" s="89">
        <v>14.5</v>
      </c>
      <c r="CB88" s="90">
        <v>25.3</v>
      </c>
      <c r="CC88" s="92">
        <f t="shared" si="144"/>
        <v>25.4</v>
      </c>
      <c r="CD88" s="93">
        <v>32.299999999999997</v>
      </c>
      <c r="CE88" s="83" t="s">
        <v>296</v>
      </c>
      <c r="CF88" s="5"/>
      <c r="CG88" s="5"/>
      <c r="CH88" s="5"/>
      <c r="CI88" s="5"/>
      <c r="CJ88" s="5"/>
      <c r="CK88" s="5"/>
      <c r="CL88" s="5"/>
      <c r="CV88" s="256"/>
      <c r="CW88" s="261"/>
      <c r="CX88" s="262"/>
      <c r="CY88" s="262"/>
      <c r="CZ88" s="262"/>
      <c r="DA88" s="262"/>
      <c r="DB88" s="262"/>
      <c r="DC88" s="262"/>
      <c r="DD88" s="262"/>
      <c r="DE88" s="262"/>
      <c r="DF88" s="41"/>
      <c r="DG88" s="256"/>
      <c r="DH88" s="261"/>
      <c r="DI88" s="261"/>
      <c r="DJ88" s="261"/>
      <c r="DK88" s="261"/>
      <c r="DL88" s="261"/>
      <c r="DM88" s="261"/>
      <c r="DN88" s="261"/>
      <c r="DO88" s="261"/>
      <c r="DP88" s="255"/>
      <c r="DV88" s="119" t="s">
        <v>215</v>
      </c>
      <c r="DW88" s="120">
        <v>113</v>
      </c>
      <c r="DX88" s="121">
        <v>116.2</v>
      </c>
      <c r="DY88" s="145">
        <v>116.3</v>
      </c>
      <c r="DZ88" s="146">
        <v>122.3</v>
      </c>
      <c r="EA88" s="149">
        <v>122.4</v>
      </c>
      <c r="EB88" s="150">
        <v>147.1</v>
      </c>
      <c r="EC88" s="148">
        <v>147.19999999999999</v>
      </c>
      <c r="EE88" s="143" t="s">
        <v>215</v>
      </c>
      <c r="EF88" s="144">
        <v>113</v>
      </c>
      <c r="EG88" s="170">
        <v>116.2</v>
      </c>
      <c r="EH88" s="174">
        <v>116.3</v>
      </c>
      <c r="EI88" s="175">
        <v>122.5</v>
      </c>
      <c r="EJ88" s="180">
        <v>122.6</v>
      </c>
      <c r="EK88" s="181">
        <v>147.5</v>
      </c>
      <c r="EL88" s="173">
        <v>147.6</v>
      </c>
    </row>
    <row r="89" spans="1:142" ht="11.15" customHeight="1">
      <c r="A89" s="184"/>
      <c r="B89" s="184"/>
      <c r="C89" s="201"/>
      <c r="D89" s="184"/>
      <c r="E89" s="184"/>
      <c r="F89" s="368"/>
      <c r="G89" s="368"/>
      <c r="H89" s="368"/>
      <c r="I89" s="368"/>
      <c r="J89" s="368"/>
      <c r="K89" s="368"/>
      <c r="L89" s="368"/>
      <c r="M89" s="368"/>
      <c r="N89" s="183"/>
      <c r="O89" s="221"/>
      <c r="P89" s="221"/>
      <c r="Q89" s="221"/>
      <c r="R89" s="221"/>
      <c r="S89" s="221"/>
      <c r="T89" s="221"/>
      <c r="U89" s="221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S89" s="236"/>
      <c r="BE89" s="63"/>
      <c r="BF89" s="63"/>
      <c r="BG89" s="63"/>
      <c r="BK89" s="71" t="s">
        <v>297</v>
      </c>
      <c r="BL89" s="70">
        <v>148</v>
      </c>
      <c r="BM89" s="5">
        <v>13.4</v>
      </c>
      <c r="BN89" s="77">
        <v>13.5</v>
      </c>
      <c r="BO89" s="78">
        <f t="shared" si="141"/>
        <v>14.5</v>
      </c>
      <c r="BP89" s="79">
        <v>14.6</v>
      </c>
      <c r="BQ89" s="80">
        <v>24</v>
      </c>
      <c r="BR89" s="81">
        <f t="shared" si="142"/>
        <v>24.1</v>
      </c>
      <c r="BS89" s="82">
        <v>30.6</v>
      </c>
      <c r="BT89" s="83">
        <v>30.7</v>
      </c>
      <c r="BU89" s="41"/>
      <c r="BV89" s="87" t="s">
        <v>297</v>
      </c>
      <c r="BW89" s="86">
        <v>148</v>
      </c>
      <c r="BX89" s="5">
        <v>13.2</v>
      </c>
      <c r="BY89" s="88">
        <v>13.3</v>
      </c>
      <c r="BZ89" s="78">
        <f t="shared" si="143"/>
        <v>14.5</v>
      </c>
      <c r="CA89" s="89">
        <v>14.6</v>
      </c>
      <c r="CB89" s="90">
        <v>25.4</v>
      </c>
      <c r="CC89" s="92">
        <f t="shared" si="144"/>
        <v>25.5</v>
      </c>
      <c r="CD89" s="93">
        <v>32.4</v>
      </c>
      <c r="CE89" s="83" t="s">
        <v>298</v>
      </c>
      <c r="CF89" s="5"/>
      <c r="CG89" s="5"/>
      <c r="CH89" s="5"/>
      <c r="CI89" s="5"/>
      <c r="CJ89" s="5"/>
      <c r="CK89" s="5"/>
      <c r="CL89" s="5"/>
      <c r="CV89" s="256"/>
      <c r="CW89" s="261"/>
      <c r="CX89" s="262"/>
      <c r="CY89" s="262"/>
      <c r="CZ89" s="262"/>
      <c r="DA89" s="262"/>
      <c r="DB89" s="262"/>
      <c r="DC89" s="262"/>
      <c r="DD89" s="262"/>
      <c r="DE89" s="262"/>
      <c r="DF89" s="41"/>
      <c r="DG89" s="256"/>
      <c r="DH89" s="261"/>
      <c r="DI89" s="261"/>
      <c r="DJ89" s="261"/>
      <c r="DK89" s="261"/>
      <c r="DL89" s="261"/>
      <c r="DM89" s="261"/>
      <c r="DN89" s="255"/>
      <c r="DO89" s="261"/>
      <c r="DP89" s="255"/>
      <c r="DV89" s="119" t="s">
        <v>217</v>
      </c>
      <c r="DW89" s="120">
        <v>114</v>
      </c>
      <c r="DX89" s="121">
        <v>116.5</v>
      </c>
      <c r="DY89" s="145">
        <v>116.6</v>
      </c>
      <c r="DZ89" s="146">
        <v>122.7</v>
      </c>
      <c r="EA89" s="149">
        <v>122.8</v>
      </c>
      <c r="EB89" s="150">
        <v>147.6</v>
      </c>
      <c r="EC89" s="148">
        <v>147.69999999999999</v>
      </c>
      <c r="EE89" s="143" t="s">
        <v>217</v>
      </c>
      <c r="EF89" s="144">
        <v>114</v>
      </c>
      <c r="EG89" s="170">
        <v>116.7</v>
      </c>
      <c r="EH89" s="174">
        <v>116.8</v>
      </c>
      <c r="EI89" s="175">
        <v>122.9</v>
      </c>
      <c r="EJ89" s="180">
        <v>123</v>
      </c>
      <c r="EK89" s="181">
        <v>148.1</v>
      </c>
      <c r="EL89" s="173">
        <v>148.19999999999999</v>
      </c>
    </row>
    <row r="90" spans="1:142" ht="11.15" customHeight="1">
      <c r="A90" s="368"/>
      <c r="B90" s="368"/>
      <c r="C90" s="368"/>
      <c r="D90" s="368"/>
      <c r="E90" s="368"/>
      <c r="F90" s="368"/>
      <c r="G90" s="368"/>
      <c r="H90" s="368"/>
      <c r="I90" s="368"/>
      <c r="J90" s="368"/>
      <c r="K90" s="368"/>
      <c r="L90" s="368"/>
      <c r="M90" s="368"/>
      <c r="N90" s="183"/>
      <c r="O90" s="221"/>
      <c r="P90" s="221"/>
      <c r="Q90" s="221"/>
      <c r="R90" s="221"/>
      <c r="S90" s="221"/>
      <c r="T90" s="221"/>
      <c r="U90" s="221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BE90" s="63"/>
      <c r="BF90" s="63"/>
      <c r="BG90" s="63"/>
      <c r="BK90" s="71" t="s">
        <v>299</v>
      </c>
      <c r="BL90" s="70">
        <v>149</v>
      </c>
      <c r="BM90" s="5">
        <v>13.5</v>
      </c>
      <c r="BN90" s="77">
        <v>13.6</v>
      </c>
      <c r="BO90" s="78">
        <f t="shared" si="141"/>
        <v>14.5</v>
      </c>
      <c r="BP90" s="79">
        <v>14.6</v>
      </c>
      <c r="BQ90" s="80">
        <v>24.1</v>
      </c>
      <c r="BR90" s="81">
        <f t="shared" si="142"/>
        <v>24.2</v>
      </c>
      <c r="BS90" s="82">
        <v>30.7</v>
      </c>
      <c r="BT90" s="83">
        <v>30.8</v>
      </c>
      <c r="BU90" s="41"/>
      <c r="BV90" s="87" t="s">
        <v>299</v>
      </c>
      <c r="BW90" s="86">
        <v>149</v>
      </c>
      <c r="BX90" s="5">
        <v>13.2</v>
      </c>
      <c r="BY90" s="88">
        <v>13.3</v>
      </c>
      <c r="BZ90" s="78">
        <f t="shared" si="143"/>
        <v>14.5</v>
      </c>
      <c r="CA90" s="89">
        <v>14.6</v>
      </c>
      <c r="CB90" s="90">
        <v>25.5</v>
      </c>
      <c r="CC90" s="92">
        <f t="shared" si="144"/>
        <v>25.6</v>
      </c>
      <c r="CD90" s="93">
        <v>32.6</v>
      </c>
      <c r="CE90" s="83" t="s">
        <v>300</v>
      </c>
      <c r="CF90" s="5"/>
      <c r="CG90" s="5"/>
      <c r="CH90" s="5"/>
      <c r="CI90" s="5"/>
      <c r="CJ90" s="5"/>
      <c r="CK90" s="5"/>
      <c r="CL90" s="5"/>
      <c r="DV90" s="119" t="s">
        <v>219</v>
      </c>
      <c r="DW90" s="120">
        <v>115</v>
      </c>
      <c r="DX90" s="121">
        <v>116.8</v>
      </c>
      <c r="DY90" s="145">
        <v>116.9</v>
      </c>
      <c r="DZ90" s="146">
        <v>123.1</v>
      </c>
      <c r="EA90" s="149">
        <v>123.2</v>
      </c>
      <c r="EB90" s="150">
        <v>148.1</v>
      </c>
      <c r="EC90" s="148">
        <v>148.19999999999999</v>
      </c>
      <c r="EE90" s="143" t="s">
        <v>219</v>
      </c>
      <c r="EF90" s="144">
        <v>115</v>
      </c>
      <c r="EG90" s="170">
        <v>117.1</v>
      </c>
      <c r="EH90" s="174">
        <v>117.2</v>
      </c>
      <c r="EI90" s="175">
        <v>123.4</v>
      </c>
      <c r="EJ90" s="180">
        <v>123.5</v>
      </c>
      <c r="EK90" s="181">
        <v>148.6</v>
      </c>
      <c r="EL90" s="173">
        <v>148.69999999999999</v>
      </c>
    </row>
    <row r="91" spans="1:142" ht="11.15" customHeight="1">
      <c r="A91" s="364"/>
      <c r="B91" s="364"/>
      <c r="C91" s="364"/>
      <c r="D91" s="364"/>
      <c r="E91" s="364"/>
      <c r="F91" s="364"/>
      <c r="G91" s="364"/>
      <c r="H91" s="364"/>
      <c r="I91" s="364"/>
      <c r="J91" s="364"/>
      <c r="K91" s="364"/>
      <c r="L91" s="364"/>
      <c r="M91" s="364"/>
      <c r="N91" s="204"/>
      <c r="O91" s="229"/>
      <c r="P91" s="229"/>
      <c r="Q91" s="229"/>
      <c r="R91" s="229"/>
      <c r="S91" s="229"/>
      <c r="T91" s="229"/>
      <c r="U91" s="229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BE91" s="63"/>
      <c r="BF91" s="63"/>
      <c r="BG91" s="63"/>
      <c r="BK91" s="71" t="s">
        <v>301</v>
      </c>
      <c r="BL91" s="70">
        <v>150</v>
      </c>
      <c r="BM91" s="5">
        <v>13.5</v>
      </c>
      <c r="BN91" s="77">
        <v>13.6</v>
      </c>
      <c r="BO91" s="78">
        <f t="shared" si="141"/>
        <v>14.6</v>
      </c>
      <c r="BP91" s="79">
        <v>14.7</v>
      </c>
      <c r="BQ91" s="80">
        <v>24.2</v>
      </c>
      <c r="BR91" s="81">
        <f t="shared" si="142"/>
        <v>24.3</v>
      </c>
      <c r="BS91" s="82">
        <v>30.9</v>
      </c>
      <c r="BT91" s="83">
        <v>31</v>
      </c>
      <c r="BU91" s="41"/>
      <c r="BV91" s="87" t="s">
        <v>301</v>
      </c>
      <c r="BW91" s="86">
        <v>150</v>
      </c>
      <c r="BX91" s="5">
        <v>13.3</v>
      </c>
      <c r="BY91" s="88">
        <v>13.4</v>
      </c>
      <c r="BZ91" s="78">
        <f t="shared" si="143"/>
        <v>14.6</v>
      </c>
      <c r="CA91" s="89">
        <v>14.7</v>
      </c>
      <c r="CB91" s="90">
        <v>25.6</v>
      </c>
      <c r="CC91" s="92">
        <f t="shared" si="144"/>
        <v>25.7</v>
      </c>
      <c r="CD91" s="93">
        <v>32.700000000000003</v>
      </c>
      <c r="CE91" s="83" t="s">
        <v>302</v>
      </c>
      <c r="CF91" s="5"/>
      <c r="CG91" s="5"/>
      <c r="CH91" s="5"/>
      <c r="CI91" s="5"/>
      <c r="CJ91" s="5"/>
      <c r="CK91" s="5"/>
      <c r="CL91" s="5"/>
      <c r="DV91" s="119" t="s">
        <v>221</v>
      </c>
      <c r="DW91" s="120">
        <v>116</v>
      </c>
      <c r="DX91" s="121">
        <v>117.2</v>
      </c>
      <c r="DY91" s="145">
        <v>117.3</v>
      </c>
      <c r="DZ91" s="146">
        <v>123.4</v>
      </c>
      <c r="EA91" s="149">
        <v>123.5</v>
      </c>
      <c r="EB91" s="150">
        <v>148.6</v>
      </c>
      <c r="EC91" s="148">
        <v>148.69999999999999</v>
      </c>
      <c r="EE91" s="143" t="s">
        <v>221</v>
      </c>
      <c r="EF91" s="144">
        <v>116</v>
      </c>
      <c r="EG91" s="170">
        <v>117.6</v>
      </c>
      <c r="EH91" s="174">
        <v>117.7</v>
      </c>
      <c r="EI91" s="175">
        <v>123.9</v>
      </c>
      <c r="EJ91" s="180">
        <v>124</v>
      </c>
      <c r="EK91" s="181">
        <v>149.19999999999999</v>
      </c>
      <c r="EL91" s="173">
        <v>149.30000000000001</v>
      </c>
    </row>
    <row r="92" spans="1:142" ht="11.15" customHeight="1">
      <c r="A92" s="365"/>
      <c r="B92" s="365"/>
      <c r="C92" s="365"/>
      <c r="D92" s="365"/>
      <c r="E92" s="365"/>
      <c r="F92" s="365"/>
      <c r="G92" s="365"/>
      <c r="H92" s="365"/>
      <c r="I92" s="365"/>
      <c r="J92" s="365"/>
      <c r="K92" s="365"/>
      <c r="L92" s="365"/>
      <c r="M92" s="365"/>
      <c r="N92" s="205"/>
      <c r="O92" s="28"/>
      <c r="P92" s="28"/>
      <c r="Q92" s="28"/>
      <c r="R92" s="28"/>
      <c r="S92" s="28"/>
      <c r="T92" s="28"/>
      <c r="U92" s="28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BE92" s="63"/>
      <c r="BF92" s="63"/>
      <c r="BG92" s="63"/>
      <c r="BK92" s="71" t="s">
        <v>303</v>
      </c>
      <c r="BL92" s="70">
        <v>151</v>
      </c>
      <c r="BM92" s="5">
        <v>13.5</v>
      </c>
      <c r="BN92" s="77">
        <v>13.6</v>
      </c>
      <c r="BO92" s="78">
        <f t="shared" si="141"/>
        <v>14.6</v>
      </c>
      <c r="BP92" s="79">
        <v>14.7</v>
      </c>
      <c r="BQ92" s="80">
        <v>24.3</v>
      </c>
      <c r="BR92" s="81">
        <f t="shared" si="142"/>
        <v>24.4</v>
      </c>
      <c r="BS92" s="82">
        <v>31</v>
      </c>
      <c r="BT92" s="83">
        <v>31.1</v>
      </c>
      <c r="BU92" s="41"/>
      <c r="BV92" s="87" t="s">
        <v>303</v>
      </c>
      <c r="BW92" s="86">
        <v>151</v>
      </c>
      <c r="BX92" s="5">
        <v>13.3</v>
      </c>
      <c r="BY92" s="88">
        <v>13.4</v>
      </c>
      <c r="BZ92" s="78">
        <f t="shared" si="143"/>
        <v>14.6</v>
      </c>
      <c r="CA92" s="89">
        <v>14.7</v>
      </c>
      <c r="CB92" s="90">
        <v>25.7</v>
      </c>
      <c r="CC92" s="92">
        <f t="shared" si="144"/>
        <v>25.8</v>
      </c>
      <c r="CD92" s="93">
        <v>32.799999999999997</v>
      </c>
      <c r="CE92" s="83" t="s">
        <v>304</v>
      </c>
      <c r="CF92" s="5"/>
      <c r="CG92" s="5"/>
      <c r="CH92" s="5"/>
      <c r="CI92" s="5"/>
      <c r="CJ92" s="5"/>
      <c r="CK92" s="5"/>
      <c r="CL92" s="5"/>
      <c r="DV92" s="119" t="s">
        <v>223</v>
      </c>
      <c r="DW92" s="120">
        <v>117</v>
      </c>
      <c r="DX92" s="121">
        <v>117.5</v>
      </c>
      <c r="DY92" s="145">
        <v>117.6</v>
      </c>
      <c r="DZ92" s="146">
        <v>123.8</v>
      </c>
      <c r="EA92" s="149">
        <v>123.9</v>
      </c>
      <c r="EB92" s="150">
        <v>149.1</v>
      </c>
      <c r="EC92" s="148">
        <v>149.19999999999999</v>
      </c>
      <c r="EE92" s="143" t="s">
        <v>223</v>
      </c>
      <c r="EF92" s="144">
        <v>117</v>
      </c>
      <c r="EG92" s="170">
        <v>118</v>
      </c>
      <c r="EH92" s="174">
        <v>118.1</v>
      </c>
      <c r="EI92" s="175">
        <v>124.3</v>
      </c>
      <c r="EJ92" s="180">
        <v>124.4</v>
      </c>
      <c r="EK92" s="181">
        <v>149.69999999999999</v>
      </c>
      <c r="EL92" s="173">
        <v>149.80000000000001</v>
      </c>
    </row>
    <row r="93" spans="1:142" ht="11.15" customHeight="1">
      <c r="A93" s="202"/>
      <c r="B93" s="206"/>
      <c r="C93" s="206"/>
      <c r="D93" s="206"/>
      <c r="E93" s="206"/>
      <c r="F93" s="207"/>
      <c r="G93" s="207"/>
      <c r="H93" s="207"/>
      <c r="I93" s="207"/>
      <c r="J93" s="207"/>
      <c r="K93" s="207"/>
      <c r="L93" s="207"/>
      <c r="M93" s="207"/>
      <c r="N93" s="207"/>
      <c r="O93" s="23"/>
      <c r="P93" s="23"/>
      <c r="Q93" s="23"/>
      <c r="R93" s="23"/>
      <c r="S93" s="23"/>
      <c r="T93" s="23"/>
      <c r="U93" s="23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BK93" s="71" t="s">
        <v>305</v>
      </c>
      <c r="BL93" s="70">
        <v>152</v>
      </c>
      <c r="BM93" s="5">
        <v>13.6</v>
      </c>
      <c r="BN93" s="77">
        <v>13.7</v>
      </c>
      <c r="BO93" s="78">
        <f t="shared" si="141"/>
        <v>14.7</v>
      </c>
      <c r="BP93" s="79">
        <v>14.8</v>
      </c>
      <c r="BQ93" s="80">
        <v>24.4</v>
      </c>
      <c r="BR93" s="81">
        <f t="shared" si="142"/>
        <v>24.5</v>
      </c>
      <c r="BS93" s="82">
        <v>31.1</v>
      </c>
      <c r="BT93" s="83">
        <v>31.2</v>
      </c>
      <c r="BU93" s="41"/>
      <c r="BV93" s="87" t="s">
        <v>305</v>
      </c>
      <c r="BW93" s="86">
        <v>152</v>
      </c>
      <c r="BX93" s="5">
        <v>13.4</v>
      </c>
      <c r="BY93" s="88">
        <v>13.5</v>
      </c>
      <c r="BZ93" s="78">
        <f t="shared" si="143"/>
        <v>14.7</v>
      </c>
      <c r="CA93" s="89">
        <v>14.8</v>
      </c>
      <c r="CB93" s="90">
        <v>25.8</v>
      </c>
      <c r="CC93" s="92">
        <f t="shared" si="144"/>
        <v>25.9</v>
      </c>
      <c r="CD93" s="93">
        <v>33</v>
      </c>
      <c r="CE93" s="83" t="s">
        <v>306</v>
      </c>
      <c r="CF93" s="5"/>
      <c r="CG93" s="5"/>
      <c r="CH93" s="5"/>
      <c r="CI93" s="5"/>
      <c r="CJ93" s="5"/>
      <c r="CK93" s="5"/>
      <c r="CL93" s="5"/>
      <c r="DV93" s="119" t="s">
        <v>225</v>
      </c>
      <c r="DW93" s="120">
        <v>118</v>
      </c>
      <c r="DX93" s="121">
        <v>117.9</v>
      </c>
      <c r="DY93" s="145">
        <v>118</v>
      </c>
      <c r="DZ93" s="146">
        <v>124.2</v>
      </c>
      <c r="EA93" s="149">
        <v>124.3</v>
      </c>
      <c r="EB93" s="150">
        <v>149.5</v>
      </c>
      <c r="EC93" s="148">
        <v>149.6</v>
      </c>
      <c r="EE93" s="143" t="s">
        <v>225</v>
      </c>
      <c r="EF93" s="144">
        <v>118</v>
      </c>
      <c r="EG93" s="170">
        <v>118.4</v>
      </c>
      <c r="EH93" s="174">
        <v>118.5</v>
      </c>
      <c r="EI93" s="175">
        <v>124.8</v>
      </c>
      <c r="EJ93" s="180">
        <v>124.9</v>
      </c>
      <c r="EK93" s="181">
        <v>150.30000000000001</v>
      </c>
      <c r="EL93" s="173">
        <v>150.4</v>
      </c>
    </row>
    <row r="94" spans="1:142" ht="11.15" customHeight="1">
      <c r="A94" s="208"/>
      <c r="B94" s="209"/>
      <c r="C94" s="209"/>
      <c r="D94" s="210"/>
      <c r="E94" s="211"/>
      <c r="F94" s="369"/>
      <c r="G94" s="369"/>
      <c r="H94" s="369"/>
      <c r="I94" s="369"/>
      <c r="J94" s="369"/>
      <c r="K94" s="369"/>
      <c r="L94" s="369"/>
      <c r="M94" s="230"/>
      <c r="N94" s="231"/>
      <c r="O94" s="232"/>
      <c r="P94" s="232"/>
      <c r="Q94" s="232"/>
      <c r="R94" s="232"/>
      <c r="S94" s="232"/>
      <c r="T94" s="232"/>
      <c r="U94" s="232"/>
      <c r="V94" s="235"/>
      <c r="W94" s="235"/>
      <c r="X94" s="235"/>
      <c r="Y94" s="235"/>
      <c r="Z94" s="235"/>
      <c r="AA94" s="235"/>
      <c r="AB94" s="235"/>
      <c r="AC94" s="235"/>
      <c r="AD94" s="235"/>
      <c r="AE94" s="235"/>
      <c r="AF94" s="235"/>
      <c r="AG94" s="235"/>
      <c r="AH94" s="235"/>
      <c r="AI94" s="235"/>
      <c r="AJ94" s="235"/>
      <c r="AK94" s="235"/>
      <c r="AL94" s="235"/>
      <c r="AM94" s="235"/>
      <c r="AN94" s="235"/>
      <c r="AO94" s="235"/>
      <c r="AP94" s="235"/>
      <c r="AQ94" s="235"/>
      <c r="BK94" s="71" t="s">
        <v>307</v>
      </c>
      <c r="BL94" s="70">
        <v>153</v>
      </c>
      <c r="BM94" s="5">
        <v>13.6</v>
      </c>
      <c r="BN94" s="77">
        <v>13.7</v>
      </c>
      <c r="BO94" s="78">
        <f t="shared" si="141"/>
        <v>14.7</v>
      </c>
      <c r="BP94" s="79">
        <v>14.8</v>
      </c>
      <c r="BQ94" s="80">
        <v>24.5</v>
      </c>
      <c r="BR94" s="81">
        <f t="shared" si="142"/>
        <v>24.6</v>
      </c>
      <c r="BS94" s="82">
        <v>31.3</v>
      </c>
      <c r="BT94" s="83">
        <v>31.4</v>
      </c>
      <c r="BU94" s="41"/>
      <c r="BV94" s="87" t="s">
        <v>307</v>
      </c>
      <c r="BW94" s="86">
        <v>153</v>
      </c>
      <c r="BX94" s="5">
        <v>13.4</v>
      </c>
      <c r="BY94" s="88">
        <v>13.5</v>
      </c>
      <c r="BZ94" s="78">
        <f t="shared" si="143"/>
        <v>14.7</v>
      </c>
      <c r="CA94" s="89">
        <v>14.8</v>
      </c>
      <c r="CB94" s="90">
        <v>25.9</v>
      </c>
      <c r="CC94" s="92">
        <f t="shared" si="144"/>
        <v>26</v>
      </c>
      <c r="CD94" s="93">
        <v>33.1</v>
      </c>
      <c r="CE94" s="83" t="s">
        <v>308</v>
      </c>
      <c r="CF94" s="5"/>
      <c r="CG94" s="5"/>
      <c r="CH94" s="5"/>
      <c r="CI94" s="5"/>
      <c r="CJ94" s="5"/>
      <c r="CK94" s="5"/>
      <c r="CL94" s="5"/>
      <c r="DV94" s="119" t="s">
        <v>227</v>
      </c>
      <c r="DW94" s="120">
        <v>119</v>
      </c>
      <c r="DX94" s="121">
        <v>118.2</v>
      </c>
      <c r="DY94" s="145">
        <v>118.3</v>
      </c>
      <c r="DZ94" s="146">
        <v>124.6</v>
      </c>
      <c r="EA94" s="149">
        <v>124.7</v>
      </c>
      <c r="EB94" s="150">
        <v>150</v>
      </c>
      <c r="EC94" s="148">
        <v>150.1</v>
      </c>
      <c r="EE94" s="143" t="s">
        <v>227</v>
      </c>
      <c r="EF94" s="144">
        <v>119</v>
      </c>
      <c r="EG94" s="170">
        <v>118.9</v>
      </c>
      <c r="EH94" s="174">
        <v>119</v>
      </c>
      <c r="EI94" s="175">
        <v>125.3</v>
      </c>
      <c r="EJ94" s="180">
        <v>125.4</v>
      </c>
      <c r="EK94" s="181">
        <v>150.9</v>
      </c>
      <c r="EL94" s="173">
        <v>151</v>
      </c>
    </row>
    <row r="95" spans="1:142" ht="11.15" customHeight="1">
      <c r="A95" s="209"/>
      <c r="B95" s="209"/>
      <c r="C95" s="212"/>
      <c r="D95" s="213"/>
      <c r="E95" s="209"/>
      <c r="F95" s="209"/>
      <c r="G95" s="209"/>
      <c r="H95" s="209"/>
      <c r="I95" s="209"/>
      <c r="J95" s="209"/>
      <c r="K95" s="209"/>
      <c r="L95" s="209"/>
      <c r="M95" s="209"/>
      <c r="N95" s="209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BK95" s="71" t="s">
        <v>309</v>
      </c>
      <c r="BL95" s="70">
        <v>154</v>
      </c>
      <c r="BM95" s="5">
        <v>13.6</v>
      </c>
      <c r="BN95" s="77">
        <v>13.7</v>
      </c>
      <c r="BO95" s="78">
        <f t="shared" si="141"/>
        <v>14.7</v>
      </c>
      <c r="BP95" s="79">
        <v>14.8</v>
      </c>
      <c r="BQ95" s="80">
        <v>24.6</v>
      </c>
      <c r="BR95" s="81">
        <f t="shared" si="142"/>
        <v>24.7</v>
      </c>
      <c r="BS95" s="82">
        <v>31.4</v>
      </c>
      <c r="BT95" s="83">
        <v>31.5</v>
      </c>
      <c r="BU95" s="41"/>
      <c r="BV95" s="87" t="s">
        <v>309</v>
      </c>
      <c r="BW95" s="86">
        <v>154</v>
      </c>
      <c r="BX95" s="5">
        <v>13.4</v>
      </c>
      <c r="BY95" s="88">
        <v>13.5</v>
      </c>
      <c r="BZ95" s="78">
        <f t="shared" si="143"/>
        <v>14.7</v>
      </c>
      <c r="CA95" s="89">
        <v>14.8</v>
      </c>
      <c r="CB95" s="90">
        <v>26</v>
      </c>
      <c r="CC95" s="92">
        <f t="shared" si="144"/>
        <v>26.1</v>
      </c>
      <c r="CD95" s="93">
        <v>33.200000000000003</v>
      </c>
      <c r="CE95" s="83" t="s">
        <v>310</v>
      </c>
      <c r="CF95" s="5"/>
      <c r="CG95" s="5"/>
      <c r="CH95" s="5"/>
      <c r="CI95" s="5"/>
      <c r="CJ95" s="5"/>
      <c r="CK95" s="5"/>
      <c r="CL95" s="5"/>
      <c r="DV95" s="119" t="s">
        <v>229</v>
      </c>
      <c r="DW95" s="120">
        <v>120</v>
      </c>
      <c r="DX95" s="121">
        <v>118.6</v>
      </c>
      <c r="DY95" s="145">
        <v>118.7</v>
      </c>
      <c r="DZ95" s="146">
        <v>124.9</v>
      </c>
      <c r="EA95" s="149">
        <v>125</v>
      </c>
      <c r="EB95" s="150">
        <v>150.5</v>
      </c>
      <c r="EC95" s="148">
        <v>150.6</v>
      </c>
      <c r="EE95" s="143" t="s">
        <v>229</v>
      </c>
      <c r="EF95" s="144">
        <v>120</v>
      </c>
      <c r="EG95" s="170">
        <v>119.3</v>
      </c>
      <c r="EH95" s="174">
        <v>119.4</v>
      </c>
      <c r="EI95" s="175">
        <v>125.7</v>
      </c>
      <c r="EJ95" s="180">
        <v>125.8</v>
      </c>
      <c r="EK95" s="181">
        <v>151.4</v>
      </c>
      <c r="EL95" s="173">
        <v>151.5</v>
      </c>
    </row>
    <row r="96" spans="1:142" ht="11.15" customHeight="1">
      <c r="A96" s="374"/>
      <c r="B96" s="374"/>
      <c r="C96" s="374"/>
      <c r="D96" s="372"/>
      <c r="E96" s="373"/>
      <c r="F96" s="370"/>
      <c r="G96" s="215"/>
      <c r="H96" s="373"/>
      <c r="I96" s="370"/>
      <c r="J96" s="370"/>
      <c r="K96" s="370"/>
      <c r="L96" s="373"/>
      <c r="M96" s="374"/>
      <c r="N96" s="213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BK96" s="71" t="s">
        <v>311</v>
      </c>
      <c r="BL96" s="70">
        <v>155</v>
      </c>
      <c r="BM96" s="5">
        <v>13.7</v>
      </c>
      <c r="BN96" s="77">
        <v>13.8</v>
      </c>
      <c r="BO96" s="78">
        <f t="shared" si="141"/>
        <v>14.8</v>
      </c>
      <c r="BP96" s="79">
        <v>14.9</v>
      </c>
      <c r="BQ96" s="80">
        <v>24.7</v>
      </c>
      <c r="BR96" s="81">
        <f t="shared" si="142"/>
        <v>24.8</v>
      </c>
      <c r="BS96" s="82">
        <v>31.6</v>
      </c>
      <c r="BT96" s="83">
        <v>31.7</v>
      </c>
      <c r="BU96" s="41"/>
      <c r="BV96" s="87" t="s">
        <v>311</v>
      </c>
      <c r="BW96" s="86">
        <v>155</v>
      </c>
      <c r="BX96" s="5">
        <v>13.5</v>
      </c>
      <c r="BY96" s="88">
        <v>13.6</v>
      </c>
      <c r="BZ96" s="78">
        <f t="shared" si="143"/>
        <v>14.8</v>
      </c>
      <c r="CA96" s="89">
        <v>14.9</v>
      </c>
      <c r="CB96" s="90">
        <v>26.1</v>
      </c>
      <c r="CC96" s="92">
        <f t="shared" si="144"/>
        <v>26.2</v>
      </c>
      <c r="CD96" s="93">
        <v>33.299999999999997</v>
      </c>
      <c r="CE96" s="83" t="s">
        <v>312</v>
      </c>
      <c r="CF96" s="5"/>
      <c r="CG96" s="5"/>
      <c r="CH96" s="5"/>
      <c r="CI96" s="5"/>
      <c r="CJ96" s="5"/>
      <c r="CK96" s="5"/>
      <c r="CL96" s="5"/>
      <c r="DV96" s="119" t="s">
        <v>231</v>
      </c>
      <c r="DW96" s="120">
        <v>121</v>
      </c>
      <c r="DX96" s="121">
        <v>118.9</v>
      </c>
      <c r="DY96" s="145">
        <v>119</v>
      </c>
      <c r="DZ96" s="146">
        <v>125.3</v>
      </c>
      <c r="EA96" s="149">
        <v>125.4</v>
      </c>
      <c r="EB96" s="150">
        <v>151</v>
      </c>
      <c r="EC96" s="148">
        <v>151.1</v>
      </c>
      <c r="EE96" s="143" t="s">
        <v>231</v>
      </c>
      <c r="EF96" s="144">
        <v>121</v>
      </c>
      <c r="EG96" s="170">
        <v>119.8</v>
      </c>
      <c r="EH96" s="174">
        <v>119.9</v>
      </c>
      <c r="EI96" s="175">
        <v>126.2</v>
      </c>
      <c r="EJ96" s="180">
        <v>126.3</v>
      </c>
      <c r="EK96" s="181">
        <v>152</v>
      </c>
      <c r="EL96" s="173">
        <v>152.1</v>
      </c>
    </row>
    <row r="97" spans="1:142" ht="11.15" customHeight="1">
      <c r="A97" s="374"/>
      <c r="B97" s="374"/>
      <c r="C97" s="374"/>
      <c r="D97" s="372"/>
      <c r="E97" s="373"/>
      <c r="F97" s="370"/>
      <c r="G97" s="215"/>
      <c r="H97" s="373"/>
      <c r="I97" s="233"/>
      <c r="J97" s="233"/>
      <c r="K97" s="233"/>
      <c r="L97" s="373"/>
      <c r="M97" s="374"/>
      <c r="N97" s="213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BK97" s="71" t="s">
        <v>313</v>
      </c>
      <c r="BL97" s="70">
        <v>156</v>
      </c>
      <c r="BM97" s="5">
        <v>13.7</v>
      </c>
      <c r="BN97" s="77">
        <v>13.8</v>
      </c>
      <c r="BO97" s="78">
        <f t="shared" si="141"/>
        <v>14.8</v>
      </c>
      <c r="BP97" s="79">
        <v>14.9</v>
      </c>
      <c r="BQ97" s="80">
        <v>24.8</v>
      </c>
      <c r="BR97" s="81">
        <f t="shared" si="142"/>
        <v>24.9</v>
      </c>
      <c r="BS97" s="82">
        <v>31.7</v>
      </c>
      <c r="BT97" s="83">
        <v>31.8</v>
      </c>
      <c r="BU97" s="41"/>
      <c r="BV97" s="87" t="s">
        <v>313</v>
      </c>
      <c r="BW97" s="86">
        <v>156</v>
      </c>
      <c r="BX97" s="5">
        <v>13.5</v>
      </c>
      <c r="BY97" s="88">
        <v>13.6</v>
      </c>
      <c r="BZ97" s="78">
        <f t="shared" si="143"/>
        <v>14.8</v>
      </c>
      <c r="CA97" s="89">
        <v>14.9</v>
      </c>
      <c r="CB97" s="90">
        <v>26.2</v>
      </c>
      <c r="CC97" s="92">
        <f t="shared" si="144"/>
        <v>26.3</v>
      </c>
      <c r="CD97" s="93">
        <v>33.4</v>
      </c>
      <c r="CE97" s="83" t="s">
        <v>314</v>
      </c>
      <c r="CF97" s="5"/>
      <c r="CG97" s="5"/>
      <c r="CH97" s="5"/>
      <c r="CI97" s="5"/>
      <c r="CJ97" s="5"/>
      <c r="CK97" s="5"/>
      <c r="CL97" s="5"/>
      <c r="DV97" s="119" t="s">
        <v>233</v>
      </c>
      <c r="DW97" s="120">
        <v>122</v>
      </c>
      <c r="DX97" s="121">
        <v>119.2</v>
      </c>
      <c r="DY97" s="145">
        <v>119.3</v>
      </c>
      <c r="DZ97" s="146">
        <v>125.7</v>
      </c>
      <c r="EA97" s="149">
        <v>125.8</v>
      </c>
      <c r="EB97" s="150">
        <v>151.5</v>
      </c>
      <c r="EC97" s="148">
        <v>151.6</v>
      </c>
      <c r="EE97" s="143" t="s">
        <v>233</v>
      </c>
      <c r="EF97" s="144">
        <v>122</v>
      </c>
      <c r="EG97" s="170">
        <v>120.3</v>
      </c>
      <c r="EH97" s="174">
        <v>120.4</v>
      </c>
      <c r="EI97" s="175">
        <v>126.7</v>
      </c>
      <c r="EJ97" s="180">
        <v>126.8</v>
      </c>
      <c r="EK97" s="181">
        <v>152.6</v>
      </c>
      <c r="EL97" s="173">
        <v>152.69999999999999</v>
      </c>
    </row>
    <row r="98" spans="1:142" ht="11.15" customHeight="1">
      <c r="A98" s="216"/>
      <c r="B98" s="217"/>
      <c r="C98" s="218"/>
      <c r="D98" s="219"/>
      <c r="E98" s="217"/>
      <c r="F98" s="217"/>
      <c r="G98" s="217"/>
      <c r="H98" s="220"/>
      <c r="I98" s="217"/>
      <c r="J98" s="217"/>
      <c r="K98" s="217"/>
      <c r="L98" s="217"/>
      <c r="M98" s="217"/>
      <c r="N98" s="217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BA98" s="5"/>
      <c r="BB98" s="5"/>
      <c r="BC98" s="5"/>
      <c r="BD98" s="5"/>
      <c r="BE98" s="63"/>
      <c r="BF98" s="63"/>
      <c r="BG98" s="63"/>
      <c r="BK98" s="71" t="s">
        <v>315</v>
      </c>
      <c r="BL98" s="70">
        <v>157</v>
      </c>
      <c r="BM98" s="5">
        <v>13.7</v>
      </c>
      <c r="BN98" s="77">
        <v>13.8</v>
      </c>
      <c r="BO98" s="78">
        <f t="shared" si="141"/>
        <v>14.9</v>
      </c>
      <c r="BP98" s="79">
        <v>15</v>
      </c>
      <c r="BQ98" s="80">
        <v>24.9</v>
      </c>
      <c r="BR98" s="81">
        <f t="shared" si="142"/>
        <v>25</v>
      </c>
      <c r="BS98" s="82">
        <v>31.8</v>
      </c>
      <c r="BT98" s="83">
        <v>31.9</v>
      </c>
      <c r="BU98" s="41"/>
      <c r="BV98" s="87" t="s">
        <v>315</v>
      </c>
      <c r="BW98" s="86">
        <v>157</v>
      </c>
      <c r="BX98" s="5">
        <v>13.5</v>
      </c>
      <c r="BY98" s="88">
        <v>13.6</v>
      </c>
      <c r="BZ98" s="78">
        <f t="shared" si="143"/>
        <v>14.9</v>
      </c>
      <c r="CA98" s="89">
        <v>15</v>
      </c>
      <c r="CB98" s="90">
        <v>26.3</v>
      </c>
      <c r="CC98" s="92">
        <f t="shared" si="144"/>
        <v>26.4</v>
      </c>
      <c r="CD98" s="93">
        <v>33.6</v>
      </c>
      <c r="CE98" s="83" t="s">
        <v>316</v>
      </c>
      <c r="CF98" s="5"/>
      <c r="CG98" s="53"/>
      <c r="CH98" s="53"/>
      <c r="CI98" s="53"/>
      <c r="CJ98" s="53"/>
      <c r="CK98" s="53"/>
      <c r="CL98" s="53"/>
      <c r="CN98" s="53"/>
      <c r="CO98" s="53"/>
      <c r="CP98" s="53"/>
      <c r="CQ98" s="53"/>
      <c r="CR98" s="53"/>
      <c r="CS98" s="53"/>
      <c r="DV98" s="119" t="s">
        <v>235</v>
      </c>
      <c r="DW98" s="120">
        <v>123</v>
      </c>
      <c r="DX98" s="121">
        <v>119.6</v>
      </c>
      <c r="DY98" s="145">
        <v>119.7</v>
      </c>
      <c r="DZ98" s="146">
        <v>126.1</v>
      </c>
      <c r="EA98" s="149">
        <v>126.2</v>
      </c>
      <c r="EB98" s="150">
        <v>152</v>
      </c>
      <c r="EC98" s="148">
        <v>152.1</v>
      </c>
      <c r="EE98" s="143" t="s">
        <v>235</v>
      </c>
      <c r="EF98" s="144">
        <v>123</v>
      </c>
      <c r="EG98" s="170">
        <v>120.7</v>
      </c>
      <c r="EH98" s="174">
        <v>120.8</v>
      </c>
      <c r="EI98" s="175">
        <v>127.2</v>
      </c>
      <c r="EJ98" s="180">
        <v>127.3</v>
      </c>
      <c r="EK98" s="181">
        <v>153.1</v>
      </c>
      <c r="EL98" s="173">
        <v>153.19999999999999</v>
      </c>
    </row>
    <row r="99" spans="1:142" ht="11.15" customHeight="1">
      <c r="A99" s="216"/>
      <c r="B99" s="217"/>
      <c r="C99" s="218"/>
      <c r="D99" s="219"/>
      <c r="E99" s="217"/>
      <c r="F99" s="217"/>
      <c r="G99" s="217"/>
      <c r="H99" s="220"/>
      <c r="I99" s="217"/>
      <c r="J99" s="217"/>
      <c r="K99" s="217"/>
      <c r="L99" s="217"/>
      <c r="M99" s="217"/>
      <c r="N99" s="217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BA99" s="5"/>
      <c r="BB99" s="5"/>
      <c r="BC99" s="5"/>
      <c r="BD99" s="5"/>
      <c r="BE99" s="63"/>
      <c r="BF99" s="63"/>
      <c r="BG99" s="63"/>
      <c r="BK99" s="71" t="s">
        <v>317</v>
      </c>
      <c r="BL99" s="70">
        <v>158</v>
      </c>
      <c r="BM99" s="5">
        <v>13.8</v>
      </c>
      <c r="BN99" s="77">
        <v>13.9</v>
      </c>
      <c r="BO99" s="78">
        <f t="shared" si="141"/>
        <v>14.9</v>
      </c>
      <c r="BP99" s="79">
        <v>15</v>
      </c>
      <c r="BQ99" s="80">
        <v>25</v>
      </c>
      <c r="BR99" s="81">
        <f t="shared" si="142"/>
        <v>25.1</v>
      </c>
      <c r="BS99" s="82">
        <v>31.9</v>
      </c>
      <c r="BT99" s="83">
        <v>32</v>
      </c>
      <c r="BU99" s="41"/>
      <c r="BV99" s="87" t="s">
        <v>317</v>
      </c>
      <c r="BW99" s="86">
        <v>158</v>
      </c>
      <c r="BX99" s="5">
        <v>13.6</v>
      </c>
      <c r="BY99" s="88">
        <v>13.7</v>
      </c>
      <c r="BZ99" s="78">
        <f t="shared" si="143"/>
        <v>14.9</v>
      </c>
      <c r="CA99" s="89">
        <v>15</v>
      </c>
      <c r="CB99" s="90">
        <v>26.4</v>
      </c>
      <c r="CC99" s="92">
        <f t="shared" si="144"/>
        <v>26.5</v>
      </c>
      <c r="CD99" s="93">
        <v>33.700000000000003</v>
      </c>
      <c r="CE99" s="83" t="s">
        <v>318</v>
      </c>
      <c r="CF99" s="5"/>
      <c r="CG99" s="53"/>
      <c r="CH99" s="53"/>
      <c r="CI99" s="53"/>
      <c r="CJ99" s="53"/>
      <c r="CK99" s="53"/>
      <c r="CL99" s="53"/>
      <c r="CN99" s="53"/>
      <c r="CO99" s="53"/>
      <c r="CP99" s="53"/>
      <c r="CQ99" s="53"/>
      <c r="CR99" s="53"/>
      <c r="CS99" s="53"/>
      <c r="DV99" s="119" t="s">
        <v>237</v>
      </c>
      <c r="DW99" s="120">
        <v>124</v>
      </c>
      <c r="DX99" s="121">
        <v>119.9</v>
      </c>
      <c r="DY99" s="145">
        <v>120</v>
      </c>
      <c r="DZ99" s="146">
        <v>126.4</v>
      </c>
      <c r="EA99" s="149">
        <v>126.5</v>
      </c>
      <c r="EB99" s="150">
        <v>152.5</v>
      </c>
      <c r="EC99" s="148">
        <v>152.6</v>
      </c>
      <c r="EE99" s="143" t="s">
        <v>237</v>
      </c>
      <c r="EF99" s="144">
        <v>124</v>
      </c>
      <c r="EG99" s="170">
        <v>121.2</v>
      </c>
      <c r="EH99" s="174">
        <v>121.3</v>
      </c>
      <c r="EI99" s="175">
        <v>127.7</v>
      </c>
      <c r="EJ99" s="180">
        <v>127.8</v>
      </c>
      <c r="EK99" s="181">
        <v>153.69999999999999</v>
      </c>
      <c r="EL99" s="173">
        <v>153.80000000000001</v>
      </c>
    </row>
    <row r="100" spans="1:142" ht="11.15" customHeight="1">
      <c r="A100" s="216"/>
      <c r="B100" s="217"/>
      <c r="C100" s="218"/>
      <c r="D100" s="219"/>
      <c r="E100" s="217"/>
      <c r="F100" s="217"/>
      <c r="G100" s="217"/>
      <c r="H100" s="220"/>
      <c r="I100" s="217"/>
      <c r="J100" s="217"/>
      <c r="K100" s="217"/>
      <c r="L100" s="217"/>
      <c r="M100" s="217"/>
      <c r="N100" s="217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BA100" s="5"/>
      <c r="BB100" s="5"/>
      <c r="BC100" s="5"/>
      <c r="BD100" s="5"/>
      <c r="BE100" s="63"/>
      <c r="BF100" s="63"/>
      <c r="BG100" s="63"/>
      <c r="BK100" s="71" t="s">
        <v>319</v>
      </c>
      <c r="BL100" s="70">
        <v>159</v>
      </c>
      <c r="BM100" s="5">
        <v>13.8</v>
      </c>
      <c r="BN100" s="77">
        <v>13.9</v>
      </c>
      <c r="BO100" s="78">
        <f t="shared" si="141"/>
        <v>15</v>
      </c>
      <c r="BP100" s="79">
        <v>15.1</v>
      </c>
      <c r="BQ100" s="80">
        <v>25.1</v>
      </c>
      <c r="BR100" s="81">
        <f t="shared" si="142"/>
        <v>25.2</v>
      </c>
      <c r="BS100" s="82">
        <v>32.1</v>
      </c>
      <c r="BT100" s="83">
        <v>32.200000000000003</v>
      </c>
      <c r="BU100" s="41"/>
      <c r="BV100" s="87" t="s">
        <v>319</v>
      </c>
      <c r="BW100" s="86">
        <v>159</v>
      </c>
      <c r="BX100" s="5">
        <v>13.6</v>
      </c>
      <c r="BY100" s="88">
        <v>13.7</v>
      </c>
      <c r="BZ100" s="78">
        <f t="shared" si="143"/>
        <v>15</v>
      </c>
      <c r="CA100" s="89">
        <v>15.1</v>
      </c>
      <c r="CB100" s="90">
        <v>26.5</v>
      </c>
      <c r="CC100" s="92">
        <f t="shared" si="144"/>
        <v>26.6</v>
      </c>
      <c r="CD100" s="93">
        <v>33.799999999999997</v>
      </c>
      <c r="CE100" s="83" t="s">
        <v>320</v>
      </c>
      <c r="CF100" s="5"/>
      <c r="CG100" s="53"/>
      <c r="CH100" s="53"/>
      <c r="CI100" s="53"/>
      <c r="CJ100" s="53"/>
      <c r="CK100" s="53"/>
      <c r="CL100" s="53"/>
      <c r="CN100" s="53"/>
      <c r="CO100" s="53"/>
      <c r="CP100" s="53"/>
      <c r="CQ100" s="53"/>
      <c r="CR100" s="53"/>
      <c r="CS100" s="53"/>
      <c r="DV100" s="119" t="s">
        <v>239</v>
      </c>
      <c r="DW100" s="120">
        <v>125</v>
      </c>
      <c r="DX100" s="121">
        <v>120.3</v>
      </c>
      <c r="DY100" s="145">
        <v>120.4</v>
      </c>
      <c r="DZ100" s="146">
        <v>126.8</v>
      </c>
      <c r="EA100" s="149">
        <v>126.9</v>
      </c>
      <c r="EB100" s="150">
        <v>153</v>
      </c>
      <c r="EC100" s="148">
        <v>153.1</v>
      </c>
      <c r="EE100" s="143" t="s">
        <v>239</v>
      </c>
      <c r="EF100" s="144">
        <v>125</v>
      </c>
      <c r="EG100" s="170">
        <v>121.6</v>
      </c>
      <c r="EH100" s="174">
        <v>121.7</v>
      </c>
      <c r="EI100" s="175">
        <v>128.1</v>
      </c>
      <c r="EJ100" s="180">
        <v>128.19999999999999</v>
      </c>
      <c r="EK100" s="181">
        <v>154.30000000000001</v>
      </c>
      <c r="EL100" s="173">
        <v>154.4</v>
      </c>
    </row>
    <row r="101" spans="1:142" ht="11.15" customHeight="1">
      <c r="A101" s="216"/>
      <c r="B101" s="217"/>
      <c r="C101" s="218"/>
      <c r="D101" s="219"/>
      <c r="E101" s="217"/>
      <c r="F101" s="217"/>
      <c r="G101" s="217"/>
      <c r="H101" s="220"/>
      <c r="I101" s="217"/>
      <c r="J101" s="217"/>
      <c r="K101" s="217"/>
      <c r="L101" s="217"/>
      <c r="M101" s="217"/>
      <c r="N101" s="217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BA101" s="5"/>
      <c r="BB101" s="5"/>
      <c r="BC101" s="5"/>
      <c r="BD101" s="5"/>
      <c r="BE101" s="63"/>
      <c r="BF101" s="63"/>
      <c r="BG101" s="63"/>
      <c r="BK101" s="71" t="s">
        <v>321</v>
      </c>
      <c r="BL101" s="70">
        <v>160</v>
      </c>
      <c r="BM101" s="5">
        <v>13.9</v>
      </c>
      <c r="BN101" s="77">
        <v>14</v>
      </c>
      <c r="BO101" s="78">
        <f t="shared" si="141"/>
        <v>15</v>
      </c>
      <c r="BP101" s="79">
        <v>15.1</v>
      </c>
      <c r="BQ101" s="80">
        <v>25.2</v>
      </c>
      <c r="BR101" s="81">
        <f t="shared" si="142"/>
        <v>25.3</v>
      </c>
      <c r="BS101" s="82">
        <v>32.200000000000003</v>
      </c>
      <c r="BT101" s="83">
        <v>32.299999999999997</v>
      </c>
      <c r="BU101" s="41"/>
      <c r="BV101" s="87" t="s">
        <v>321</v>
      </c>
      <c r="BW101" s="86">
        <v>160</v>
      </c>
      <c r="BX101" s="5">
        <v>13.7</v>
      </c>
      <c r="BY101" s="88">
        <v>13.8</v>
      </c>
      <c r="BZ101" s="78">
        <f t="shared" si="143"/>
        <v>15</v>
      </c>
      <c r="CA101" s="89">
        <v>15.1</v>
      </c>
      <c r="CB101" s="90">
        <v>26.6</v>
      </c>
      <c r="CC101" s="92">
        <f t="shared" si="144"/>
        <v>26.7</v>
      </c>
      <c r="CD101" s="93">
        <v>33.9</v>
      </c>
      <c r="CE101" s="83" t="s">
        <v>322</v>
      </c>
      <c r="CF101" s="5"/>
      <c r="CG101" s="53"/>
      <c r="CH101" s="53"/>
      <c r="CI101" s="53"/>
      <c r="CJ101" s="53"/>
      <c r="CK101" s="53"/>
      <c r="CL101" s="53"/>
      <c r="CN101" s="53"/>
      <c r="CO101" s="53"/>
      <c r="CP101" s="53"/>
      <c r="CQ101" s="53"/>
      <c r="CR101" s="53"/>
      <c r="CS101" s="53"/>
      <c r="DV101" s="119" t="s">
        <v>241</v>
      </c>
      <c r="DW101" s="120">
        <v>126</v>
      </c>
      <c r="DX101" s="121">
        <v>120.6</v>
      </c>
      <c r="DY101" s="145">
        <v>120.7</v>
      </c>
      <c r="DZ101" s="146">
        <v>127.2</v>
      </c>
      <c r="EA101" s="149">
        <v>127.3</v>
      </c>
      <c r="EB101" s="150">
        <v>153.5</v>
      </c>
      <c r="EC101" s="148">
        <v>153.6</v>
      </c>
      <c r="EE101" s="143" t="s">
        <v>241</v>
      </c>
      <c r="EF101" s="144">
        <v>126</v>
      </c>
      <c r="EG101" s="170">
        <v>122.1</v>
      </c>
      <c r="EH101" s="174">
        <v>122.2</v>
      </c>
      <c r="EI101" s="175">
        <v>128.6</v>
      </c>
      <c r="EJ101" s="180">
        <v>128.69999999999999</v>
      </c>
      <c r="EK101" s="181">
        <v>154.80000000000001</v>
      </c>
      <c r="EL101" s="173">
        <v>154.9</v>
      </c>
    </row>
    <row r="102" spans="1:142" ht="11.15" customHeight="1">
      <c r="A102" s="216"/>
      <c r="B102" s="217"/>
      <c r="C102" s="218"/>
      <c r="D102" s="219"/>
      <c r="E102" s="217"/>
      <c r="F102" s="217"/>
      <c r="G102" s="217"/>
      <c r="H102" s="220"/>
      <c r="I102" s="217"/>
      <c r="J102" s="217"/>
      <c r="K102" s="217"/>
      <c r="L102" s="217"/>
      <c r="M102" s="217"/>
      <c r="N102" s="217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BA102" s="5"/>
      <c r="BB102" s="5"/>
      <c r="BC102" s="5"/>
      <c r="BD102" s="5"/>
      <c r="BE102" s="63"/>
      <c r="BF102" s="63"/>
      <c r="BG102" s="63"/>
      <c r="BK102" s="71" t="s">
        <v>323</v>
      </c>
      <c r="BL102" s="70">
        <v>161</v>
      </c>
      <c r="BM102" s="5">
        <v>13.9</v>
      </c>
      <c r="BN102" s="77">
        <v>14</v>
      </c>
      <c r="BO102" s="78">
        <f t="shared" si="141"/>
        <v>15.1</v>
      </c>
      <c r="BP102" s="79">
        <v>15.2</v>
      </c>
      <c r="BQ102" s="80">
        <v>25.2</v>
      </c>
      <c r="BR102" s="81">
        <f t="shared" si="142"/>
        <v>25.3</v>
      </c>
      <c r="BS102" s="82">
        <v>32.299999999999997</v>
      </c>
      <c r="BT102" s="83">
        <v>32.4</v>
      </c>
      <c r="BU102" s="41"/>
      <c r="BV102" s="87" t="s">
        <v>323</v>
      </c>
      <c r="BW102" s="86">
        <v>161</v>
      </c>
      <c r="BX102" s="5">
        <v>13.7</v>
      </c>
      <c r="BY102" s="88">
        <v>13.8</v>
      </c>
      <c r="BZ102" s="78">
        <f t="shared" si="143"/>
        <v>15.1</v>
      </c>
      <c r="CA102" s="89">
        <v>15.2</v>
      </c>
      <c r="CB102" s="90">
        <v>26.7</v>
      </c>
      <c r="CC102" s="92">
        <f t="shared" si="144"/>
        <v>26.8</v>
      </c>
      <c r="CD102" s="93">
        <v>34</v>
      </c>
      <c r="CE102" s="83" t="s">
        <v>324</v>
      </c>
      <c r="CF102" s="5"/>
      <c r="CG102" s="53"/>
      <c r="CH102" s="53"/>
      <c r="CI102" s="53"/>
      <c r="CJ102" s="53"/>
      <c r="CK102" s="53"/>
      <c r="CL102" s="53"/>
      <c r="CN102" s="53"/>
      <c r="CO102" s="53"/>
      <c r="CP102" s="53"/>
      <c r="CQ102" s="53"/>
      <c r="CR102" s="53"/>
      <c r="CS102" s="53"/>
      <c r="DV102" s="119" t="s">
        <v>243</v>
      </c>
      <c r="DW102" s="120">
        <v>127</v>
      </c>
      <c r="DX102" s="121">
        <v>121</v>
      </c>
      <c r="DY102" s="145">
        <v>121.1</v>
      </c>
      <c r="DZ102" s="146">
        <v>127.6</v>
      </c>
      <c r="EA102" s="149">
        <v>127.7</v>
      </c>
      <c r="EB102" s="150">
        <v>154</v>
      </c>
      <c r="EC102" s="148">
        <v>154.1</v>
      </c>
      <c r="EE102" s="143" t="s">
        <v>243</v>
      </c>
      <c r="EF102" s="144">
        <v>127</v>
      </c>
      <c r="EG102" s="170">
        <v>122.6</v>
      </c>
      <c r="EH102" s="174">
        <v>122.7</v>
      </c>
      <c r="EI102" s="175">
        <v>129.1</v>
      </c>
      <c r="EJ102" s="180">
        <v>129.19999999999999</v>
      </c>
      <c r="EK102" s="181">
        <v>155.4</v>
      </c>
      <c r="EL102" s="173">
        <v>155.5</v>
      </c>
    </row>
    <row r="103" spans="1:142" ht="11.15" customHeight="1">
      <c r="A103" s="216"/>
      <c r="B103" s="217"/>
      <c r="C103" s="218"/>
      <c r="D103" s="219"/>
      <c r="E103" s="217"/>
      <c r="F103" s="217"/>
      <c r="G103" s="217"/>
      <c r="H103" s="220"/>
      <c r="I103" s="217"/>
      <c r="J103" s="217"/>
      <c r="K103" s="217"/>
      <c r="L103" s="217"/>
      <c r="M103" s="217"/>
      <c r="N103" s="217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BA103" s="5"/>
      <c r="BB103" s="5"/>
      <c r="BC103" s="5"/>
      <c r="BD103" s="5"/>
      <c r="BE103" s="63"/>
      <c r="BF103" s="63"/>
      <c r="BG103" s="63"/>
      <c r="BK103" s="71" t="s">
        <v>325</v>
      </c>
      <c r="BL103" s="70">
        <v>162</v>
      </c>
      <c r="BM103" s="5">
        <v>13.9</v>
      </c>
      <c r="BN103" s="77">
        <v>14</v>
      </c>
      <c r="BO103" s="78">
        <f t="shared" si="141"/>
        <v>15.1</v>
      </c>
      <c r="BP103" s="79">
        <v>15.2</v>
      </c>
      <c r="BQ103" s="80">
        <v>25.3</v>
      </c>
      <c r="BR103" s="81">
        <f t="shared" si="142"/>
        <v>25.4</v>
      </c>
      <c r="BS103" s="82">
        <v>32.4</v>
      </c>
      <c r="BT103" s="83">
        <v>32.5</v>
      </c>
      <c r="BU103" s="41"/>
      <c r="BV103" s="87" t="s">
        <v>325</v>
      </c>
      <c r="BW103" s="86">
        <v>162</v>
      </c>
      <c r="BX103" s="5">
        <v>13.7</v>
      </c>
      <c r="BY103" s="88">
        <v>13.8</v>
      </c>
      <c r="BZ103" s="78">
        <f t="shared" si="143"/>
        <v>15.1</v>
      </c>
      <c r="CA103" s="89">
        <v>15.2</v>
      </c>
      <c r="CB103" s="90">
        <v>26.8</v>
      </c>
      <c r="CC103" s="92">
        <f t="shared" si="144"/>
        <v>26.9</v>
      </c>
      <c r="CD103" s="93">
        <v>34.1</v>
      </c>
      <c r="CE103" s="83" t="s">
        <v>326</v>
      </c>
      <c r="CF103" s="5"/>
      <c r="CG103" s="53"/>
      <c r="CH103" s="53"/>
      <c r="CI103" s="53"/>
      <c r="CJ103" s="53"/>
      <c r="CK103" s="53"/>
      <c r="CL103" s="53"/>
      <c r="CN103" s="53"/>
      <c r="CO103" s="53"/>
      <c r="CP103" s="53"/>
      <c r="CQ103" s="53"/>
      <c r="CR103" s="53"/>
      <c r="CS103" s="53"/>
      <c r="DV103" s="119" t="s">
        <v>245</v>
      </c>
      <c r="DW103" s="120">
        <v>128</v>
      </c>
      <c r="DX103" s="121">
        <v>121.3</v>
      </c>
      <c r="DY103" s="145">
        <v>121.4</v>
      </c>
      <c r="DZ103" s="146">
        <v>128</v>
      </c>
      <c r="EA103" s="149">
        <v>128.1</v>
      </c>
      <c r="EB103" s="150">
        <v>154.5</v>
      </c>
      <c r="EC103" s="148">
        <v>154.6</v>
      </c>
      <c r="EE103" s="143" t="s">
        <v>245</v>
      </c>
      <c r="EF103" s="144">
        <v>128</v>
      </c>
      <c r="EG103" s="170">
        <v>123.1</v>
      </c>
      <c r="EH103" s="174">
        <v>123.2</v>
      </c>
      <c r="EI103" s="175">
        <v>129.6</v>
      </c>
      <c r="EJ103" s="180">
        <v>129.69999999999999</v>
      </c>
      <c r="EK103" s="181">
        <v>156</v>
      </c>
      <c r="EL103" s="173">
        <v>156.1</v>
      </c>
    </row>
    <row r="104" spans="1:142" ht="11.15" customHeight="1">
      <c r="A104" s="216"/>
      <c r="B104" s="217"/>
      <c r="C104" s="218"/>
      <c r="D104" s="219"/>
      <c r="E104" s="217"/>
      <c r="F104" s="217"/>
      <c r="G104" s="217"/>
      <c r="H104" s="220"/>
      <c r="I104" s="217"/>
      <c r="J104" s="217"/>
      <c r="K104" s="217"/>
      <c r="L104" s="217"/>
      <c r="M104" s="217"/>
      <c r="N104" s="217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BA104" s="5"/>
      <c r="BB104" s="5"/>
      <c r="BC104" s="5"/>
      <c r="BD104" s="5"/>
      <c r="BE104" s="63"/>
      <c r="BF104" s="63"/>
      <c r="BG104" s="63"/>
      <c r="BK104" s="71" t="s">
        <v>327</v>
      </c>
      <c r="BL104" s="70">
        <v>163</v>
      </c>
      <c r="BM104" s="5">
        <v>14</v>
      </c>
      <c r="BN104" s="77">
        <v>14.1</v>
      </c>
      <c r="BO104" s="78">
        <f t="shared" si="141"/>
        <v>15.1</v>
      </c>
      <c r="BP104" s="79">
        <v>15.2</v>
      </c>
      <c r="BQ104" s="80">
        <v>25.4</v>
      </c>
      <c r="BR104" s="81">
        <f t="shared" si="142"/>
        <v>25.5</v>
      </c>
      <c r="BS104" s="82">
        <v>32.6</v>
      </c>
      <c r="BT104" s="83">
        <v>32.700000000000003</v>
      </c>
      <c r="BU104" s="41"/>
      <c r="BV104" s="87" t="s">
        <v>327</v>
      </c>
      <c r="BW104" s="86">
        <v>163</v>
      </c>
      <c r="BX104" s="5">
        <v>13.8</v>
      </c>
      <c r="BY104" s="88">
        <v>13.9</v>
      </c>
      <c r="BZ104" s="78">
        <f t="shared" si="143"/>
        <v>15.1</v>
      </c>
      <c r="CA104" s="89">
        <v>15.2</v>
      </c>
      <c r="CB104" s="90">
        <v>26.9</v>
      </c>
      <c r="CC104" s="92">
        <f t="shared" si="144"/>
        <v>27</v>
      </c>
      <c r="CD104" s="93">
        <v>34.200000000000003</v>
      </c>
      <c r="CE104" s="83" t="s">
        <v>328</v>
      </c>
      <c r="CF104" s="5"/>
      <c r="CG104" s="53"/>
      <c r="CH104" s="53"/>
      <c r="CI104" s="53"/>
      <c r="CJ104" s="53"/>
      <c r="CK104" s="53"/>
      <c r="CL104" s="53"/>
      <c r="CN104" s="53"/>
      <c r="CO104" s="53"/>
      <c r="CP104" s="53"/>
      <c r="CQ104" s="53"/>
      <c r="CR104" s="53"/>
      <c r="CS104" s="53"/>
      <c r="DV104" s="119" t="s">
        <v>247</v>
      </c>
      <c r="DW104" s="120">
        <v>129</v>
      </c>
      <c r="DX104" s="121">
        <v>121.7</v>
      </c>
      <c r="DY104" s="145">
        <v>121.8</v>
      </c>
      <c r="DZ104" s="146">
        <v>128.4</v>
      </c>
      <c r="EA104" s="149">
        <v>128.5</v>
      </c>
      <c r="EB104" s="150">
        <v>155</v>
      </c>
      <c r="EC104" s="148">
        <v>155.1</v>
      </c>
      <c r="EE104" s="143" t="s">
        <v>247</v>
      </c>
      <c r="EF104" s="144">
        <v>129</v>
      </c>
      <c r="EG104" s="170">
        <v>123.5</v>
      </c>
      <c r="EH104" s="174">
        <v>123.6</v>
      </c>
      <c r="EI104" s="175">
        <v>130.1</v>
      </c>
      <c r="EJ104" s="180">
        <v>130.19999999999999</v>
      </c>
      <c r="EK104" s="181">
        <v>156.6</v>
      </c>
      <c r="EL104" s="173">
        <v>156.69999999999999</v>
      </c>
    </row>
    <row r="105" spans="1:142" ht="11.15" customHeight="1">
      <c r="A105" s="216"/>
      <c r="B105" s="217"/>
      <c r="C105" s="218"/>
      <c r="D105" s="219"/>
      <c r="E105" s="217"/>
      <c r="F105" s="217"/>
      <c r="G105" s="217"/>
      <c r="H105" s="220"/>
      <c r="I105" s="217"/>
      <c r="J105" s="217"/>
      <c r="K105" s="217"/>
      <c r="L105" s="217"/>
      <c r="M105" s="217"/>
      <c r="N105" s="217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W105" s="63"/>
      <c r="AX105" s="63"/>
      <c r="AY105" s="63"/>
      <c r="AZ105" s="63"/>
      <c r="BA105" s="5"/>
      <c r="BB105" s="5"/>
      <c r="BC105" s="5"/>
      <c r="BD105" s="5"/>
      <c r="BE105" s="63"/>
      <c r="BF105" s="63"/>
      <c r="BG105" s="63"/>
      <c r="BK105" s="71" t="s">
        <v>329</v>
      </c>
      <c r="BL105" s="70">
        <v>164</v>
      </c>
      <c r="BM105" s="5">
        <v>14</v>
      </c>
      <c r="BN105" s="77">
        <v>14.1</v>
      </c>
      <c r="BO105" s="78">
        <f t="shared" si="141"/>
        <v>15.2</v>
      </c>
      <c r="BP105" s="79">
        <v>15.3</v>
      </c>
      <c r="BQ105" s="80">
        <v>25.5</v>
      </c>
      <c r="BR105" s="81">
        <f t="shared" si="142"/>
        <v>25.6</v>
      </c>
      <c r="BS105" s="82">
        <v>32.700000000000003</v>
      </c>
      <c r="BT105" s="83">
        <v>32.799999999999997</v>
      </c>
      <c r="BU105" s="41"/>
      <c r="BV105" s="87" t="s">
        <v>329</v>
      </c>
      <c r="BW105" s="86">
        <v>164</v>
      </c>
      <c r="BX105" s="5">
        <v>13.8</v>
      </c>
      <c r="BY105" s="88">
        <v>13.9</v>
      </c>
      <c r="BZ105" s="78">
        <f t="shared" si="143"/>
        <v>15.2</v>
      </c>
      <c r="CA105" s="89">
        <v>15.3</v>
      </c>
      <c r="CB105" s="90">
        <v>27</v>
      </c>
      <c r="CC105" s="92">
        <f t="shared" si="144"/>
        <v>27.1</v>
      </c>
      <c r="CD105" s="93">
        <v>34.299999999999997</v>
      </c>
      <c r="CE105" s="83" t="s">
        <v>330</v>
      </c>
      <c r="CF105" s="5"/>
      <c r="CG105" s="53"/>
      <c r="CH105" s="53"/>
      <c r="CI105" s="53"/>
      <c r="CJ105" s="53"/>
      <c r="CK105" s="53"/>
      <c r="CL105" s="53"/>
      <c r="CN105" s="53"/>
      <c r="CO105" s="53"/>
      <c r="CP105" s="53"/>
      <c r="CQ105" s="53"/>
      <c r="CR105" s="53"/>
      <c r="CS105" s="53"/>
      <c r="DV105" s="119" t="s">
        <v>249</v>
      </c>
      <c r="DW105" s="120">
        <v>130</v>
      </c>
      <c r="DX105" s="121">
        <v>122.1</v>
      </c>
      <c r="DY105" s="145">
        <v>122.2</v>
      </c>
      <c r="DZ105" s="146">
        <v>128.69999999999999</v>
      </c>
      <c r="EA105" s="149">
        <v>128.80000000000001</v>
      </c>
      <c r="EB105" s="150">
        <v>155.5</v>
      </c>
      <c r="EC105" s="148">
        <v>155.6</v>
      </c>
      <c r="EE105" s="143" t="s">
        <v>249</v>
      </c>
      <c r="EF105" s="144">
        <v>130</v>
      </c>
      <c r="EG105" s="170">
        <v>124</v>
      </c>
      <c r="EH105" s="174">
        <v>124.1</v>
      </c>
      <c r="EI105" s="175">
        <v>130.6</v>
      </c>
      <c r="EJ105" s="180">
        <v>130.69999999999999</v>
      </c>
      <c r="EK105" s="181">
        <v>157.1</v>
      </c>
      <c r="EL105" s="173">
        <v>157.19999999999999</v>
      </c>
    </row>
    <row r="106" spans="1:142" ht="11.15" customHeight="1">
      <c r="A106" s="216"/>
      <c r="B106" s="217"/>
      <c r="C106" s="218"/>
      <c r="D106" s="219"/>
      <c r="E106" s="217"/>
      <c r="F106" s="217"/>
      <c r="G106" s="217"/>
      <c r="H106" s="220"/>
      <c r="I106" s="217"/>
      <c r="J106" s="217"/>
      <c r="K106" s="217"/>
      <c r="L106" s="217"/>
      <c r="M106" s="217"/>
      <c r="N106" s="217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W106" s="63"/>
      <c r="AX106" s="63"/>
      <c r="AY106" s="63"/>
      <c r="AZ106" s="63"/>
      <c r="BA106" s="5"/>
      <c r="BB106" s="5"/>
      <c r="BC106" s="5"/>
      <c r="BD106" s="5"/>
      <c r="BE106" s="63"/>
      <c r="BF106" s="63"/>
      <c r="BG106" s="63"/>
      <c r="BK106" s="71" t="s">
        <v>331</v>
      </c>
      <c r="BL106" s="70">
        <v>165</v>
      </c>
      <c r="BM106" s="5">
        <v>14</v>
      </c>
      <c r="BN106" s="77">
        <v>14.1</v>
      </c>
      <c r="BO106" s="78">
        <f t="shared" si="141"/>
        <v>15.2</v>
      </c>
      <c r="BP106" s="79">
        <v>15.3</v>
      </c>
      <c r="BQ106" s="80">
        <v>25.6</v>
      </c>
      <c r="BR106" s="81">
        <f t="shared" si="142"/>
        <v>25.7</v>
      </c>
      <c r="BS106" s="82">
        <v>32.799999999999997</v>
      </c>
      <c r="BT106" s="83">
        <v>32.9</v>
      </c>
      <c r="BU106" s="41"/>
      <c r="BV106" s="87" t="s">
        <v>331</v>
      </c>
      <c r="BW106" s="86">
        <v>165</v>
      </c>
      <c r="BX106" s="5">
        <v>13.8</v>
      </c>
      <c r="BY106" s="88">
        <v>13.9</v>
      </c>
      <c r="BZ106" s="78">
        <f t="shared" si="143"/>
        <v>15.2</v>
      </c>
      <c r="CA106" s="89">
        <v>15.3</v>
      </c>
      <c r="CB106" s="90">
        <v>27.1</v>
      </c>
      <c r="CC106" s="92">
        <f t="shared" si="144"/>
        <v>27.2</v>
      </c>
      <c r="CD106" s="93">
        <v>34.4</v>
      </c>
      <c r="CE106" s="83" t="s">
        <v>332</v>
      </c>
      <c r="CF106" s="5"/>
      <c r="CG106" s="53"/>
      <c r="CH106" s="53"/>
      <c r="CI106" s="53"/>
      <c r="CJ106" s="53"/>
      <c r="CK106" s="53"/>
      <c r="CL106" s="53"/>
      <c r="CN106" s="53"/>
      <c r="CO106" s="53"/>
      <c r="CP106" s="53"/>
      <c r="CQ106" s="53"/>
      <c r="CR106" s="53"/>
      <c r="CS106" s="53"/>
      <c r="DV106" s="119" t="s">
        <v>251</v>
      </c>
      <c r="DW106" s="120">
        <v>131</v>
      </c>
      <c r="DX106" s="121">
        <v>122.4</v>
      </c>
      <c r="DY106" s="145">
        <v>122.5</v>
      </c>
      <c r="DZ106" s="146">
        <v>129.1</v>
      </c>
      <c r="EA106" s="149">
        <v>129.19999999999999</v>
      </c>
      <c r="EB106" s="150">
        <v>156.1</v>
      </c>
      <c r="EC106" s="148">
        <v>156.19999999999999</v>
      </c>
      <c r="EE106" s="143" t="s">
        <v>251</v>
      </c>
      <c r="EF106" s="144">
        <v>131</v>
      </c>
      <c r="EG106" s="170">
        <v>124.5</v>
      </c>
      <c r="EH106" s="174">
        <v>124.6</v>
      </c>
      <c r="EI106" s="175">
        <v>131.1</v>
      </c>
      <c r="EJ106" s="180">
        <v>131.19999999999999</v>
      </c>
      <c r="EK106" s="181">
        <v>157.69999999999999</v>
      </c>
      <c r="EL106" s="173">
        <v>157.80000000000001</v>
      </c>
    </row>
    <row r="107" spans="1:142" ht="11.15" customHeight="1">
      <c r="A107" s="216"/>
      <c r="B107" s="217"/>
      <c r="C107" s="218"/>
      <c r="D107" s="219"/>
      <c r="E107" s="217"/>
      <c r="F107" s="217"/>
      <c r="G107" s="217"/>
      <c r="H107" s="220"/>
      <c r="I107" s="217"/>
      <c r="J107" s="217"/>
      <c r="K107" s="217"/>
      <c r="L107" s="217"/>
      <c r="M107" s="217"/>
      <c r="N107" s="217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W107" s="63"/>
      <c r="AX107" s="63"/>
      <c r="AY107" s="63"/>
      <c r="AZ107" s="63"/>
      <c r="BA107" s="5"/>
      <c r="BB107" s="5"/>
      <c r="BC107" s="5"/>
      <c r="BD107" s="5"/>
      <c r="BE107" s="63"/>
      <c r="BF107" s="63"/>
      <c r="BG107" s="63"/>
      <c r="BK107" s="71" t="s">
        <v>333</v>
      </c>
      <c r="BL107" s="70">
        <v>166</v>
      </c>
      <c r="BM107" s="5">
        <v>14.1</v>
      </c>
      <c r="BN107" s="77">
        <v>14.2</v>
      </c>
      <c r="BO107" s="78">
        <f t="shared" si="141"/>
        <v>15.3</v>
      </c>
      <c r="BP107" s="79">
        <v>15.4</v>
      </c>
      <c r="BQ107" s="80">
        <v>25.7</v>
      </c>
      <c r="BR107" s="81">
        <f t="shared" si="142"/>
        <v>25.8</v>
      </c>
      <c r="BS107" s="82">
        <v>32.9</v>
      </c>
      <c r="BT107" s="83">
        <v>33</v>
      </c>
      <c r="BU107" s="41"/>
      <c r="BV107" s="87" t="s">
        <v>333</v>
      </c>
      <c r="BW107" s="86">
        <v>166</v>
      </c>
      <c r="BX107" s="5">
        <v>13.9</v>
      </c>
      <c r="BY107" s="88">
        <v>14</v>
      </c>
      <c r="BZ107" s="78">
        <f t="shared" si="143"/>
        <v>15.3</v>
      </c>
      <c r="CA107" s="89">
        <v>15.4</v>
      </c>
      <c r="CB107" s="90">
        <v>27.1</v>
      </c>
      <c r="CC107" s="92">
        <f t="shared" si="144"/>
        <v>27.2</v>
      </c>
      <c r="CD107" s="93">
        <v>34.5</v>
      </c>
      <c r="CE107" s="83" t="s">
        <v>334</v>
      </c>
      <c r="CF107" s="5"/>
      <c r="CG107" s="53"/>
      <c r="CH107" s="53"/>
      <c r="CI107" s="53"/>
      <c r="CJ107" s="53"/>
      <c r="CK107" s="53"/>
      <c r="CL107" s="53"/>
      <c r="CN107" s="53"/>
      <c r="CO107" s="53"/>
      <c r="CP107" s="53"/>
      <c r="CQ107" s="53"/>
      <c r="CR107" s="53"/>
      <c r="CS107" s="53"/>
      <c r="CT107" s="5"/>
      <c r="CU107" s="5"/>
      <c r="CV107" s="5"/>
      <c r="CW107" s="5"/>
      <c r="CX107" s="5"/>
      <c r="CY107" s="5"/>
      <c r="DV107" s="119" t="s">
        <v>253</v>
      </c>
      <c r="DW107" s="120">
        <v>132</v>
      </c>
      <c r="DX107" s="121">
        <v>122.8</v>
      </c>
      <c r="DY107" s="145">
        <v>122.9</v>
      </c>
      <c r="DZ107" s="146">
        <v>129.6</v>
      </c>
      <c r="EA107" s="149">
        <v>129.69999999999999</v>
      </c>
      <c r="EB107" s="150">
        <v>156.6</v>
      </c>
      <c r="EC107" s="148">
        <v>156.69999999999999</v>
      </c>
      <c r="EE107" s="143" t="s">
        <v>253</v>
      </c>
      <c r="EF107" s="144">
        <v>132</v>
      </c>
      <c r="EG107" s="170">
        <v>125</v>
      </c>
      <c r="EH107" s="174">
        <v>125.1</v>
      </c>
      <c r="EI107" s="175">
        <v>131.6</v>
      </c>
      <c r="EJ107" s="180">
        <v>131.69999999999999</v>
      </c>
      <c r="EK107" s="181">
        <v>158.30000000000001</v>
      </c>
      <c r="EL107" s="173">
        <v>158.4</v>
      </c>
    </row>
    <row r="108" spans="1:142" ht="11.15" customHeight="1">
      <c r="A108" s="216"/>
      <c r="B108" s="217"/>
      <c r="C108" s="218"/>
      <c r="D108" s="219"/>
      <c r="E108" s="217"/>
      <c r="F108" s="217"/>
      <c r="G108" s="217"/>
      <c r="H108" s="220"/>
      <c r="I108" s="217"/>
      <c r="J108" s="217"/>
      <c r="K108" s="217"/>
      <c r="L108" s="217"/>
      <c r="M108" s="217"/>
      <c r="N108" s="217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W108" s="63"/>
      <c r="AX108" s="63"/>
      <c r="AY108" s="63"/>
      <c r="AZ108" s="63"/>
      <c r="BA108" s="5"/>
      <c r="BB108" s="5"/>
      <c r="BC108" s="5"/>
      <c r="BD108" s="5"/>
      <c r="BE108" s="63"/>
      <c r="BF108" s="63"/>
      <c r="BG108" s="63"/>
      <c r="BK108" s="71" t="s">
        <v>335</v>
      </c>
      <c r="BL108" s="70">
        <v>167</v>
      </c>
      <c r="BM108" s="5">
        <v>14.1</v>
      </c>
      <c r="BN108" s="77">
        <v>14.2</v>
      </c>
      <c r="BO108" s="78">
        <f t="shared" si="141"/>
        <v>15.3</v>
      </c>
      <c r="BP108" s="79">
        <v>15.4</v>
      </c>
      <c r="BQ108" s="80">
        <v>25.8</v>
      </c>
      <c r="BR108" s="81">
        <f t="shared" si="142"/>
        <v>25.9</v>
      </c>
      <c r="BS108" s="82">
        <v>33</v>
      </c>
      <c r="BT108" s="83">
        <v>33.1</v>
      </c>
      <c r="BU108" s="41"/>
      <c r="BV108" s="87" t="s">
        <v>335</v>
      </c>
      <c r="BW108" s="86">
        <v>167</v>
      </c>
      <c r="BX108" s="5">
        <v>13.9</v>
      </c>
      <c r="BY108" s="88">
        <v>14</v>
      </c>
      <c r="BZ108" s="78">
        <f t="shared" si="143"/>
        <v>15.3</v>
      </c>
      <c r="CA108" s="89">
        <v>15.4</v>
      </c>
      <c r="CB108" s="90">
        <v>27.2</v>
      </c>
      <c r="CC108" s="92">
        <f t="shared" si="144"/>
        <v>27.3</v>
      </c>
      <c r="CD108" s="93">
        <v>34.6</v>
      </c>
      <c r="CE108" s="83" t="s">
        <v>336</v>
      </c>
      <c r="CF108" s="5"/>
      <c r="CG108" s="53"/>
      <c r="CH108" s="53"/>
      <c r="CI108" s="53"/>
      <c r="CJ108" s="53"/>
      <c r="CK108" s="53"/>
      <c r="CL108" s="53"/>
      <c r="CN108" s="53"/>
      <c r="CO108" s="53"/>
      <c r="CP108" s="53"/>
      <c r="CQ108" s="53"/>
      <c r="CR108" s="53"/>
      <c r="CS108" s="53"/>
      <c r="CT108" s="5"/>
      <c r="CU108" s="5"/>
      <c r="CV108" s="5"/>
      <c r="CW108" s="5"/>
      <c r="CX108" s="5"/>
      <c r="CY108" s="5"/>
      <c r="DV108" s="119" t="s">
        <v>255</v>
      </c>
      <c r="DW108" s="120">
        <v>133</v>
      </c>
      <c r="DX108" s="121">
        <v>123.2</v>
      </c>
      <c r="DY108" s="145">
        <v>123.3</v>
      </c>
      <c r="DZ108" s="146">
        <v>130</v>
      </c>
      <c r="EA108" s="149">
        <v>130.1</v>
      </c>
      <c r="EB108" s="150">
        <v>157.1</v>
      </c>
      <c r="EC108" s="148">
        <v>157.19999999999999</v>
      </c>
      <c r="EE108" s="143" t="s">
        <v>255</v>
      </c>
      <c r="EF108" s="144">
        <v>133</v>
      </c>
      <c r="EG108" s="170">
        <v>125.4</v>
      </c>
      <c r="EH108" s="174">
        <v>125.5</v>
      </c>
      <c r="EI108" s="175">
        <v>132.1</v>
      </c>
      <c r="EJ108" s="180">
        <v>132.19999999999999</v>
      </c>
      <c r="EK108" s="181">
        <v>158.9</v>
      </c>
      <c r="EL108" s="173">
        <v>159</v>
      </c>
    </row>
    <row r="109" spans="1:142" ht="11.15" customHeight="1">
      <c r="A109" s="216"/>
      <c r="B109" s="217"/>
      <c r="C109" s="218"/>
      <c r="D109" s="219"/>
      <c r="E109" s="217"/>
      <c r="F109" s="217"/>
      <c r="G109" s="217"/>
      <c r="H109" s="220"/>
      <c r="I109" s="217"/>
      <c r="J109" s="217"/>
      <c r="K109" s="217"/>
      <c r="L109" s="217"/>
      <c r="M109" s="217"/>
      <c r="N109" s="217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W109" s="63"/>
      <c r="AX109" s="63"/>
      <c r="AY109" s="63"/>
      <c r="AZ109" s="63"/>
      <c r="BA109" s="5"/>
      <c r="BB109" s="5"/>
      <c r="BC109" s="5"/>
      <c r="BD109" s="5"/>
      <c r="BE109" s="63"/>
      <c r="BF109" s="63"/>
      <c r="BG109" s="63"/>
      <c r="BK109" s="71" t="s">
        <v>337</v>
      </c>
      <c r="BL109" s="70">
        <v>168</v>
      </c>
      <c r="BM109" s="5">
        <v>14.2</v>
      </c>
      <c r="BN109" s="77">
        <v>14.3</v>
      </c>
      <c r="BO109" s="78">
        <f t="shared" si="141"/>
        <v>15.4</v>
      </c>
      <c r="BP109" s="79">
        <v>15.5</v>
      </c>
      <c r="BQ109" s="80">
        <v>25.9</v>
      </c>
      <c r="BR109" s="81">
        <f t="shared" si="142"/>
        <v>26</v>
      </c>
      <c r="BS109" s="82">
        <v>33.1</v>
      </c>
      <c r="BT109" s="83">
        <v>33.200000000000003</v>
      </c>
      <c r="BU109" s="41"/>
      <c r="BV109" s="87" t="s">
        <v>337</v>
      </c>
      <c r="BW109" s="86">
        <v>168</v>
      </c>
      <c r="BX109" s="5">
        <v>13.9</v>
      </c>
      <c r="BY109" s="88">
        <v>14</v>
      </c>
      <c r="BZ109" s="78">
        <f t="shared" si="143"/>
        <v>15.3</v>
      </c>
      <c r="CA109" s="89">
        <v>15.4</v>
      </c>
      <c r="CB109" s="90">
        <v>27.3</v>
      </c>
      <c r="CC109" s="92">
        <f t="shared" si="144"/>
        <v>27.4</v>
      </c>
      <c r="CD109" s="93">
        <v>34.700000000000003</v>
      </c>
      <c r="CE109" s="83" t="s">
        <v>338</v>
      </c>
      <c r="CF109" s="5"/>
      <c r="CG109" s="53"/>
      <c r="CH109" s="53"/>
      <c r="CI109" s="53"/>
      <c r="CJ109" s="53"/>
      <c r="CK109" s="53"/>
      <c r="CL109" s="53"/>
      <c r="CN109" s="53"/>
      <c r="CO109" s="53"/>
      <c r="CP109" s="53"/>
      <c r="CQ109" s="53"/>
      <c r="CR109" s="53"/>
      <c r="CS109" s="53"/>
      <c r="CT109" s="5"/>
      <c r="CU109" s="5"/>
      <c r="CV109" s="5"/>
      <c r="CW109" s="5"/>
      <c r="CX109" s="5"/>
      <c r="CY109" s="5"/>
      <c r="DV109" s="119" t="s">
        <v>257</v>
      </c>
      <c r="DW109" s="120">
        <v>134</v>
      </c>
      <c r="DX109" s="121">
        <v>123.6</v>
      </c>
      <c r="DY109" s="145">
        <v>123.7</v>
      </c>
      <c r="DZ109" s="146">
        <v>130.4</v>
      </c>
      <c r="EA109" s="149">
        <v>130.5</v>
      </c>
      <c r="EB109" s="150">
        <v>157.6</v>
      </c>
      <c r="EC109" s="148">
        <v>157.69999999999999</v>
      </c>
      <c r="EE109" s="143" t="s">
        <v>257</v>
      </c>
      <c r="EF109" s="144">
        <v>134</v>
      </c>
      <c r="EG109" s="170">
        <v>125.9</v>
      </c>
      <c r="EH109" s="174">
        <v>126</v>
      </c>
      <c r="EI109" s="175">
        <v>132.6</v>
      </c>
      <c r="EJ109" s="180">
        <v>132.69999999999999</v>
      </c>
      <c r="EK109" s="181">
        <v>159.4</v>
      </c>
      <c r="EL109" s="173">
        <v>159.5</v>
      </c>
    </row>
    <row r="110" spans="1:142" ht="11.15" customHeight="1">
      <c r="A110" s="216"/>
      <c r="B110" s="217"/>
      <c r="C110" s="218"/>
      <c r="D110" s="219"/>
      <c r="E110" s="217"/>
      <c r="F110" s="217"/>
      <c r="G110" s="217"/>
      <c r="H110" s="220"/>
      <c r="I110" s="217"/>
      <c r="J110" s="217"/>
      <c r="K110" s="217"/>
      <c r="L110" s="217"/>
      <c r="M110" s="217"/>
      <c r="N110" s="217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BA110" s="5"/>
      <c r="BB110" s="5"/>
      <c r="BC110" s="5"/>
      <c r="BD110" s="5"/>
      <c r="BE110" s="63"/>
      <c r="BF110" s="63"/>
      <c r="BG110" s="63"/>
      <c r="BK110" s="71" t="s">
        <v>339</v>
      </c>
      <c r="BL110" s="70">
        <v>169</v>
      </c>
      <c r="BM110" s="5">
        <v>14.2</v>
      </c>
      <c r="BN110" s="77">
        <v>14.3</v>
      </c>
      <c r="BO110" s="78">
        <f t="shared" si="141"/>
        <v>15.4</v>
      </c>
      <c r="BP110" s="79">
        <v>15.5</v>
      </c>
      <c r="BQ110" s="80">
        <v>26</v>
      </c>
      <c r="BR110" s="81">
        <f t="shared" si="142"/>
        <v>26.1</v>
      </c>
      <c r="BS110" s="82">
        <v>33.200000000000003</v>
      </c>
      <c r="BT110" s="83">
        <v>33.299999999999997</v>
      </c>
      <c r="BU110" s="41"/>
      <c r="BV110" s="87" t="s">
        <v>339</v>
      </c>
      <c r="BW110" s="86">
        <v>169</v>
      </c>
      <c r="BX110" s="5">
        <v>14</v>
      </c>
      <c r="BY110" s="88">
        <v>14.1</v>
      </c>
      <c r="BZ110" s="78">
        <f t="shared" si="143"/>
        <v>15.4</v>
      </c>
      <c r="CA110" s="89">
        <v>15.5</v>
      </c>
      <c r="CB110" s="90">
        <v>27.4</v>
      </c>
      <c r="CC110" s="92">
        <f t="shared" si="144"/>
        <v>27.5</v>
      </c>
      <c r="CD110" s="93">
        <v>34.700000000000003</v>
      </c>
      <c r="CE110" s="83" t="s">
        <v>338</v>
      </c>
      <c r="CF110" s="5"/>
      <c r="CG110" s="53"/>
      <c r="CH110" s="53"/>
      <c r="CI110" s="53"/>
      <c r="CJ110" s="53"/>
      <c r="CK110" s="53"/>
      <c r="CL110" s="53"/>
      <c r="CN110" s="53"/>
      <c r="CO110" s="53"/>
      <c r="CP110" s="53"/>
      <c r="CQ110" s="53"/>
      <c r="CR110" s="53"/>
      <c r="CS110" s="53"/>
      <c r="CT110" s="5"/>
      <c r="CU110" s="5"/>
      <c r="CV110" s="5"/>
      <c r="CW110" s="5"/>
      <c r="CX110" s="5"/>
      <c r="CY110" s="5"/>
      <c r="DV110" s="119" t="s">
        <v>260</v>
      </c>
      <c r="DW110" s="120">
        <v>135</v>
      </c>
      <c r="DX110" s="121">
        <v>124</v>
      </c>
      <c r="DY110" s="145">
        <v>124.1</v>
      </c>
      <c r="DZ110" s="146">
        <v>130.80000000000001</v>
      </c>
      <c r="EA110" s="149">
        <v>130.9</v>
      </c>
      <c r="EB110" s="150">
        <v>158.19999999999999</v>
      </c>
      <c r="EC110" s="148">
        <v>158.30000000000001</v>
      </c>
      <c r="EE110" s="143" t="s">
        <v>260</v>
      </c>
      <c r="EF110" s="144">
        <v>135</v>
      </c>
      <c r="EG110" s="170">
        <v>126.4</v>
      </c>
      <c r="EH110" s="174">
        <v>126.5</v>
      </c>
      <c r="EI110" s="175">
        <v>133.1</v>
      </c>
      <c r="EJ110" s="180">
        <v>133.19999999999999</v>
      </c>
      <c r="EK110" s="181">
        <v>160</v>
      </c>
      <c r="EL110" s="173">
        <v>160.1</v>
      </c>
    </row>
    <row r="111" spans="1:142" ht="11.15" customHeight="1">
      <c r="A111" s="216"/>
      <c r="B111" s="217"/>
      <c r="C111" s="218"/>
      <c r="D111" s="219"/>
      <c r="E111" s="217"/>
      <c r="F111" s="217"/>
      <c r="G111" s="217"/>
      <c r="H111" s="220"/>
      <c r="I111" s="217"/>
      <c r="J111" s="217"/>
      <c r="K111" s="217"/>
      <c r="L111" s="217"/>
      <c r="M111" s="217"/>
      <c r="N111" s="217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BA111" s="5"/>
      <c r="BB111" s="5"/>
      <c r="BC111" s="5"/>
      <c r="BD111" s="5"/>
      <c r="BE111" s="63"/>
      <c r="BF111" s="63"/>
      <c r="BG111" s="63"/>
      <c r="BK111" s="71" t="s">
        <v>340</v>
      </c>
      <c r="BL111" s="70">
        <v>170</v>
      </c>
      <c r="BM111" s="5">
        <v>14.2</v>
      </c>
      <c r="BN111" s="77">
        <v>14.3</v>
      </c>
      <c r="BO111" s="78">
        <f t="shared" si="141"/>
        <v>15.5</v>
      </c>
      <c r="BP111" s="79">
        <v>15.6</v>
      </c>
      <c r="BQ111" s="80">
        <v>26.1</v>
      </c>
      <c r="BR111" s="81">
        <f t="shared" si="142"/>
        <v>26.2</v>
      </c>
      <c r="BS111" s="82">
        <v>33.299999999999997</v>
      </c>
      <c r="BT111" s="83">
        <v>33.4</v>
      </c>
      <c r="BU111" s="41"/>
      <c r="BV111" s="87" t="s">
        <v>340</v>
      </c>
      <c r="BW111" s="86">
        <v>170</v>
      </c>
      <c r="BX111" s="5">
        <v>14</v>
      </c>
      <c r="BY111" s="88">
        <v>14.1</v>
      </c>
      <c r="BZ111" s="78">
        <f t="shared" si="143"/>
        <v>15.4</v>
      </c>
      <c r="CA111" s="89">
        <v>15.5</v>
      </c>
      <c r="CB111" s="90">
        <v>27.5</v>
      </c>
      <c r="CC111" s="92">
        <f t="shared" si="144"/>
        <v>27.6</v>
      </c>
      <c r="CD111" s="93">
        <v>34.799999999999997</v>
      </c>
      <c r="CE111" s="83" t="s">
        <v>341</v>
      </c>
      <c r="CF111" s="5"/>
      <c r="CG111" s="53"/>
      <c r="CH111" s="53"/>
      <c r="CI111" s="53"/>
      <c r="CJ111" s="53"/>
      <c r="CK111" s="53"/>
      <c r="CL111" s="53"/>
      <c r="CN111" s="53"/>
      <c r="CO111" s="53"/>
      <c r="CP111" s="53"/>
      <c r="CQ111" s="53"/>
      <c r="CR111" s="53"/>
      <c r="CS111" s="53"/>
      <c r="CT111" s="5"/>
      <c r="CU111" s="5"/>
      <c r="CV111" s="5"/>
      <c r="CW111" s="5"/>
      <c r="CX111" s="5"/>
      <c r="CY111" s="5"/>
      <c r="DV111" s="119" t="s">
        <v>266</v>
      </c>
      <c r="DW111" s="120">
        <v>136</v>
      </c>
      <c r="DX111" s="121">
        <v>124.4</v>
      </c>
      <c r="DY111" s="145">
        <v>124.5</v>
      </c>
      <c r="DZ111" s="146">
        <v>131.19999999999999</v>
      </c>
      <c r="EA111" s="149">
        <v>131.30000000000001</v>
      </c>
      <c r="EB111" s="150">
        <v>158.69999999999999</v>
      </c>
      <c r="EC111" s="148">
        <v>158.80000000000001</v>
      </c>
      <c r="EE111" s="143" t="s">
        <v>266</v>
      </c>
      <c r="EF111" s="144">
        <v>136</v>
      </c>
      <c r="EG111" s="170">
        <v>126.9</v>
      </c>
      <c r="EH111" s="174">
        <v>127</v>
      </c>
      <c r="EI111" s="175">
        <v>133.6</v>
      </c>
      <c r="EJ111" s="180">
        <v>133.69999999999999</v>
      </c>
      <c r="EK111" s="181">
        <v>160.6</v>
      </c>
      <c r="EL111" s="173">
        <v>160.69999999999999</v>
      </c>
    </row>
    <row r="112" spans="1:142" ht="11.15" customHeight="1">
      <c r="A112" s="216"/>
      <c r="B112" s="217"/>
      <c r="C112" s="218"/>
      <c r="D112" s="219"/>
      <c r="E112" s="217"/>
      <c r="F112" s="217"/>
      <c r="G112" s="217"/>
      <c r="H112" s="220"/>
      <c r="I112" s="217"/>
      <c r="J112" s="217"/>
      <c r="K112" s="217"/>
      <c r="L112" s="217"/>
      <c r="M112" s="217"/>
      <c r="N112" s="217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BA112" s="5"/>
      <c r="BB112" s="5"/>
      <c r="BC112" s="5"/>
      <c r="BD112" s="5"/>
      <c r="BE112" s="63"/>
      <c r="BF112" s="63"/>
      <c r="BG112" s="63"/>
      <c r="BK112" s="71" t="s">
        <v>342</v>
      </c>
      <c r="BL112" s="70">
        <v>171</v>
      </c>
      <c r="BM112" s="5">
        <v>14.3</v>
      </c>
      <c r="BN112" s="77">
        <v>14.4</v>
      </c>
      <c r="BO112" s="78">
        <f t="shared" si="141"/>
        <v>15.5</v>
      </c>
      <c r="BP112" s="79">
        <v>15.6</v>
      </c>
      <c r="BQ112" s="80">
        <v>26.2</v>
      </c>
      <c r="BR112" s="81">
        <f t="shared" si="142"/>
        <v>26.3</v>
      </c>
      <c r="BS112" s="82">
        <v>33.4</v>
      </c>
      <c r="BT112" s="83">
        <v>33.5</v>
      </c>
      <c r="BU112" s="41"/>
      <c r="BV112" s="87" t="s">
        <v>342</v>
      </c>
      <c r="BW112" s="86">
        <v>171</v>
      </c>
      <c r="BX112" s="5">
        <v>14</v>
      </c>
      <c r="BY112" s="88">
        <v>14.1</v>
      </c>
      <c r="BZ112" s="78">
        <f t="shared" si="143"/>
        <v>15.5</v>
      </c>
      <c r="CA112" s="89">
        <v>15.6</v>
      </c>
      <c r="CB112" s="90">
        <v>27.6</v>
      </c>
      <c r="CC112" s="92">
        <f t="shared" si="144"/>
        <v>27.7</v>
      </c>
      <c r="CD112" s="93">
        <v>34.9</v>
      </c>
      <c r="CE112" s="83" t="s">
        <v>343</v>
      </c>
      <c r="CF112" s="5"/>
      <c r="CG112" s="53"/>
      <c r="CH112" s="53"/>
      <c r="CI112" s="53"/>
      <c r="CJ112" s="53"/>
      <c r="CK112" s="53"/>
      <c r="CL112" s="53"/>
      <c r="CN112" s="53"/>
      <c r="CO112" s="53"/>
      <c r="CP112" s="53"/>
      <c r="CQ112" s="53"/>
      <c r="CR112" s="53"/>
      <c r="CS112" s="53"/>
      <c r="CT112" s="5"/>
      <c r="CU112" s="5"/>
      <c r="CV112" s="5"/>
      <c r="CW112" s="5"/>
      <c r="CX112" s="5"/>
      <c r="CY112" s="5"/>
      <c r="DV112" s="119" t="s">
        <v>271</v>
      </c>
      <c r="DW112" s="120">
        <v>137</v>
      </c>
      <c r="DX112" s="121">
        <v>124.8</v>
      </c>
      <c r="DY112" s="145">
        <v>124.9</v>
      </c>
      <c r="DZ112" s="146">
        <v>131.6</v>
      </c>
      <c r="EA112" s="149">
        <v>131.69999999999999</v>
      </c>
      <c r="EB112" s="150">
        <v>159.30000000000001</v>
      </c>
      <c r="EC112" s="148">
        <v>159.4</v>
      </c>
      <c r="EE112" s="143" t="s">
        <v>271</v>
      </c>
      <c r="EF112" s="144">
        <v>137</v>
      </c>
      <c r="EG112" s="170">
        <v>127.3</v>
      </c>
      <c r="EH112" s="174">
        <v>127.4</v>
      </c>
      <c r="EI112" s="175">
        <v>134.1</v>
      </c>
      <c r="EJ112" s="180">
        <v>134.19999999999999</v>
      </c>
      <c r="EK112" s="181">
        <v>161.1</v>
      </c>
      <c r="EL112" s="173">
        <v>161.19999999999999</v>
      </c>
    </row>
    <row r="113" spans="1:142" ht="11.15" customHeight="1">
      <c r="A113" s="216"/>
      <c r="B113" s="217"/>
      <c r="C113" s="218"/>
      <c r="D113" s="219"/>
      <c r="E113" s="217"/>
      <c r="F113" s="217"/>
      <c r="G113" s="217"/>
      <c r="H113" s="220"/>
      <c r="I113" s="217"/>
      <c r="J113" s="217"/>
      <c r="K113" s="217"/>
      <c r="L113" s="217"/>
      <c r="M113" s="217"/>
      <c r="N113" s="217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BA113" s="5"/>
      <c r="BB113" s="5"/>
      <c r="BC113" s="5"/>
      <c r="BD113" s="5"/>
      <c r="BE113" s="63"/>
      <c r="BF113" s="63"/>
      <c r="BG113" s="63"/>
      <c r="BK113" s="71" t="s">
        <v>344</v>
      </c>
      <c r="BL113" s="70">
        <v>172</v>
      </c>
      <c r="BM113" s="5">
        <v>14.3</v>
      </c>
      <c r="BN113" s="77">
        <v>14.4</v>
      </c>
      <c r="BO113" s="78">
        <f t="shared" si="141"/>
        <v>15.6</v>
      </c>
      <c r="BP113" s="79">
        <v>15.7</v>
      </c>
      <c r="BQ113" s="80">
        <v>26.3</v>
      </c>
      <c r="BR113" s="81">
        <f t="shared" si="142"/>
        <v>26.4</v>
      </c>
      <c r="BS113" s="82">
        <v>33.5</v>
      </c>
      <c r="BT113" s="83">
        <v>33.6</v>
      </c>
      <c r="BU113" s="41"/>
      <c r="BV113" s="87" t="s">
        <v>344</v>
      </c>
      <c r="BW113" s="86">
        <v>172</v>
      </c>
      <c r="BX113" s="5">
        <v>14</v>
      </c>
      <c r="BY113" s="88">
        <v>14.1</v>
      </c>
      <c r="BZ113" s="78">
        <f t="shared" si="143"/>
        <v>15.5</v>
      </c>
      <c r="CA113" s="89">
        <v>15.6</v>
      </c>
      <c r="CB113" s="90">
        <v>27.7</v>
      </c>
      <c r="CC113" s="92">
        <f t="shared" si="144"/>
        <v>27.8</v>
      </c>
      <c r="CD113" s="93">
        <v>35</v>
      </c>
      <c r="CE113" s="83" t="s">
        <v>345</v>
      </c>
      <c r="CF113" s="5"/>
      <c r="CG113" s="53"/>
      <c r="CH113" s="53"/>
      <c r="CI113" s="53"/>
      <c r="CJ113" s="53"/>
      <c r="CK113" s="53"/>
      <c r="CL113" s="53"/>
      <c r="CN113" s="53"/>
      <c r="CO113" s="53"/>
      <c r="CP113" s="53"/>
      <c r="CQ113" s="53"/>
      <c r="CR113" s="53"/>
      <c r="CS113" s="53"/>
      <c r="CT113" s="5"/>
      <c r="CU113" s="5"/>
      <c r="CV113" s="5"/>
      <c r="CW113" s="5"/>
      <c r="CX113" s="5"/>
      <c r="CY113" s="5"/>
      <c r="DV113" s="119" t="s">
        <v>276</v>
      </c>
      <c r="DW113" s="120">
        <v>138</v>
      </c>
      <c r="DX113" s="121">
        <v>125.2</v>
      </c>
      <c r="DY113" s="145">
        <v>125.3</v>
      </c>
      <c r="DZ113" s="146">
        <v>132.1</v>
      </c>
      <c r="EA113" s="149">
        <v>132.19999999999999</v>
      </c>
      <c r="EB113" s="150">
        <v>159.80000000000001</v>
      </c>
      <c r="EC113" s="148">
        <v>159.9</v>
      </c>
      <c r="EE113" s="143" t="s">
        <v>276</v>
      </c>
      <c r="EF113" s="144">
        <v>138</v>
      </c>
      <c r="EG113" s="170">
        <v>127.8</v>
      </c>
      <c r="EH113" s="174">
        <v>127.9</v>
      </c>
      <c r="EI113" s="175">
        <v>134.6</v>
      </c>
      <c r="EJ113" s="180">
        <v>134.69999999999999</v>
      </c>
      <c r="EK113" s="181">
        <v>161.69999999999999</v>
      </c>
      <c r="EL113" s="173">
        <v>161.80000000000001</v>
      </c>
    </row>
    <row r="114" spans="1:142" ht="11.15" customHeight="1">
      <c r="A114" s="216"/>
      <c r="B114" s="217"/>
      <c r="C114" s="218"/>
      <c r="D114" s="219"/>
      <c r="E114" s="217"/>
      <c r="F114" s="217"/>
      <c r="G114" s="217"/>
      <c r="H114" s="220"/>
      <c r="I114" s="217"/>
      <c r="J114" s="217"/>
      <c r="K114" s="217"/>
      <c r="L114" s="217"/>
      <c r="M114" s="217"/>
      <c r="N114" s="217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BA114" s="5"/>
      <c r="BB114" s="5"/>
      <c r="BC114" s="5"/>
      <c r="BD114" s="5"/>
      <c r="BE114" s="63"/>
      <c r="BF114" s="63"/>
      <c r="BG114" s="63"/>
      <c r="BK114" s="71" t="s">
        <v>346</v>
      </c>
      <c r="BL114" s="70">
        <v>173</v>
      </c>
      <c r="BM114" s="5">
        <v>14.4</v>
      </c>
      <c r="BN114" s="77">
        <v>14.5</v>
      </c>
      <c r="BO114" s="78">
        <f t="shared" si="141"/>
        <v>15.6</v>
      </c>
      <c r="BP114" s="79">
        <v>15.7</v>
      </c>
      <c r="BQ114" s="80">
        <v>26.4</v>
      </c>
      <c r="BR114" s="81">
        <f t="shared" si="142"/>
        <v>26.5</v>
      </c>
      <c r="BS114" s="82">
        <v>33.5</v>
      </c>
      <c r="BT114" s="83">
        <v>33.6</v>
      </c>
      <c r="BU114" s="41"/>
      <c r="BV114" s="87" t="s">
        <v>346</v>
      </c>
      <c r="BW114" s="86">
        <v>173</v>
      </c>
      <c r="BX114" s="5">
        <v>14.1</v>
      </c>
      <c r="BY114" s="88">
        <v>14.2</v>
      </c>
      <c r="BZ114" s="78">
        <f t="shared" si="143"/>
        <v>15.5</v>
      </c>
      <c r="CA114" s="89">
        <v>15.6</v>
      </c>
      <c r="CB114" s="90">
        <v>27.7</v>
      </c>
      <c r="CC114" s="92">
        <f t="shared" si="144"/>
        <v>27.8</v>
      </c>
      <c r="CD114" s="93">
        <v>35.1</v>
      </c>
      <c r="CE114" s="83" t="s">
        <v>347</v>
      </c>
      <c r="CF114" s="5"/>
      <c r="CG114" s="53"/>
      <c r="CH114" s="53"/>
      <c r="CI114" s="53"/>
      <c r="CJ114" s="53"/>
      <c r="CK114" s="53"/>
      <c r="CL114" s="53"/>
      <c r="CN114" s="53"/>
      <c r="CO114" s="53"/>
      <c r="CP114" s="53"/>
      <c r="CQ114" s="53"/>
      <c r="CR114" s="53"/>
      <c r="CS114" s="53"/>
      <c r="CT114" s="5"/>
      <c r="CU114" s="5"/>
      <c r="CV114" s="5"/>
      <c r="CW114" s="5"/>
      <c r="CX114" s="5"/>
      <c r="CY114" s="5"/>
      <c r="DV114" s="119" t="s">
        <v>278</v>
      </c>
      <c r="DW114" s="120">
        <v>139</v>
      </c>
      <c r="DX114" s="121">
        <v>125.6</v>
      </c>
      <c r="DY114" s="145">
        <v>125.7</v>
      </c>
      <c r="DZ114" s="146">
        <v>132.5</v>
      </c>
      <c r="EA114" s="149">
        <v>132.6</v>
      </c>
      <c r="EB114" s="150">
        <v>160.4</v>
      </c>
      <c r="EC114" s="148">
        <v>160.5</v>
      </c>
      <c r="EE114" s="143" t="s">
        <v>278</v>
      </c>
      <c r="EF114" s="144">
        <v>139</v>
      </c>
      <c r="EG114" s="170">
        <v>128.30000000000001</v>
      </c>
      <c r="EH114" s="174">
        <v>128.4</v>
      </c>
      <c r="EI114" s="175">
        <v>135.1</v>
      </c>
      <c r="EJ114" s="180">
        <v>135.19999999999999</v>
      </c>
      <c r="EK114" s="181">
        <v>162.19999999999999</v>
      </c>
      <c r="EL114" s="173">
        <v>162.30000000000001</v>
      </c>
    </row>
    <row r="115" spans="1:142" ht="11.15" customHeight="1">
      <c r="A115" s="216"/>
      <c r="B115" s="217"/>
      <c r="C115" s="218"/>
      <c r="D115" s="219"/>
      <c r="E115" s="217"/>
      <c r="F115" s="217"/>
      <c r="G115" s="217"/>
      <c r="H115" s="220"/>
      <c r="I115" s="217"/>
      <c r="J115" s="217"/>
      <c r="K115" s="217"/>
      <c r="L115" s="217"/>
      <c r="M115" s="217"/>
      <c r="N115" s="217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BA115" s="5"/>
      <c r="BB115" s="5"/>
      <c r="BC115" s="5"/>
      <c r="BD115" s="5"/>
      <c r="BE115" s="63"/>
      <c r="BF115" s="63"/>
      <c r="BG115" s="63"/>
      <c r="BK115" s="71" t="s">
        <v>348</v>
      </c>
      <c r="BL115" s="70">
        <v>174</v>
      </c>
      <c r="BM115" s="5">
        <v>14.4</v>
      </c>
      <c r="BN115" s="77">
        <v>14.5</v>
      </c>
      <c r="BO115" s="78">
        <f t="shared" si="141"/>
        <v>15.6</v>
      </c>
      <c r="BP115" s="79">
        <v>15.7</v>
      </c>
      <c r="BQ115" s="80">
        <v>26.5</v>
      </c>
      <c r="BR115" s="81">
        <f t="shared" si="142"/>
        <v>26.6</v>
      </c>
      <c r="BS115" s="82">
        <v>33.6</v>
      </c>
      <c r="BT115" s="83">
        <v>33.700000000000003</v>
      </c>
      <c r="BU115" s="41"/>
      <c r="BV115" s="87" t="s">
        <v>348</v>
      </c>
      <c r="BW115" s="86">
        <v>174</v>
      </c>
      <c r="BX115" s="5">
        <v>14.1</v>
      </c>
      <c r="BY115" s="88">
        <v>14.2</v>
      </c>
      <c r="BZ115" s="78">
        <f t="shared" si="143"/>
        <v>15.6</v>
      </c>
      <c r="CA115" s="89">
        <v>15.7</v>
      </c>
      <c r="CB115" s="90">
        <v>27.8</v>
      </c>
      <c r="CC115" s="92">
        <f t="shared" si="144"/>
        <v>27.9</v>
      </c>
      <c r="CD115" s="93">
        <v>35.1</v>
      </c>
      <c r="CE115" s="83" t="s">
        <v>347</v>
      </c>
      <c r="CF115" s="5"/>
      <c r="CG115" s="53"/>
      <c r="CH115" s="53"/>
      <c r="CI115" s="53"/>
      <c r="CJ115" s="53"/>
      <c r="CK115" s="53"/>
      <c r="CL115" s="53"/>
      <c r="CN115" s="53"/>
      <c r="CO115" s="53"/>
      <c r="CP115" s="53"/>
      <c r="CQ115" s="53"/>
      <c r="CR115" s="53"/>
      <c r="CS115" s="53"/>
      <c r="CT115" s="5"/>
      <c r="CU115" s="5"/>
      <c r="CV115" s="5"/>
      <c r="CW115" s="5"/>
      <c r="CX115" s="5"/>
      <c r="CY115" s="5"/>
      <c r="DV115" s="119" t="s">
        <v>280</v>
      </c>
      <c r="DW115" s="120">
        <v>140</v>
      </c>
      <c r="DX115" s="121">
        <v>126</v>
      </c>
      <c r="DY115" s="145">
        <v>126.1</v>
      </c>
      <c r="DZ115" s="146">
        <v>133</v>
      </c>
      <c r="EA115" s="149">
        <v>133.1</v>
      </c>
      <c r="EB115" s="150">
        <v>160.9</v>
      </c>
      <c r="EC115" s="148">
        <v>161</v>
      </c>
      <c r="EE115" s="143" t="s">
        <v>280</v>
      </c>
      <c r="EF115" s="144">
        <v>140</v>
      </c>
      <c r="EG115" s="170">
        <v>128.80000000000001</v>
      </c>
      <c r="EH115" s="174">
        <v>128.9</v>
      </c>
      <c r="EI115" s="175">
        <v>135.6</v>
      </c>
      <c r="EJ115" s="180">
        <v>135.69999999999999</v>
      </c>
      <c r="EK115" s="181">
        <v>162.80000000000001</v>
      </c>
      <c r="EL115" s="173">
        <v>162.9</v>
      </c>
    </row>
    <row r="116" spans="1:142" ht="11.15" customHeight="1">
      <c r="A116" s="216"/>
      <c r="B116" s="217"/>
      <c r="C116" s="218"/>
      <c r="D116" s="219"/>
      <c r="E116" s="217"/>
      <c r="F116" s="217"/>
      <c r="G116" s="217"/>
      <c r="H116" s="220"/>
      <c r="I116" s="217"/>
      <c r="J116" s="217"/>
      <c r="K116" s="217"/>
      <c r="L116" s="217"/>
      <c r="M116" s="217"/>
      <c r="N116" s="217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BA116" s="5"/>
      <c r="BB116" s="5"/>
      <c r="BC116" s="5"/>
      <c r="BD116" s="5"/>
      <c r="BE116" s="63"/>
      <c r="BF116" s="63"/>
      <c r="BG116" s="63"/>
      <c r="BK116" s="71" t="s">
        <v>349</v>
      </c>
      <c r="BL116" s="70">
        <v>175</v>
      </c>
      <c r="BM116" s="5">
        <v>14.4</v>
      </c>
      <c r="BN116" s="77">
        <v>14.5</v>
      </c>
      <c r="BO116" s="78">
        <f t="shared" si="141"/>
        <v>15.7</v>
      </c>
      <c r="BP116" s="79">
        <v>15.8</v>
      </c>
      <c r="BQ116" s="80">
        <v>26.5</v>
      </c>
      <c r="BR116" s="81">
        <f t="shared" si="142"/>
        <v>26.6</v>
      </c>
      <c r="BS116" s="82">
        <v>33.700000000000003</v>
      </c>
      <c r="BT116" s="83">
        <v>33.799999999999997</v>
      </c>
      <c r="BU116" s="41"/>
      <c r="BV116" s="87" t="s">
        <v>349</v>
      </c>
      <c r="BW116" s="86">
        <v>175</v>
      </c>
      <c r="BX116" s="5">
        <v>14.1</v>
      </c>
      <c r="BY116" s="88">
        <v>14.2</v>
      </c>
      <c r="BZ116" s="78">
        <f t="shared" si="143"/>
        <v>15.6</v>
      </c>
      <c r="CA116" s="89">
        <v>15.7</v>
      </c>
      <c r="CB116" s="90">
        <v>27.9</v>
      </c>
      <c r="CC116" s="92">
        <f t="shared" si="144"/>
        <v>28</v>
      </c>
      <c r="CD116" s="93">
        <v>35.200000000000003</v>
      </c>
      <c r="CE116" s="83" t="s">
        <v>350</v>
      </c>
      <c r="CF116" s="5"/>
      <c r="CG116" s="53"/>
      <c r="CH116" s="53"/>
      <c r="CI116" s="53"/>
      <c r="CJ116" s="53"/>
      <c r="CK116" s="53"/>
      <c r="CL116" s="53"/>
      <c r="CN116" s="53"/>
      <c r="CO116" s="53"/>
      <c r="CP116" s="53"/>
      <c r="CQ116" s="53"/>
      <c r="CR116" s="53"/>
      <c r="CS116" s="53"/>
      <c r="CT116" s="5"/>
      <c r="CU116" s="5"/>
      <c r="CV116" s="5"/>
      <c r="CW116" s="5"/>
      <c r="CX116" s="5"/>
      <c r="CY116" s="5"/>
      <c r="DV116" s="119" t="s">
        <v>282</v>
      </c>
      <c r="DW116" s="120">
        <v>141</v>
      </c>
      <c r="DX116" s="121">
        <v>126.4</v>
      </c>
      <c r="DY116" s="145">
        <v>126.5</v>
      </c>
      <c r="DZ116" s="146">
        <v>133.4</v>
      </c>
      <c r="EA116" s="149">
        <v>133.5</v>
      </c>
      <c r="EB116" s="150">
        <v>161.5</v>
      </c>
      <c r="EC116" s="148">
        <v>161.6</v>
      </c>
      <c r="EE116" s="143" t="s">
        <v>282</v>
      </c>
      <c r="EF116" s="144">
        <v>141</v>
      </c>
      <c r="EG116" s="170">
        <v>129.19999999999999</v>
      </c>
      <c r="EH116" s="174">
        <v>129.30000000000001</v>
      </c>
      <c r="EI116" s="175">
        <v>136</v>
      </c>
      <c r="EJ116" s="180">
        <v>136.1</v>
      </c>
      <c r="EK116" s="181">
        <v>163.30000000000001</v>
      </c>
      <c r="EL116" s="173">
        <v>163.4</v>
      </c>
    </row>
    <row r="117" spans="1:142" ht="11.15" customHeight="1">
      <c r="A117" s="216"/>
      <c r="B117" s="217"/>
      <c r="C117" s="218"/>
      <c r="D117" s="219"/>
      <c r="E117" s="217"/>
      <c r="F117" s="217"/>
      <c r="G117" s="217"/>
      <c r="H117" s="220"/>
      <c r="I117" s="217"/>
      <c r="J117" s="217"/>
      <c r="K117" s="217"/>
      <c r="L117" s="217"/>
      <c r="M117" s="217"/>
      <c r="N117" s="217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BA117" s="5"/>
      <c r="BB117" s="5"/>
      <c r="BC117" s="5"/>
      <c r="BD117" s="5"/>
      <c r="BE117" s="63"/>
      <c r="BF117" s="63"/>
      <c r="BG117" s="63"/>
      <c r="BK117" s="71" t="s">
        <v>351</v>
      </c>
      <c r="BL117" s="70">
        <v>176</v>
      </c>
      <c r="BM117" s="5">
        <v>14.5</v>
      </c>
      <c r="BN117" s="77">
        <v>14.6</v>
      </c>
      <c r="BO117" s="78">
        <f t="shared" si="141"/>
        <v>15.7</v>
      </c>
      <c r="BP117" s="79">
        <v>15.8</v>
      </c>
      <c r="BQ117" s="80">
        <v>26.6</v>
      </c>
      <c r="BR117" s="81">
        <f t="shared" si="142"/>
        <v>26.7</v>
      </c>
      <c r="BS117" s="82">
        <v>33.799999999999997</v>
      </c>
      <c r="BT117" s="83">
        <v>33.9</v>
      </c>
      <c r="BU117" s="41"/>
      <c r="BV117" s="87" t="s">
        <v>351</v>
      </c>
      <c r="BW117" s="86">
        <v>176</v>
      </c>
      <c r="BX117" s="5">
        <v>14.2</v>
      </c>
      <c r="BY117" s="88">
        <v>14.3</v>
      </c>
      <c r="BZ117" s="78">
        <f t="shared" si="143"/>
        <v>15.6</v>
      </c>
      <c r="CA117" s="89">
        <v>15.7</v>
      </c>
      <c r="CB117" s="90">
        <v>28</v>
      </c>
      <c r="CC117" s="92">
        <f t="shared" si="144"/>
        <v>28.1</v>
      </c>
      <c r="CD117" s="93">
        <v>35.299999999999997</v>
      </c>
      <c r="CE117" s="83" t="s">
        <v>352</v>
      </c>
      <c r="CF117" s="5"/>
      <c r="CG117" s="53"/>
      <c r="CH117" s="53"/>
      <c r="CI117" s="53"/>
      <c r="CJ117" s="53"/>
      <c r="CK117" s="53"/>
      <c r="CL117" s="53"/>
      <c r="CN117" s="53"/>
      <c r="CO117" s="53"/>
      <c r="CP117" s="53"/>
      <c r="CQ117" s="53"/>
      <c r="CR117" s="53"/>
      <c r="CS117" s="53"/>
      <c r="CT117" s="5"/>
      <c r="CU117" s="5"/>
      <c r="CV117" s="5"/>
      <c r="CW117" s="5"/>
      <c r="CX117" s="5"/>
      <c r="CY117" s="5"/>
      <c r="DV117" s="119" t="s">
        <v>285</v>
      </c>
      <c r="DW117" s="120">
        <v>142</v>
      </c>
      <c r="DX117" s="121">
        <v>126.8</v>
      </c>
      <c r="DY117" s="145">
        <v>126.9</v>
      </c>
      <c r="DZ117" s="146">
        <v>133.9</v>
      </c>
      <c r="EA117" s="149">
        <v>134</v>
      </c>
      <c r="EB117" s="150">
        <v>162.1</v>
      </c>
      <c r="EC117" s="148">
        <v>162.19999999999999</v>
      </c>
      <c r="EE117" s="143" t="s">
        <v>285</v>
      </c>
      <c r="EF117" s="144">
        <v>142</v>
      </c>
      <c r="EG117" s="170">
        <v>129.69999999999999</v>
      </c>
      <c r="EH117" s="174">
        <v>129.80000000000001</v>
      </c>
      <c r="EI117" s="175">
        <v>136.5</v>
      </c>
      <c r="EJ117" s="180">
        <v>136.6</v>
      </c>
      <c r="EK117" s="181">
        <v>163.9</v>
      </c>
      <c r="EL117" s="173">
        <v>164</v>
      </c>
    </row>
    <row r="118" spans="1:142" ht="11.15" customHeight="1">
      <c r="A118" s="216"/>
      <c r="B118" s="217"/>
      <c r="C118" s="218"/>
      <c r="D118" s="219"/>
      <c r="E118" s="217"/>
      <c r="F118" s="217"/>
      <c r="G118" s="217"/>
      <c r="H118" s="220"/>
      <c r="I118" s="217"/>
      <c r="J118" s="217"/>
      <c r="K118" s="217"/>
      <c r="L118" s="217"/>
      <c r="M118" s="217"/>
      <c r="N118" s="217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BA118" s="5"/>
      <c r="BB118" s="5"/>
      <c r="BC118" s="5"/>
      <c r="BD118" s="5"/>
      <c r="BE118" s="63"/>
      <c r="BF118" s="63"/>
      <c r="BG118" s="63"/>
      <c r="BK118" s="71" t="s">
        <v>353</v>
      </c>
      <c r="BL118" s="70">
        <v>177</v>
      </c>
      <c r="BM118" s="5">
        <v>14.5</v>
      </c>
      <c r="BN118" s="77">
        <v>14.6</v>
      </c>
      <c r="BO118" s="78">
        <f t="shared" ref="BO118:BO149" si="145">BP118-0.1</f>
        <v>15.8</v>
      </c>
      <c r="BP118" s="79">
        <v>15.9</v>
      </c>
      <c r="BQ118" s="80">
        <v>26.7</v>
      </c>
      <c r="BR118" s="81">
        <f t="shared" ref="BR118:BR149" si="146">BQ118+0.1</f>
        <v>26.8</v>
      </c>
      <c r="BS118" s="82">
        <v>33.9</v>
      </c>
      <c r="BT118" s="83">
        <v>34</v>
      </c>
      <c r="BU118" s="41"/>
      <c r="BV118" s="87" t="s">
        <v>353</v>
      </c>
      <c r="BW118" s="86">
        <v>177</v>
      </c>
      <c r="BX118" s="5">
        <v>14.2</v>
      </c>
      <c r="BY118" s="88">
        <v>14.3</v>
      </c>
      <c r="BZ118" s="78">
        <f t="shared" ref="BZ118:BZ149" si="147">CA118-0.1</f>
        <v>15.7</v>
      </c>
      <c r="CA118" s="89">
        <v>15.8</v>
      </c>
      <c r="CB118" s="90">
        <v>28</v>
      </c>
      <c r="CC118" s="92">
        <f t="shared" ref="CC118:CC149" si="148">CB118+0.1</f>
        <v>28.1</v>
      </c>
      <c r="CD118" s="93">
        <v>35.4</v>
      </c>
      <c r="CE118" s="83" t="s">
        <v>354</v>
      </c>
      <c r="CF118" s="5"/>
      <c r="CG118" s="53"/>
      <c r="CH118" s="53"/>
      <c r="CI118" s="53"/>
      <c r="CJ118" s="53"/>
      <c r="CK118" s="53"/>
      <c r="CL118" s="53"/>
      <c r="CN118" s="53"/>
      <c r="CO118" s="53"/>
      <c r="CP118" s="53"/>
      <c r="CQ118" s="53"/>
      <c r="CR118" s="53"/>
      <c r="CS118" s="53"/>
      <c r="CT118" s="5"/>
      <c r="CU118" s="5"/>
      <c r="CV118" s="5"/>
      <c r="CW118" s="5"/>
      <c r="CX118" s="5"/>
      <c r="CY118" s="5"/>
      <c r="DV118" s="119" t="s">
        <v>287</v>
      </c>
      <c r="DW118" s="120">
        <v>143</v>
      </c>
      <c r="DX118" s="121">
        <v>127.3</v>
      </c>
      <c r="DY118" s="145">
        <v>127.4</v>
      </c>
      <c r="DZ118" s="146">
        <v>134.30000000000001</v>
      </c>
      <c r="EA118" s="149">
        <v>134.4</v>
      </c>
      <c r="EB118" s="150">
        <v>162.69999999999999</v>
      </c>
      <c r="EC118" s="148">
        <v>162.80000000000001</v>
      </c>
      <c r="EE118" s="143" t="s">
        <v>287</v>
      </c>
      <c r="EF118" s="144">
        <v>143</v>
      </c>
      <c r="EG118" s="170">
        <v>130.19999999999999</v>
      </c>
      <c r="EH118" s="174">
        <v>130.30000000000001</v>
      </c>
      <c r="EI118" s="175">
        <v>137</v>
      </c>
      <c r="EJ118" s="180">
        <v>137.1</v>
      </c>
      <c r="EK118" s="181">
        <v>164.4</v>
      </c>
      <c r="EL118" s="173">
        <v>164.5</v>
      </c>
    </row>
    <row r="119" spans="1:142" ht="11.15" customHeight="1">
      <c r="A119" s="216"/>
      <c r="B119" s="217"/>
      <c r="C119" s="218"/>
      <c r="D119" s="219"/>
      <c r="E119" s="217"/>
      <c r="F119" s="217"/>
      <c r="G119" s="217"/>
      <c r="H119" s="220"/>
      <c r="I119" s="217"/>
      <c r="J119" s="217"/>
      <c r="K119" s="217"/>
      <c r="L119" s="217"/>
      <c r="M119" s="217"/>
      <c r="N119" s="217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BA119" s="5"/>
      <c r="BB119" s="5"/>
      <c r="BC119" s="5"/>
      <c r="BD119" s="5"/>
      <c r="BE119" s="63"/>
      <c r="BF119" s="63"/>
      <c r="BG119" s="63"/>
      <c r="BK119" s="71" t="s">
        <v>355</v>
      </c>
      <c r="BL119" s="70">
        <v>178</v>
      </c>
      <c r="BM119" s="5">
        <v>14.5</v>
      </c>
      <c r="BN119" s="77">
        <v>14.6</v>
      </c>
      <c r="BO119" s="78">
        <f t="shared" si="145"/>
        <v>15.8</v>
      </c>
      <c r="BP119" s="79">
        <v>15.9</v>
      </c>
      <c r="BQ119" s="80">
        <v>26.8</v>
      </c>
      <c r="BR119" s="81">
        <f t="shared" si="146"/>
        <v>26.9</v>
      </c>
      <c r="BS119" s="82">
        <v>33.9</v>
      </c>
      <c r="BT119" s="83">
        <v>34</v>
      </c>
      <c r="BU119" s="41"/>
      <c r="BV119" s="87" t="s">
        <v>355</v>
      </c>
      <c r="BW119" s="86">
        <v>178</v>
      </c>
      <c r="BX119" s="5">
        <v>14.2</v>
      </c>
      <c r="BY119" s="88">
        <v>14.3</v>
      </c>
      <c r="BZ119" s="78">
        <f t="shared" si="147"/>
        <v>15.7</v>
      </c>
      <c r="CA119" s="89">
        <v>15.8</v>
      </c>
      <c r="CB119" s="90">
        <v>28.1</v>
      </c>
      <c r="CC119" s="92">
        <f t="shared" si="148"/>
        <v>28.2</v>
      </c>
      <c r="CD119" s="93">
        <v>35.4</v>
      </c>
      <c r="CE119" s="83" t="s">
        <v>354</v>
      </c>
      <c r="CF119" s="5"/>
      <c r="CG119" s="53"/>
      <c r="CH119" s="53"/>
      <c r="CI119" s="53"/>
      <c r="CJ119" s="53"/>
      <c r="CK119" s="53"/>
      <c r="CL119" s="53"/>
      <c r="CN119" s="53"/>
      <c r="CO119" s="53"/>
      <c r="CP119" s="53"/>
      <c r="CQ119" s="53"/>
      <c r="CR119" s="53"/>
      <c r="CS119" s="53"/>
      <c r="CT119" s="5"/>
      <c r="CU119" s="5"/>
      <c r="CV119" s="5"/>
      <c r="CW119" s="5"/>
      <c r="CX119" s="5"/>
      <c r="CY119" s="5"/>
      <c r="DV119" s="119" t="s">
        <v>289</v>
      </c>
      <c r="DW119" s="120">
        <v>144</v>
      </c>
      <c r="DX119" s="121">
        <v>127.7</v>
      </c>
      <c r="DY119" s="145">
        <v>127.8</v>
      </c>
      <c r="DZ119" s="146">
        <v>134.80000000000001</v>
      </c>
      <c r="EA119" s="149">
        <v>134.9</v>
      </c>
      <c r="EB119" s="150">
        <v>163.30000000000001</v>
      </c>
      <c r="EC119" s="148">
        <v>163.4</v>
      </c>
      <c r="EE119" s="143" t="s">
        <v>289</v>
      </c>
      <c r="EF119" s="144">
        <v>144</v>
      </c>
      <c r="EG119" s="170">
        <v>130.6</v>
      </c>
      <c r="EH119" s="174">
        <v>130.69999999999999</v>
      </c>
      <c r="EI119" s="175">
        <v>137.5</v>
      </c>
      <c r="EJ119" s="180">
        <v>137.6</v>
      </c>
      <c r="EK119" s="181">
        <v>164.9</v>
      </c>
      <c r="EL119" s="173">
        <v>165</v>
      </c>
    </row>
    <row r="120" spans="1:142" ht="11.15" customHeight="1">
      <c r="A120" s="216"/>
      <c r="B120" s="217"/>
      <c r="C120" s="218"/>
      <c r="D120" s="219"/>
      <c r="E120" s="217"/>
      <c r="F120" s="217"/>
      <c r="G120" s="217"/>
      <c r="H120" s="220"/>
      <c r="I120" s="217"/>
      <c r="J120" s="217"/>
      <c r="K120" s="217"/>
      <c r="L120" s="217"/>
      <c r="M120" s="217"/>
      <c r="N120" s="217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BA120" s="5"/>
      <c r="BB120" s="5"/>
      <c r="BC120" s="5"/>
      <c r="BD120" s="5"/>
      <c r="BE120" s="63"/>
      <c r="BF120" s="63"/>
      <c r="BG120" s="63"/>
      <c r="BK120" s="71" t="s">
        <v>356</v>
      </c>
      <c r="BL120" s="70">
        <v>179</v>
      </c>
      <c r="BM120" s="5">
        <v>14.6</v>
      </c>
      <c r="BN120" s="77">
        <v>14.7</v>
      </c>
      <c r="BO120" s="78">
        <f t="shared" si="145"/>
        <v>15.9</v>
      </c>
      <c r="BP120" s="79">
        <v>16</v>
      </c>
      <c r="BQ120" s="80">
        <v>26.9</v>
      </c>
      <c r="BR120" s="81">
        <f t="shared" si="146"/>
        <v>27</v>
      </c>
      <c r="BS120" s="82">
        <v>34</v>
      </c>
      <c r="BT120" s="83">
        <v>34.1</v>
      </c>
      <c r="BU120" s="41"/>
      <c r="BV120" s="87" t="s">
        <v>356</v>
      </c>
      <c r="BW120" s="86">
        <v>179</v>
      </c>
      <c r="BX120" s="5">
        <v>14.2</v>
      </c>
      <c r="BY120" s="88">
        <v>14.3</v>
      </c>
      <c r="BZ120" s="78">
        <f t="shared" si="147"/>
        <v>15.7</v>
      </c>
      <c r="CA120" s="89">
        <v>15.8</v>
      </c>
      <c r="CB120" s="90">
        <v>28.2</v>
      </c>
      <c r="CC120" s="92">
        <f t="shared" si="148"/>
        <v>28.3</v>
      </c>
      <c r="CD120" s="93">
        <v>35.5</v>
      </c>
      <c r="CE120" s="83" t="s">
        <v>357</v>
      </c>
      <c r="CF120" s="5"/>
      <c r="CG120" s="53"/>
      <c r="CH120" s="53"/>
      <c r="CI120" s="53"/>
      <c r="CJ120" s="53"/>
      <c r="CK120" s="53"/>
      <c r="CL120" s="53"/>
      <c r="CN120" s="53"/>
      <c r="CO120" s="53"/>
      <c r="CP120" s="53"/>
      <c r="CQ120" s="53"/>
      <c r="CR120" s="53"/>
      <c r="CS120" s="53"/>
      <c r="CT120" s="5"/>
      <c r="CU120" s="5"/>
      <c r="CV120" s="5"/>
      <c r="CW120" s="5"/>
      <c r="CX120" s="5"/>
      <c r="CY120" s="5"/>
      <c r="DV120" s="119" t="s">
        <v>291</v>
      </c>
      <c r="DW120" s="120">
        <v>145</v>
      </c>
      <c r="DX120" s="121">
        <v>128.19999999999999</v>
      </c>
      <c r="DY120" s="145">
        <v>128.30000000000001</v>
      </c>
      <c r="DZ120" s="146">
        <v>135.30000000000001</v>
      </c>
      <c r="EA120" s="149">
        <v>135.4</v>
      </c>
      <c r="EB120" s="150">
        <v>163.9</v>
      </c>
      <c r="EC120" s="148">
        <v>164</v>
      </c>
      <c r="EE120" s="143" t="s">
        <v>291</v>
      </c>
      <c r="EF120" s="144">
        <v>145</v>
      </c>
      <c r="EG120" s="170">
        <v>131.1</v>
      </c>
      <c r="EH120" s="174">
        <v>131.19999999999999</v>
      </c>
      <c r="EI120" s="175">
        <v>137.9</v>
      </c>
      <c r="EJ120" s="180">
        <v>138</v>
      </c>
      <c r="EK120" s="181">
        <v>165.4</v>
      </c>
      <c r="EL120" s="173">
        <v>165.5</v>
      </c>
    </row>
    <row r="121" spans="1:142" ht="11.15" customHeight="1">
      <c r="A121" s="216"/>
      <c r="B121" s="217"/>
      <c r="C121" s="218"/>
      <c r="D121" s="219"/>
      <c r="E121" s="217"/>
      <c r="F121" s="217"/>
      <c r="G121" s="217"/>
      <c r="H121" s="220"/>
      <c r="I121" s="217"/>
      <c r="J121" s="217"/>
      <c r="K121" s="217"/>
      <c r="L121" s="217"/>
      <c r="M121" s="217"/>
      <c r="N121" s="217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BA121" s="5"/>
      <c r="BB121" s="5"/>
      <c r="BC121" s="5"/>
      <c r="BD121" s="5"/>
      <c r="BE121" s="63"/>
      <c r="BF121" s="63"/>
      <c r="BG121" s="63"/>
      <c r="BK121" s="71" t="s">
        <v>358</v>
      </c>
      <c r="BL121" s="70">
        <v>180</v>
      </c>
      <c r="BM121" s="5">
        <v>14.6</v>
      </c>
      <c r="BN121" s="77">
        <v>14.7</v>
      </c>
      <c r="BO121" s="78">
        <f t="shared" si="145"/>
        <v>15.9</v>
      </c>
      <c r="BP121" s="79">
        <v>16</v>
      </c>
      <c r="BQ121" s="80">
        <v>27</v>
      </c>
      <c r="BR121" s="81">
        <f t="shared" si="146"/>
        <v>27.1</v>
      </c>
      <c r="BS121" s="82">
        <v>34.1</v>
      </c>
      <c r="BT121" s="83">
        <v>34.200000000000003</v>
      </c>
      <c r="BU121" s="41"/>
      <c r="BV121" s="87" t="s">
        <v>358</v>
      </c>
      <c r="BW121" s="86">
        <v>180</v>
      </c>
      <c r="BX121" s="5">
        <v>14.3</v>
      </c>
      <c r="BY121" s="88">
        <v>14.4</v>
      </c>
      <c r="BZ121" s="78">
        <f t="shared" si="147"/>
        <v>15.8</v>
      </c>
      <c r="CA121" s="89">
        <v>15.9</v>
      </c>
      <c r="CB121" s="90">
        <v>28.2</v>
      </c>
      <c r="CC121" s="92">
        <f t="shared" si="148"/>
        <v>28.3</v>
      </c>
      <c r="CD121" s="93">
        <v>35.5</v>
      </c>
      <c r="CE121" s="83" t="s">
        <v>357</v>
      </c>
      <c r="CF121" s="5"/>
      <c r="CG121" s="53"/>
      <c r="CH121" s="53"/>
      <c r="CI121" s="53"/>
      <c r="CJ121" s="53"/>
      <c r="CK121" s="53"/>
      <c r="CL121" s="53"/>
      <c r="CN121" s="53"/>
      <c r="CO121" s="53"/>
      <c r="CP121" s="53"/>
      <c r="CQ121" s="53"/>
      <c r="CR121" s="53"/>
      <c r="CS121" s="53"/>
      <c r="CT121" s="5"/>
      <c r="CU121" s="5"/>
      <c r="CV121" s="5"/>
      <c r="CW121" s="5"/>
      <c r="CX121" s="5"/>
      <c r="CY121" s="5"/>
      <c r="DV121" s="119" t="s">
        <v>293</v>
      </c>
      <c r="DW121" s="120">
        <v>146</v>
      </c>
      <c r="DX121" s="121">
        <v>128.6</v>
      </c>
      <c r="DY121" s="145">
        <v>128.69999999999999</v>
      </c>
      <c r="DZ121" s="146">
        <v>135.80000000000001</v>
      </c>
      <c r="EA121" s="149">
        <v>135.9</v>
      </c>
      <c r="EB121" s="150">
        <v>164.5</v>
      </c>
      <c r="EC121" s="148">
        <v>164.6</v>
      </c>
      <c r="EE121" s="143" t="s">
        <v>293</v>
      </c>
      <c r="EF121" s="144">
        <v>146</v>
      </c>
      <c r="EG121" s="170">
        <v>131.5</v>
      </c>
      <c r="EH121" s="174">
        <v>131.6</v>
      </c>
      <c r="EI121" s="175">
        <v>138.4</v>
      </c>
      <c r="EJ121" s="180">
        <v>138.5</v>
      </c>
      <c r="EK121" s="181">
        <v>165.9</v>
      </c>
      <c r="EL121" s="173">
        <v>166</v>
      </c>
    </row>
    <row r="122" spans="1:142" ht="11.15" customHeight="1">
      <c r="A122" s="216"/>
      <c r="B122" s="217"/>
      <c r="C122" s="218"/>
      <c r="D122" s="219"/>
      <c r="E122" s="217"/>
      <c r="F122" s="217"/>
      <c r="G122" s="217"/>
      <c r="H122" s="220"/>
      <c r="I122" s="217"/>
      <c r="J122" s="217"/>
      <c r="K122" s="217"/>
      <c r="L122" s="217"/>
      <c r="M122" s="217"/>
      <c r="N122" s="217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BA122" s="5"/>
      <c r="BB122" s="5"/>
      <c r="BC122" s="5"/>
      <c r="BD122" s="5"/>
      <c r="BE122" s="63"/>
      <c r="BF122" s="63"/>
      <c r="BG122" s="63"/>
      <c r="BK122" s="71" t="s">
        <v>359</v>
      </c>
      <c r="BL122" s="70">
        <v>181</v>
      </c>
      <c r="BM122" s="5">
        <v>14.6</v>
      </c>
      <c r="BN122" s="77">
        <v>14.7</v>
      </c>
      <c r="BO122" s="78">
        <f t="shared" si="145"/>
        <v>16</v>
      </c>
      <c r="BP122" s="79">
        <v>16.100000000000001</v>
      </c>
      <c r="BQ122" s="80">
        <v>27.1</v>
      </c>
      <c r="BR122" s="81">
        <f t="shared" si="146"/>
        <v>27.2</v>
      </c>
      <c r="BS122" s="82">
        <v>34.1</v>
      </c>
      <c r="BT122" s="83">
        <v>34.200000000000003</v>
      </c>
      <c r="BU122" s="41"/>
      <c r="BV122" s="87" t="s">
        <v>359</v>
      </c>
      <c r="BW122" s="86">
        <v>181</v>
      </c>
      <c r="BX122" s="5">
        <v>14.3</v>
      </c>
      <c r="BY122" s="88">
        <v>14.4</v>
      </c>
      <c r="BZ122" s="78">
        <f t="shared" si="147"/>
        <v>15.8</v>
      </c>
      <c r="CA122" s="89">
        <v>15.9</v>
      </c>
      <c r="CB122" s="90">
        <v>28.3</v>
      </c>
      <c r="CC122" s="92">
        <f t="shared" si="148"/>
        <v>28.4</v>
      </c>
      <c r="CD122" s="93">
        <v>35.6</v>
      </c>
      <c r="CE122" s="83" t="s">
        <v>360</v>
      </c>
      <c r="CF122" s="5"/>
      <c r="CG122" s="53"/>
      <c r="CH122" s="53"/>
      <c r="CI122" s="53"/>
      <c r="CJ122" s="53"/>
      <c r="CK122" s="53"/>
      <c r="CL122" s="53"/>
      <c r="CN122" s="53"/>
      <c r="CO122" s="53"/>
      <c r="CP122" s="53"/>
      <c r="CQ122" s="53"/>
      <c r="CR122" s="53"/>
      <c r="CS122" s="53"/>
      <c r="CT122" s="5"/>
      <c r="CU122" s="5"/>
      <c r="CV122" s="5"/>
      <c r="CW122" s="5"/>
      <c r="CX122" s="5"/>
      <c r="CY122" s="5"/>
      <c r="DV122" s="119" t="s">
        <v>295</v>
      </c>
      <c r="DW122" s="120">
        <v>147</v>
      </c>
      <c r="DX122" s="121">
        <v>129.1</v>
      </c>
      <c r="DY122" s="145">
        <v>129.19999999999999</v>
      </c>
      <c r="DZ122" s="146">
        <v>136.30000000000001</v>
      </c>
      <c r="EA122" s="149">
        <v>136.4</v>
      </c>
      <c r="EB122" s="150">
        <v>165.1</v>
      </c>
      <c r="EC122" s="148">
        <v>165.2</v>
      </c>
      <c r="EE122" s="143" t="s">
        <v>295</v>
      </c>
      <c r="EF122" s="144">
        <v>147</v>
      </c>
      <c r="EG122" s="170">
        <v>131.9</v>
      </c>
      <c r="EH122" s="174">
        <v>132</v>
      </c>
      <c r="EI122" s="175">
        <v>138.80000000000001</v>
      </c>
      <c r="EJ122" s="180">
        <v>138.9</v>
      </c>
      <c r="EK122" s="181">
        <v>166.4</v>
      </c>
      <c r="EL122" s="173">
        <v>166.5</v>
      </c>
    </row>
    <row r="123" spans="1:142" ht="11.15" customHeight="1">
      <c r="A123" s="216"/>
      <c r="B123" s="217"/>
      <c r="C123" s="218"/>
      <c r="D123" s="219"/>
      <c r="E123" s="217"/>
      <c r="F123" s="217"/>
      <c r="G123" s="217"/>
      <c r="H123" s="220"/>
      <c r="I123" s="217"/>
      <c r="J123" s="217"/>
      <c r="K123" s="217"/>
      <c r="L123" s="217"/>
      <c r="M123" s="217"/>
      <c r="N123" s="217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BA123" s="5"/>
      <c r="BB123" s="5"/>
      <c r="BC123" s="5"/>
      <c r="BD123" s="5"/>
      <c r="BE123" s="63"/>
      <c r="BF123" s="63"/>
      <c r="BG123" s="63"/>
      <c r="BK123" s="71" t="s">
        <v>361</v>
      </c>
      <c r="BL123" s="70">
        <v>182</v>
      </c>
      <c r="BM123" s="5">
        <v>14.7</v>
      </c>
      <c r="BN123" s="77">
        <v>14.8</v>
      </c>
      <c r="BO123" s="78">
        <f t="shared" si="145"/>
        <v>16</v>
      </c>
      <c r="BP123" s="79">
        <v>16.100000000000001</v>
      </c>
      <c r="BQ123" s="80">
        <v>27.1</v>
      </c>
      <c r="BR123" s="81">
        <f t="shared" si="146"/>
        <v>27.2</v>
      </c>
      <c r="BS123" s="82">
        <v>34.200000000000003</v>
      </c>
      <c r="BT123" s="83">
        <v>34.299999999999997</v>
      </c>
      <c r="BU123" s="41"/>
      <c r="BV123" s="87" t="s">
        <v>361</v>
      </c>
      <c r="BW123" s="86">
        <v>182</v>
      </c>
      <c r="BX123" s="5">
        <v>14.3</v>
      </c>
      <c r="BY123" s="88">
        <v>14.4</v>
      </c>
      <c r="BZ123" s="78">
        <f t="shared" si="147"/>
        <v>15.8</v>
      </c>
      <c r="CA123" s="89">
        <v>15.9</v>
      </c>
      <c r="CB123" s="90">
        <v>28.4</v>
      </c>
      <c r="CC123" s="92">
        <f t="shared" si="148"/>
        <v>28.5</v>
      </c>
      <c r="CD123" s="93">
        <v>35.700000000000003</v>
      </c>
      <c r="CE123" s="83" t="s">
        <v>362</v>
      </c>
      <c r="CF123" s="5"/>
      <c r="CG123" s="53"/>
      <c r="CH123" s="53"/>
      <c r="CI123" s="53"/>
      <c r="CJ123" s="53"/>
      <c r="CK123" s="53"/>
      <c r="CL123" s="53"/>
      <c r="CN123" s="53"/>
      <c r="CO123" s="53"/>
      <c r="CP123" s="53"/>
      <c r="CQ123" s="53"/>
      <c r="CR123" s="53"/>
      <c r="CS123" s="53"/>
      <c r="CT123" s="5"/>
      <c r="CU123" s="5"/>
      <c r="CV123" s="5"/>
      <c r="CW123" s="5"/>
      <c r="CX123" s="5"/>
      <c r="CY123" s="5"/>
      <c r="DV123" s="119" t="s">
        <v>297</v>
      </c>
      <c r="DW123" s="120">
        <v>148</v>
      </c>
      <c r="DX123" s="121">
        <v>129.6</v>
      </c>
      <c r="DY123" s="145">
        <v>129.69999999999999</v>
      </c>
      <c r="DZ123" s="146">
        <v>136.80000000000001</v>
      </c>
      <c r="EA123" s="149">
        <v>136.9</v>
      </c>
      <c r="EB123" s="150">
        <v>165.7</v>
      </c>
      <c r="EC123" s="148">
        <v>165.8</v>
      </c>
      <c r="EE123" s="143" t="s">
        <v>297</v>
      </c>
      <c r="EF123" s="144">
        <v>148</v>
      </c>
      <c r="EG123" s="170">
        <v>132.4</v>
      </c>
      <c r="EH123" s="174">
        <v>132.5</v>
      </c>
      <c r="EI123" s="175">
        <v>139.19999999999999</v>
      </c>
      <c r="EJ123" s="180">
        <v>139.30000000000001</v>
      </c>
      <c r="EK123" s="181">
        <v>166.9</v>
      </c>
      <c r="EL123" s="173">
        <v>167</v>
      </c>
    </row>
    <row r="124" spans="1:142" ht="11.15" customHeight="1">
      <c r="A124" s="216"/>
      <c r="B124" s="217"/>
      <c r="C124" s="218"/>
      <c r="D124" s="219"/>
      <c r="E124" s="217"/>
      <c r="F124" s="217"/>
      <c r="G124" s="217"/>
      <c r="H124" s="220"/>
      <c r="I124" s="217"/>
      <c r="J124" s="217"/>
      <c r="K124" s="217"/>
      <c r="L124" s="217"/>
      <c r="M124" s="217"/>
      <c r="N124" s="217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BA124" s="5"/>
      <c r="BB124" s="5"/>
      <c r="BC124" s="5"/>
      <c r="BD124" s="5"/>
      <c r="BE124" s="63"/>
      <c r="BF124" s="63"/>
      <c r="BG124" s="63"/>
      <c r="BK124" s="71" t="s">
        <v>363</v>
      </c>
      <c r="BL124" s="70">
        <v>183</v>
      </c>
      <c r="BM124" s="5">
        <v>14.7</v>
      </c>
      <c r="BN124" s="77">
        <v>14.8</v>
      </c>
      <c r="BO124" s="78">
        <f t="shared" si="145"/>
        <v>16</v>
      </c>
      <c r="BP124" s="79">
        <v>16.100000000000001</v>
      </c>
      <c r="BQ124" s="80">
        <v>27.2</v>
      </c>
      <c r="BR124" s="81">
        <f t="shared" si="146"/>
        <v>27.3</v>
      </c>
      <c r="BS124" s="82">
        <v>34.299999999999997</v>
      </c>
      <c r="BT124" s="83">
        <v>34.4</v>
      </c>
      <c r="BU124" s="41"/>
      <c r="BV124" s="87" t="s">
        <v>363</v>
      </c>
      <c r="BW124" s="86">
        <v>183</v>
      </c>
      <c r="BX124" s="5">
        <v>14.3</v>
      </c>
      <c r="BY124" s="88">
        <v>14.4</v>
      </c>
      <c r="BZ124" s="78">
        <f t="shared" si="147"/>
        <v>15.9</v>
      </c>
      <c r="CA124" s="89">
        <v>16</v>
      </c>
      <c r="CB124" s="90">
        <v>28.4</v>
      </c>
      <c r="CC124" s="92">
        <f t="shared" si="148"/>
        <v>28.5</v>
      </c>
      <c r="CD124" s="93">
        <v>35.700000000000003</v>
      </c>
      <c r="CE124" s="83" t="s">
        <v>362</v>
      </c>
      <c r="CF124" s="255"/>
      <c r="CG124" s="53"/>
      <c r="CH124" s="53"/>
      <c r="CI124" s="53"/>
      <c r="CJ124" s="53"/>
      <c r="CK124" s="53"/>
      <c r="CL124" s="53"/>
      <c r="CN124" s="53"/>
      <c r="CO124" s="53"/>
      <c r="CP124" s="53"/>
      <c r="CQ124" s="53"/>
      <c r="CR124" s="53"/>
      <c r="CS124" s="53"/>
      <c r="CT124" s="261"/>
      <c r="CU124" s="255"/>
      <c r="CV124" s="261"/>
      <c r="CW124" s="261"/>
      <c r="CX124" s="261"/>
      <c r="CY124" s="255"/>
      <c r="DV124" s="119" t="s">
        <v>299</v>
      </c>
      <c r="DW124" s="120">
        <v>149</v>
      </c>
      <c r="DX124" s="121">
        <v>130.1</v>
      </c>
      <c r="DY124" s="145">
        <v>130.19999999999999</v>
      </c>
      <c r="DZ124" s="146">
        <v>137.30000000000001</v>
      </c>
      <c r="EA124" s="149">
        <v>137.4</v>
      </c>
      <c r="EB124" s="150">
        <v>166.3</v>
      </c>
      <c r="EC124" s="148">
        <v>166.4</v>
      </c>
      <c r="EE124" s="143" t="s">
        <v>299</v>
      </c>
      <c r="EF124" s="144">
        <v>149</v>
      </c>
      <c r="EG124" s="170">
        <v>132.80000000000001</v>
      </c>
      <c r="EH124" s="174">
        <v>132.9</v>
      </c>
      <c r="EI124" s="175">
        <v>139.69999999999999</v>
      </c>
      <c r="EJ124" s="180">
        <v>139.80000000000001</v>
      </c>
      <c r="EK124" s="181">
        <v>167.4</v>
      </c>
      <c r="EL124" s="173">
        <v>167.5</v>
      </c>
    </row>
    <row r="125" spans="1:142" ht="11.15" customHeight="1">
      <c r="A125" s="216"/>
      <c r="B125" s="217"/>
      <c r="C125" s="218"/>
      <c r="D125" s="219"/>
      <c r="E125" s="217"/>
      <c r="F125" s="217"/>
      <c r="G125" s="217"/>
      <c r="H125" s="220"/>
      <c r="I125" s="217"/>
      <c r="J125" s="217"/>
      <c r="K125" s="217"/>
      <c r="L125" s="217"/>
      <c r="M125" s="217"/>
      <c r="N125" s="217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BA125" s="5"/>
      <c r="BB125" s="5"/>
      <c r="BC125" s="5"/>
      <c r="BD125" s="5"/>
      <c r="BE125" s="63"/>
      <c r="BF125" s="63"/>
      <c r="BG125" s="63"/>
      <c r="BK125" s="71" t="s">
        <v>364</v>
      </c>
      <c r="BL125" s="70">
        <v>184</v>
      </c>
      <c r="BM125" s="5">
        <v>14.7</v>
      </c>
      <c r="BN125" s="77">
        <v>14.8</v>
      </c>
      <c r="BO125" s="78">
        <f t="shared" si="145"/>
        <v>16.100000000000001</v>
      </c>
      <c r="BP125" s="79">
        <v>16.2</v>
      </c>
      <c r="BQ125" s="80">
        <v>27.3</v>
      </c>
      <c r="BR125" s="81">
        <f t="shared" si="146"/>
        <v>27.4</v>
      </c>
      <c r="BS125" s="82">
        <v>34.299999999999997</v>
      </c>
      <c r="BT125" s="83">
        <v>34.4</v>
      </c>
      <c r="BU125" s="41"/>
      <c r="BV125" s="87" t="s">
        <v>364</v>
      </c>
      <c r="BW125" s="86">
        <v>184</v>
      </c>
      <c r="BX125" s="5">
        <v>14.4</v>
      </c>
      <c r="BY125" s="88">
        <v>14.5</v>
      </c>
      <c r="BZ125" s="78">
        <f t="shared" si="147"/>
        <v>15.9</v>
      </c>
      <c r="CA125" s="89">
        <v>16</v>
      </c>
      <c r="CB125" s="90">
        <v>28.5</v>
      </c>
      <c r="CC125" s="92">
        <f t="shared" si="148"/>
        <v>28.6</v>
      </c>
      <c r="CD125" s="93">
        <v>35.799999999999997</v>
      </c>
      <c r="CE125" s="83" t="s">
        <v>365</v>
      </c>
      <c r="CF125" s="255"/>
      <c r="CG125" s="53"/>
      <c r="CH125" s="53"/>
      <c r="CI125" s="53"/>
      <c r="CJ125" s="53"/>
      <c r="CK125" s="53"/>
      <c r="CL125" s="53"/>
      <c r="CN125" s="53"/>
      <c r="CO125" s="53"/>
      <c r="CP125" s="53"/>
      <c r="CQ125" s="53"/>
      <c r="CR125" s="53"/>
      <c r="CS125" s="53"/>
      <c r="CT125" s="261"/>
      <c r="CU125" s="255"/>
      <c r="CV125" s="261"/>
      <c r="CW125" s="261"/>
      <c r="CX125" s="261"/>
      <c r="CY125" s="255"/>
      <c r="DV125" s="119" t="s">
        <v>301</v>
      </c>
      <c r="DW125" s="120">
        <v>150</v>
      </c>
      <c r="DX125" s="121">
        <v>130.6</v>
      </c>
      <c r="DY125" s="145">
        <v>130.69999999999999</v>
      </c>
      <c r="DZ125" s="146">
        <v>137.80000000000001</v>
      </c>
      <c r="EA125" s="149">
        <v>137.9</v>
      </c>
      <c r="EB125" s="150">
        <v>167</v>
      </c>
      <c r="EC125" s="148">
        <v>167.1</v>
      </c>
      <c r="EE125" s="143" t="s">
        <v>301</v>
      </c>
      <c r="EF125" s="144">
        <v>150</v>
      </c>
      <c r="EG125" s="170">
        <v>133.19999999999999</v>
      </c>
      <c r="EH125" s="174">
        <v>133.30000000000001</v>
      </c>
      <c r="EI125" s="175">
        <v>140.1</v>
      </c>
      <c r="EJ125" s="180">
        <v>140.19999999999999</v>
      </c>
      <c r="EK125" s="181">
        <v>167.8</v>
      </c>
      <c r="EL125" s="173">
        <v>167.9</v>
      </c>
    </row>
    <row r="126" spans="1:142" ht="11.15" customHeight="1">
      <c r="A126" s="216"/>
      <c r="B126" s="217"/>
      <c r="C126" s="218"/>
      <c r="D126" s="219"/>
      <c r="E126" s="217"/>
      <c r="F126" s="217"/>
      <c r="G126" s="217"/>
      <c r="H126" s="220"/>
      <c r="I126" s="217"/>
      <c r="J126" s="217"/>
      <c r="K126" s="217"/>
      <c r="L126" s="217"/>
      <c r="M126" s="217"/>
      <c r="N126" s="217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BA126" s="5"/>
      <c r="BB126" s="5"/>
      <c r="BC126" s="5"/>
      <c r="BD126" s="5"/>
      <c r="BE126" s="63"/>
      <c r="BF126" s="63"/>
      <c r="BG126" s="63"/>
      <c r="BK126" s="71" t="s">
        <v>366</v>
      </c>
      <c r="BL126" s="70">
        <v>185</v>
      </c>
      <c r="BM126" s="5">
        <v>14.8</v>
      </c>
      <c r="BN126" s="77">
        <v>14.9</v>
      </c>
      <c r="BO126" s="78">
        <f t="shared" si="145"/>
        <v>16.100000000000001</v>
      </c>
      <c r="BP126" s="79">
        <v>16.2</v>
      </c>
      <c r="BQ126" s="80">
        <v>27.4</v>
      </c>
      <c r="BR126" s="81">
        <f t="shared" si="146"/>
        <v>27.5</v>
      </c>
      <c r="BS126" s="82">
        <v>34.4</v>
      </c>
      <c r="BT126" s="83">
        <v>34.5</v>
      </c>
      <c r="BU126" s="41"/>
      <c r="BV126" s="87" t="s">
        <v>366</v>
      </c>
      <c r="BW126" s="86">
        <v>185</v>
      </c>
      <c r="BX126" s="5">
        <v>14.4</v>
      </c>
      <c r="BY126" s="88">
        <v>14.5</v>
      </c>
      <c r="BZ126" s="78">
        <f t="shared" si="147"/>
        <v>15.9</v>
      </c>
      <c r="CA126" s="89">
        <v>16</v>
      </c>
      <c r="CB126" s="90">
        <v>28.5</v>
      </c>
      <c r="CC126" s="92">
        <f t="shared" si="148"/>
        <v>28.6</v>
      </c>
      <c r="CD126" s="93">
        <v>35.799999999999997</v>
      </c>
      <c r="CE126" s="83" t="s">
        <v>365</v>
      </c>
      <c r="CF126" s="255"/>
      <c r="CG126" s="53"/>
      <c r="CH126" s="53"/>
      <c r="CI126" s="53"/>
      <c r="CJ126" s="53"/>
      <c r="CK126" s="53"/>
      <c r="CL126" s="53"/>
      <c r="CN126" s="53"/>
      <c r="CO126" s="53"/>
      <c r="CP126" s="53"/>
      <c r="CQ126" s="53"/>
      <c r="CR126" s="53"/>
      <c r="CS126" s="53"/>
      <c r="CT126" s="261"/>
      <c r="CU126" s="255"/>
      <c r="CV126" s="261"/>
      <c r="CW126" s="255"/>
      <c r="CX126" s="261"/>
      <c r="CY126" s="255"/>
      <c r="DV126" s="119" t="s">
        <v>303</v>
      </c>
      <c r="DW126" s="120">
        <v>151</v>
      </c>
      <c r="DX126" s="121">
        <v>131.1</v>
      </c>
      <c r="DY126" s="145">
        <v>131.19999999999999</v>
      </c>
      <c r="DZ126" s="146">
        <v>138.4</v>
      </c>
      <c r="EA126" s="149">
        <v>138.5</v>
      </c>
      <c r="EB126" s="150">
        <v>167.6</v>
      </c>
      <c r="EC126" s="148">
        <v>167.7</v>
      </c>
      <c r="EE126" s="143" t="s">
        <v>303</v>
      </c>
      <c r="EF126" s="144">
        <v>151</v>
      </c>
      <c r="EG126" s="170">
        <v>133.6</v>
      </c>
      <c r="EH126" s="174">
        <v>133.69999999999999</v>
      </c>
      <c r="EI126" s="175">
        <v>140.5</v>
      </c>
      <c r="EJ126" s="180">
        <v>140.6</v>
      </c>
      <c r="EK126" s="181">
        <v>168.3</v>
      </c>
      <c r="EL126" s="173">
        <v>168.4</v>
      </c>
    </row>
    <row r="127" spans="1:142" ht="11.15" customHeight="1">
      <c r="A127" s="216"/>
      <c r="B127" s="217"/>
      <c r="C127" s="218"/>
      <c r="D127" s="219"/>
      <c r="E127" s="217"/>
      <c r="F127" s="217"/>
      <c r="G127" s="217"/>
      <c r="H127" s="220"/>
      <c r="I127" s="217"/>
      <c r="J127" s="217"/>
      <c r="K127" s="217"/>
      <c r="L127" s="217"/>
      <c r="M127" s="217"/>
      <c r="N127" s="217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BA127" s="5"/>
      <c r="BB127" s="5"/>
      <c r="BC127" s="5"/>
      <c r="BD127" s="5"/>
      <c r="BE127" s="63"/>
      <c r="BF127" s="63"/>
      <c r="BG127" s="63"/>
      <c r="BK127" s="71" t="s">
        <v>367</v>
      </c>
      <c r="BL127" s="70">
        <v>186</v>
      </c>
      <c r="BM127" s="5">
        <v>14.8</v>
      </c>
      <c r="BN127" s="77">
        <v>14.9</v>
      </c>
      <c r="BO127" s="78">
        <f t="shared" si="145"/>
        <v>16.2</v>
      </c>
      <c r="BP127" s="79">
        <v>16.3</v>
      </c>
      <c r="BQ127" s="80">
        <v>27.4</v>
      </c>
      <c r="BR127" s="81">
        <f t="shared" si="146"/>
        <v>27.5</v>
      </c>
      <c r="BS127" s="82">
        <v>34.5</v>
      </c>
      <c r="BT127" s="83">
        <v>34.6</v>
      </c>
      <c r="BU127" s="41"/>
      <c r="BV127" s="87" t="s">
        <v>367</v>
      </c>
      <c r="BW127" s="86">
        <v>186</v>
      </c>
      <c r="BX127" s="5">
        <v>14.4</v>
      </c>
      <c r="BY127" s="88">
        <v>14.5</v>
      </c>
      <c r="BZ127" s="78">
        <f t="shared" si="147"/>
        <v>15.9</v>
      </c>
      <c r="CA127" s="89">
        <v>16</v>
      </c>
      <c r="CB127" s="90">
        <v>28.6</v>
      </c>
      <c r="CC127" s="92">
        <f t="shared" si="148"/>
        <v>28.7</v>
      </c>
      <c r="CD127" s="93">
        <v>35.799999999999997</v>
      </c>
      <c r="CE127" s="83" t="s">
        <v>365</v>
      </c>
      <c r="CF127" s="255"/>
      <c r="CG127" s="53"/>
      <c r="CH127" s="53"/>
      <c r="CI127" s="53"/>
      <c r="CJ127" s="53"/>
      <c r="CK127" s="53"/>
      <c r="CL127" s="53"/>
      <c r="CN127" s="53"/>
      <c r="CO127" s="53"/>
      <c r="CP127" s="53"/>
      <c r="CQ127" s="53"/>
      <c r="CR127" s="53"/>
      <c r="CS127" s="53"/>
      <c r="CT127" s="261"/>
      <c r="CU127" s="255"/>
      <c r="CV127" s="255"/>
      <c r="CW127" s="261"/>
      <c r="CX127" s="261"/>
      <c r="CY127" s="255"/>
      <c r="DV127" s="119" t="s">
        <v>305</v>
      </c>
      <c r="DW127" s="120">
        <v>152</v>
      </c>
      <c r="DX127" s="121">
        <v>131.6</v>
      </c>
      <c r="DY127" s="145">
        <v>131.69999999999999</v>
      </c>
      <c r="DZ127" s="146">
        <v>138.9</v>
      </c>
      <c r="EA127" s="149">
        <v>139</v>
      </c>
      <c r="EB127" s="150">
        <v>168.3</v>
      </c>
      <c r="EC127" s="148">
        <v>168.4</v>
      </c>
      <c r="EE127" s="143" t="s">
        <v>305</v>
      </c>
      <c r="EF127" s="144">
        <v>152</v>
      </c>
      <c r="EG127" s="170">
        <v>134</v>
      </c>
      <c r="EH127" s="174">
        <v>134.1</v>
      </c>
      <c r="EI127" s="175">
        <v>140.9</v>
      </c>
      <c r="EJ127" s="180">
        <v>141</v>
      </c>
      <c r="EK127" s="181">
        <v>168.7</v>
      </c>
      <c r="EL127" s="173">
        <v>168.8</v>
      </c>
    </row>
    <row r="128" spans="1:142" ht="11.15" customHeight="1">
      <c r="A128" s="216"/>
      <c r="B128" s="217"/>
      <c r="C128" s="218"/>
      <c r="D128" s="219"/>
      <c r="E128" s="217"/>
      <c r="F128" s="217"/>
      <c r="G128" s="217"/>
      <c r="H128" s="220"/>
      <c r="I128" s="217"/>
      <c r="J128" s="217"/>
      <c r="K128" s="217"/>
      <c r="L128" s="217"/>
      <c r="M128" s="217"/>
      <c r="N128" s="217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BA128" s="5"/>
      <c r="BB128" s="5"/>
      <c r="BC128" s="5"/>
      <c r="BD128" s="5"/>
      <c r="BE128" s="63"/>
      <c r="BF128" s="63"/>
      <c r="BG128" s="63"/>
      <c r="BK128" s="71" t="s">
        <v>368</v>
      </c>
      <c r="BL128" s="70">
        <v>187</v>
      </c>
      <c r="BM128" s="5">
        <v>14.9</v>
      </c>
      <c r="BN128" s="77">
        <v>15</v>
      </c>
      <c r="BO128" s="78">
        <f t="shared" si="145"/>
        <v>16.2</v>
      </c>
      <c r="BP128" s="79">
        <v>16.3</v>
      </c>
      <c r="BQ128" s="80">
        <v>27.5</v>
      </c>
      <c r="BR128" s="81">
        <f t="shared" si="146"/>
        <v>27.6</v>
      </c>
      <c r="BS128" s="82">
        <v>34.5</v>
      </c>
      <c r="BT128" s="83">
        <v>34.6</v>
      </c>
      <c r="BU128" s="41"/>
      <c r="BV128" s="87" t="s">
        <v>368</v>
      </c>
      <c r="BW128" s="86">
        <v>187</v>
      </c>
      <c r="BX128" s="5">
        <v>14.4</v>
      </c>
      <c r="BY128" s="88">
        <v>14.5</v>
      </c>
      <c r="BZ128" s="78">
        <f t="shared" si="147"/>
        <v>16</v>
      </c>
      <c r="CA128" s="89">
        <v>16.100000000000001</v>
      </c>
      <c r="CB128" s="90">
        <v>28.6</v>
      </c>
      <c r="CC128" s="92">
        <f t="shared" si="148"/>
        <v>28.7</v>
      </c>
      <c r="CD128" s="93">
        <v>35.9</v>
      </c>
      <c r="CE128" s="83" t="s">
        <v>369</v>
      </c>
      <c r="CF128" s="255"/>
      <c r="CG128" s="53"/>
      <c r="CH128" s="53"/>
      <c r="CI128" s="53"/>
      <c r="CJ128" s="53"/>
      <c r="CK128" s="53"/>
      <c r="CL128" s="53"/>
      <c r="CN128" s="53"/>
      <c r="CO128" s="53"/>
      <c r="CP128" s="53"/>
      <c r="CQ128" s="53"/>
      <c r="CR128" s="53"/>
      <c r="CS128" s="53"/>
      <c r="CT128" s="261"/>
      <c r="CU128" s="255"/>
      <c r="CV128" s="261"/>
      <c r="CW128" s="255"/>
      <c r="CX128" s="261"/>
      <c r="CY128" s="255"/>
      <c r="DV128" s="119" t="s">
        <v>307</v>
      </c>
      <c r="DW128" s="120">
        <v>153</v>
      </c>
      <c r="DX128" s="121">
        <v>132.1</v>
      </c>
      <c r="DY128" s="145">
        <v>132.19999999999999</v>
      </c>
      <c r="DZ128" s="146">
        <v>139.4</v>
      </c>
      <c r="EA128" s="149">
        <v>139.5</v>
      </c>
      <c r="EB128" s="150">
        <v>168.9</v>
      </c>
      <c r="EC128" s="148">
        <v>169</v>
      </c>
      <c r="EE128" s="143" t="s">
        <v>307</v>
      </c>
      <c r="EF128" s="144">
        <v>153</v>
      </c>
      <c r="EG128" s="170">
        <v>134.4</v>
      </c>
      <c r="EH128" s="174">
        <v>134.5</v>
      </c>
      <c r="EI128" s="175">
        <v>141.30000000000001</v>
      </c>
      <c r="EJ128" s="180">
        <v>141.4</v>
      </c>
      <c r="EK128" s="181">
        <v>169.1</v>
      </c>
      <c r="EL128" s="173">
        <v>169.2</v>
      </c>
    </row>
    <row r="129" spans="1:142" ht="11.15" customHeight="1">
      <c r="A129" s="216"/>
      <c r="B129" s="217"/>
      <c r="C129" s="218"/>
      <c r="D129" s="219"/>
      <c r="E129" s="217"/>
      <c r="F129" s="217"/>
      <c r="G129" s="217"/>
      <c r="H129" s="220"/>
      <c r="I129" s="217"/>
      <c r="J129" s="217"/>
      <c r="K129" s="217"/>
      <c r="L129" s="217"/>
      <c r="M129" s="217"/>
      <c r="N129" s="217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BA129" s="5"/>
      <c r="BB129" s="5"/>
      <c r="BC129" s="5"/>
      <c r="BD129" s="5"/>
      <c r="BE129" s="63"/>
      <c r="BF129" s="63"/>
      <c r="BG129" s="63"/>
      <c r="BK129" s="71" t="s">
        <v>370</v>
      </c>
      <c r="BL129" s="70">
        <v>188</v>
      </c>
      <c r="BM129" s="5">
        <v>14.9</v>
      </c>
      <c r="BN129" s="77">
        <v>15</v>
      </c>
      <c r="BO129" s="78">
        <f t="shared" si="145"/>
        <v>16.2</v>
      </c>
      <c r="BP129" s="79">
        <v>16.3</v>
      </c>
      <c r="BQ129" s="80">
        <v>27.6</v>
      </c>
      <c r="BR129" s="81">
        <f t="shared" si="146"/>
        <v>27.7</v>
      </c>
      <c r="BS129" s="82">
        <v>34.6</v>
      </c>
      <c r="BT129" s="83">
        <v>34.700000000000003</v>
      </c>
      <c r="BU129" s="41"/>
      <c r="BV129" s="87" t="s">
        <v>370</v>
      </c>
      <c r="BW129" s="86">
        <v>188</v>
      </c>
      <c r="BX129" s="5">
        <v>14.4</v>
      </c>
      <c r="BY129" s="88">
        <v>14.5</v>
      </c>
      <c r="BZ129" s="78">
        <f t="shared" si="147"/>
        <v>16</v>
      </c>
      <c r="CA129" s="89">
        <v>16.100000000000001</v>
      </c>
      <c r="CB129" s="90">
        <v>28.7</v>
      </c>
      <c r="CC129" s="92">
        <f t="shared" si="148"/>
        <v>28.8</v>
      </c>
      <c r="CD129" s="93">
        <v>35.9</v>
      </c>
      <c r="CE129" s="83" t="s">
        <v>369</v>
      </c>
      <c r="CF129" s="261"/>
      <c r="CG129" s="53"/>
      <c r="CH129" s="53"/>
      <c r="CI129" s="53"/>
      <c r="CJ129" s="53"/>
      <c r="CK129" s="53"/>
      <c r="CL129" s="53"/>
      <c r="CN129" s="53"/>
      <c r="CO129" s="53"/>
      <c r="CP129" s="53"/>
      <c r="CQ129" s="53"/>
      <c r="CR129" s="53"/>
      <c r="CS129" s="53"/>
      <c r="CT129" s="255"/>
      <c r="CU129" s="261"/>
      <c r="CV129" s="255"/>
      <c r="CW129" s="261"/>
      <c r="CX129" s="261"/>
      <c r="CY129" s="255"/>
      <c r="DV129" s="119" t="s">
        <v>309</v>
      </c>
      <c r="DW129" s="120">
        <v>154</v>
      </c>
      <c r="DX129" s="121">
        <v>132.6</v>
      </c>
      <c r="DY129" s="145">
        <v>132.69999999999999</v>
      </c>
      <c r="DZ129" s="146">
        <v>140</v>
      </c>
      <c r="EA129" s="149">
        <v>140.1</v>
      </c>
      <c r="EB129" s="150">
        <v>169.6</v>
      </c>
      <c r="EC129" s="148">
        <v>169.7</v>
      </c>
      <c r="EE129" s="143" t="s">
        <v>309</v>
      </c>
      <c r="EF129" s="144">
        <v>154</v>
      </c>
      <c r="EG129" s="170">
        <v>134.69999999999999</v>
      </c>
      <c r="EH129" s="174">
        <v>134.80000000000001</v>
      </c>
      <c r="EI129" s="175">
        <v>141.69999999999999</v>
      </c>
      <c r="EJ129" s="180">
        <v>141.80000000000001</v>
      </c>
      <c r="EK129" s="181">
        <v>169.5</v>
      </c>
      <c r="EL129" s="173">
        <v>169.6</v>
      </c>
    </row>
    <row r="130" spans="1:142" ht="11.15" customHeight="1">
      <c r="A130" s="216"/>
      <c r="B130" s="217"/>
      <c r="C130" s="218"/>
      <c r="D130" s="219"/>
      <c r="E130" s="217"/>
      <c r="F130" s="217"/>
      <c r="G130" s="217"/>
      <c r="H130" s="220"/>
      <c r="I130" s="217"/>
      <c r="J130" s="217"/>
      <c r="K130" s="217"/>
      <c r="L130" s="217"/>
      <c r="M130" s="217"/>
      <c r="N130" s="217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BA130" s="5"/>
      <c r="BB130" s="5"/>
      <c r="BC130" s="5"/>
      <c r="BD130" s="5"/>
      <c r="BE130" s="63"/>
      <c r="BF130" s="63"/>
      <c r="BG130" s="63"/>
      <c r="BK130" s="71" t="s">
        <v>371</v>
      </c>
      <c r="BL130" s="70">
        <v>189</v>
      </c>
      <c r="BM130" s="5">
        <v>14.9</v>
      </c>
      <c r="BN130" s="77">
        <v>15</v>
      </c>
      <c r="BO130" s="78">
        <f t="shared" si="145"/>
        <v>16.3</v>
      </c>
      <c r="BP130" s="79">
        <v>16.399999999999999</v>
      </c>
      <c r="BQ130" s="80">
        <v>27.7</v>
      </c>
      <c r="BR130" s="81">
        <f t="shared" si="146"/>
        <v>27.8</v>
      </c>
      <c r="BS130" s="82">
        <v>34.6</v>
      </c>
      <c r="BT130" s="83">
        <v>34.700000000000003</v>
      </c>
      <c r="BU130" s="41"/>
      <c r="BV130" s="87" t="s">
        <v>371</v>
      </c>
      <c r="BW130" s="86">
        <v>189</v>
      </c>
      <c r="BX130" s="5">
        <v>14.4</v>
      </c>
      <c r="BY130" s="88">
        <v>14.5</v>
      </c>
      <c r="BZ130" s="78">
        <f t="shared" si="147"/>
        <v>16</v>
      </c>
      <c r="CA130" s="89">
        <v>16.100000000000001</v>
      </c>
      <c r="CB130" s="90">
        <v>28.7</v>
      </c>
      <c r="CC130" s="92">
        <f t="shared" si="148"/>
        <v>28.8</v>
      </c>
      <c r="CD130" s="93">
        <v>36</v>
      </c>
      <c r="CE130" s="83" t="s">
        <v>372</v>
      </c>
      <c r="CF130" s="261"/>
      <c r="CG130" s="53"/>
      <c r="CH130" s="53"/>
      <c r="CI130" s="53"/>
      <c r="CJ130" s="53"/>
      <c r="CK130" s="53"/>
      <c r="CL130" s="53"/>
      <c r="CN130" s="53"/>
      <c r="CO130" s="53"/>
      <c r="CP130" s="53"/>
      <c r="CQ130" s="53"/>
      <c r="CR130" s="53"/>
      <c r="CS130" s="53"/>
      <c r="CT130" s="255"/>
      <c r="CU130" s="261"/>
      <c r="CV130" s="261"/>
      <c r="CW130" s="255"/>
      <c r="CX130" s="261"/>
      <c r="CY130" s="255"/>
      <c r="DV130" s="119" t="s">
        <v>311</v>
      </c>
      <c r="DW130" s="120">
        <v>155</v>
      </c>
      <c r="DX130" s="121">
        <v>133.1</v>
      </c>
      <c r="DY130" s="145">
        <v>133.19999999999999</v>
      </c>
      <c r="DZ130" s="146">
        <v>140.5</v>
      </c>
      <c r="EA130" s="149">
        <v>140.6</v>
      </c>
      <c r="EB130" s="150">
        <v>170.2</v>
      </c>
      <c r="EC130" s="148">
        <v>170.3</v>
      </c>
      <c r="EE130" s="143" t="s">
        <v>311</v>
      </c>
      <c r="EF130" s="144">
        <v>155</v>
      </c>
      <c r="EG130" s="170">
        <v>135.1</v>
      </c>
      <c r="EH130" s="174">
        <v>135.19999999999999</v>
      </c>
      <c r="EI130" s="175">
        <v>142</v>
      </c>
      <c r="EJ130" s="180">
        <v>142.1</v>
      </c>
      <c r="EK130" s="181">
        <v>169.9</v>
      </c>
      <c r="EL130" s="173">
        <v>170</v>
      </c>
    </row>
    <row r="131" spans="1:142" ht="11.15" customHeight="1">
      <c r="A131" s="216"/>
      <c r="B131" s="217"/>
      <c r="C131" s="218"/>
      <c r="D131" s="219"/>
      <c r="E131" s="217"/>
      <c r="F131" s="217"/>
      <c r="G131" s="217"/>
      <c r="H131" s="220"/>
      <c r="I131" s="217"/>
      <c r="J131" s="217"/>
      <c r="K131" s="217"/>
      <c r="L131" s="217"/>
      <c r="M131" s="217"/>
      <c r="N131" s="217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BA131" s="5"/>
      <c r="BB131" s="5"/>
      <c r="BC131" s="5"/>
      <c r="BD131" s="5"/>
      <c r="BE131" s="63"/>
      <c r="BF131" s="63"/>
      <c r="BG131" s="63"/>
      <c r="BK131" s="71" t="s">
        <v>373</v>
      </c>
      <c r="BL131" s="70">
        <v>190</v>
      </c>
      <c r="BM131" s="5">
        <v>14.9</v>
      </c>
      <c r="BN131" s="77">
        <v>15</v>
      </c>
      <c r="BO131" s="78">
        <f t="shared" si="145"/>
        <v>16.3</v>
      </c>
      <c r="BP131" s="79">
        <v>16.399999999999999</v>
      </c>
      <c r="BQ131" s="80">
        <v>27.7</v>
      </c>
      <c r="BR131" s="81">
        <f t="shared" si="146"/>
        <v>27.8</v>
      </c>
      <c r="BS131" s="82">
        <v>34.700000000000003</v>
      </c>
      <c r="BT131" s="83">
        <v>34.799999999999997</v>
      </c>
      <c r="BU131" s="41"/>
      <c r="BV131" s="87" t="s">
        <v>373</v>
      </c>
      <c r="BW131" s="86">
        <v>190</v>
      </c>
      <c r="BX131" s="5">
        <v>14.5</v>
      </c>
      <c r="BY131" s="88">
        <v>14.6</v>
      </c>
      <c r="BZ131" s="78">
        <f t="shared" si="147"/>
        <v>16</v>
      </c>
      <c r="CA131" s="89">
        <v>16.100000000000001</v>
      </c>
      <c r="CB131" s="90">
        <v>28.8</v>
      </c>
      <c r="CC131" s="92">
        <f t="shared" si="148"/>
        <v>28.9</v>
      </c>
      <c r="CD131" s="93">
        <v>36</v>
      </c>
      <c r="CE131" s="83" t="s">
        <v>372</v>
      </c>
      <c r="CF131" s="261"/>
      <c r="CG131" s="53"/>
      <c r="CH131" s="53"/>
      <c r="CI131" s="53"/>
      <c r="CJ131" s="53"/>
      <c r="CK131" s="53"/>
      <c r="CL131" s="53"/>
      <c r="CN131" s="53"/>
      <c r="CO131" s="53"/>
      <c r="CP131" s="53"/>
      <c r="CQ131" s="53"/>
      <c r="CR131" s="53"/>
      <c r="CS131" s="53"/>
      <c r="CT131" s="261"/>
      <c r="CU131" s="261"/>
      <c r="CV131" s="255"/>
      <c r="CW131" s="261"/>
      <c r="CX131" s="261"/>
      <c r="CY131" s="255"/>
      <c r="DV131" s="119" t="s">
        <v>313</v>
      </c>
      <c r="DW131" s="120">
        <v>156</v>
      </c>
      <c r="DX131" s="121">
        <v>133.69999999999999</v>
      </c>
      <c r="DY131" s="145">
        <v>133.80000000000001</v>
      </c>
      <c r="DZ131" s="146">
        <v>141.1</v>
      </c>
      <c r="EA131" s="149">
        <v>141.19999999999999</v>
      </c>
      <c r="EB131" s="150">
        <v>170.9</v>
      </c>
      <c r="EC131" s="148">
        <v>171</v>
      </c>
      <c r="EE131" s="143" t="s">
        <v>313</v>
      </c>
      <c r="EF131" s="144">
        <v>156</v>
      </c>
      <c r="EG131" s="170">
        <v>135.5</v>
      </c>
      <c r="EH131" s="174">
        <v>135.6</v>
      </c>
      <c r="EI131" s="175">
        <v>142.4</v>
      </c>
      <c r="EJ131" s="180">
        <v>142.5</v>
      </c>
      <c r="EK131" s="181">
        <v>170.3</v>
      </c>
      <c r="EL131" s="173">
        <v>170.4</v>
      </c>
    </row>
    <row r="132" spans="1:142" ht="11.15" customHeight="1">
      <c r="A132" s="216"/>
      <c r="B132" s="217"/>
      <c r="C132" s="218"/>
      <c r="D132" s="219"/>
      <c r="E132" s="217"/>
      <c r="F132" s="217"/>
      <c r="G132" s="217"/>
      <c r="H132" s="220"/>
      <c r="I132" s="217"/>
      <c r="J132" s="217"/>
      <c r="K132" s="217"/>
      <c r="L132" s="217"/>
      <c r="M132" s="217"/>
      <c r="N132" s="217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BA132" s="5"/>
      <c r="BB132" s="5"/>
      <c r="BC132" s="5"/>
      <c r="BD132" s="5"/>
      <c r="BE132" s="63"/>
      <c r="BF132" s="63"/>
      <c r="BG132" s="63"/>
      <c r="BK132" s="71" t="s">
        <v>374</v>
      </c>
      <c r="BL132" s="70">
        <v>191</v>
      </c>
      <c r="BM132" s="5">
        <v>15</v>
      </c>
      <c r="BN132" s="77">
        <v>15.1</v>
      </c>
      <c r="BO132" s="78">
        <f t="shared" si="145"/>
        <v>16.399999999999999</v>
      </c>
      <c r="BP132" s="79">
        <v>16.5</v>
      </c>
      <c r="BQ132" s="80">
        <v>27.8</v>
      </c>
      <c r="BR132" s="81">
        <f t="shared" si="146"/>
        <v>27.9</v>
      </c>
      <c r="BS132" s="82">
        <v>34.700000000000003</v>
      </c>
      <c r="BT132" s="83">
        <v>34.799999999999997</v>
      </c>
      <c r="BU132" s="41"/>
      <c r="BV132" s="87" t="s">
        <v>374</v>
      </c>
      <c r="BW132" s="86">
        <v>191</v>
      </c>
      <c r="BX132" s="5">
        <v>14.5</v>
      </c>
      <c r="BY132" s="88">
        <v>14.6</v>
      </c>
      <c r="BZ132" s="78">
        <f t="shared" si="147"/>
        <v>16.100000000000001</v>
      </c>
      <c r="CA132" s="89">
        <v>16.2</v>
      </c>
      <c r="CB132" s="90">
        <v>28.8</v>
      </c>
      <c r="CC132" s="92">
        <f t="shared" si="148"/>
        <v>28.9</v>
      </c>
      <c r="CD132" s="93">
        <v>36</v>
      </c>
      <c r="CE132" s="83" t="s">
        <v>372</v>
      </c>
      <c r="CF132" s="261"/>
      <c r="CG132" s="53"/>
      <c r="CH132" s="53"/>
      <c r="CI132" s="53"/>
      <c r="CJ132" s="53"/>
      <c r="CK132" s="53"/>
      <c r="CL132" s="53"/>
      <c r="CN132" s="53"/>
      <c r="CO132" s="53"/>
      <c r="CP132" s="53"/>
      <c r="CQ132" s="53"/>
      <c r="CR132" s="53"/>
      <c r="CS132" s="53"/>
      <c r="CT132" s="261"/>
      <c r="CU132" s="261"/>
      <c r="CV132" s="261"/>
      <c r="CW132" s="255"/>
      <c r="CX132" s="261"/>
      <c r="CY132" s="255"/>
      <c r="DV132" s="119" t="s">
        <v>315</v>
      </c>
      <c r="DW132" s="120">
        <v>157</v>
      </c>
      <c r="DX132" s="121">
        <v>134.19999999999999</v>
      </c>
      <c r="DY132" s="145">
        <v>134.30000000000001</v>
      </c>
      <c r="DZ132" s="146">
        <v>141.6</v>
      </c>
      <c r="EA132" s="149">
        <v>141.69999999999999</v>
      </c>
      <c r="EB132" s="150">
        <v>171.6</v>
      </c>
      <c r="EC132" s="148">
        <v>171.7</v>
      </c>
      <c r="EE132" s="143" t="s">
        <v>315</v>
      </c>
      <c r="EF132" s="144">
        <v>157</v>
      </c>
      <c r="EG132" s="170">
        <v>135.80000000000001</v>
      </c>
      <c r="EH132" s="174">
        <v>135.9</v>
      </c>
      <c r="EI132" s="175">
        <v>142.69999999999999</v>
      </c>
      <c r="EJ132" s="180">
        <v>142.80000000000001</v>
      </c>
      <c r="EK132" s="181">
        <v>170.6</v>
      </c>
      <c r="EL132" s="173">
        <v>170.7</v>
      </c>
    </row>
    <row r="133" spans="1:142" ht="11.15" customHeight="1">
      <c r="A133" s="216"/>
      <c r="B133" s="217"/>
      <c r="C133" s="218"/>
      <c r="D133" s="219"/>
      <c r="E133" s="217"/>
      <c r="F133" s="217"/>
      <c r="G133" s="217"/>
      <c r="H133" s="220"/>
      <c r="I133" s="217"/>
      <c r="J133" s="217"/>
      <c r="K133" s="217"/>
      <c r="L133" s="217"/>
      <c r="M133" s="217"/>
      <c r="N133" s="217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BA133" s="5"/>
      <c r="BB133" s="5"/>
      <c r="BC133" s="5"/>
      <c r="BD133" s="5"/>
      <c r="BE133" s="63"/>
      <c r="BF133" s="63"/>
      <c r="BG133" s="63"/>
      <c r="BK133" s="71" t="s">
        <v>375</v>
      </c>
      <c r="BL133" s="70">
        <v>192</v>
      </c>
      <c r="BM133" s="5">
        <v>15</v>
      </c>
      <c r="BN133" s="77">
        <v>15.1</v>
      </c>
      <c r="BO133" s="78">
        <f t="shared" si="145"/>
        <v>16.399999999999999</v>
      </c>
      <c r="BP133" s="79">
        <v>16.5</v>
      </c>
      <c r="BQ133" s="80">
        <v>27.9</v>
      </c>
      <c r="BR133" s="81">
        <f t="shared" si="146"/>
        <v>28</v>
      </c>
      <c r="BS133" s="82">
        <v>34.799999999999997</v>
      </c>
      <c r="BT133" s="83">
        <v>34.9</v>
      </c>
      <c r="BU133" s="41"/>
      <c r="BV133" s="87" t="s">
        <v>375</v>
      </c>
      <c r="BW133" s="86">
        <v>192</v>
      </c>
      <c r="BX133" s="5">
        <v>14.5</v>
      </c>
      <c r="BY133" s="88">
        <v>14.6</v>
      </c>
      <c r="BZ133" s="78">
        <f t="shared" si="147"/>
        <v>16.100000000000001</v>
      </c>
      <c r="CA133" s="89">
        <v>16.2</v>
      </c>
      <c r="CB133" s="90">
        <v>28.9</v>
      </c>
      <c r="CC133" s="92">
        <f t="shared" si="148"/>
        <v>29</v>
      </c>
      <c r="CD133" s="93">
        <v>36.1</v>
      </c>
      <c r="CE133" s="83" t="s">
        <v>376</v>
      </c>
      <c r="CF133" s="261"/>
      <c r="CG133" s="53"/>
      <c r="CH133" s="53"/>
      <c r="CI133" s="53"/>
      <c r="CJ133" s="53"/>
      <c r="CK133" s="53"/>
      <c r="CL133" s="53"/>
      <c r="CN133" s="53"/>
      <c r="CO133" s="53"/>
      <c r="CP133" s="53"/>
      <c r="CQ133" s="53"/>
      <c r="CR133" s="53"/>
      <c r="CS133" s="53"/>
      <c r="CT133" s="261"/>
      <c r="CU133" s="261"/>
      <c r="CV133" s="261"/>
      <c r="CW133" s="261"/>
      <c r="CX133" s="261"/>
      <c r="CY133" s="255"/>
      <c r="DV133" s="119" t="s">
        <v>317</v>
      </c>
      <c r="DW133" s="120">
        <v>158</v>
      </c>
      <c r="DX133" s="121">
        <v>134.69999999999999</v>
      </c>
      <c r="DY133" s="145">
        <v>134.80000000000001</v>
      </c>
      <c r="DZ133" s="146">
        <v>142.19999999999999</v>
      </c>
      <c r="EA133" s="149">
        <v>142.30000000000001</v>
      </c>
      <c r="EB133" s="150">
        <v>172.2</v>
      </c>
      <c r="EC133" s="148">
        <v>172.3</v>
      </c>
      <c r="EE133" s="143" t="s">
        <v>317</v>
      </c>
      <c r="EF133" s="144">
        <v>158</v>
      </c>
      <c r="EG133" s="170">
        <v>136.1</v>
      </c>
      <c r="EH133" s="174">
        <v>136.19999999999999</v>
      </c>
      <c r="EI133" s="175">
        <v>143.1</v>
      </c>
      <c r="EJ133" s="180">
        <v>143.19999999999999</v>
      </c>
      <c r="EK133" s="181">
        <v>171</v>
      </c>
      <c r="EL133" s="173">
        <v>171.1</v>
      </c>
    </row>
    <row r="134" spans="1:142" ht="11.15" customHeight="1">
      <c r="A134" s="216"/>
      <c r="B134" s="217"/>
      <c r="C134" s="218"/>
      <c r="D134" s="219"/>
      <c r="E134" s="217"/>
      <c r="F134" s="217"/>
      <c r="G134" s="217"/>
      <c r="H134" s="220"/>
      <c r="I134" s="217"/>
      <c r="J134" s="217"/>
      <c r="K134" s="217"/>
      <c r="L134" s="217"/>
      <c r="M134" s="217"/>
      <c r="N134" s="217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BA134" s="5"/>
      <c r="BB134" s="5"/>
      <c r="BC134" s="5"/>
      <c r="BD134" s="5"/>
      <c r="BE134" s="63"/>
      <c r="BF134" s="63"/>
      <c r="BG134" s="63"/>
      <c r="BK134" s="71" t="s">
        <v>377</v>
      </c>
      <c r="BL134" s="70">
        <v>193</v>
      </c>
      <c r="BM134" s="5">
        <v>15</v>
      </c>
      <c r="BN134" s="77">
        <v>15.1</v>
      </c>
      <c r="BO134" s="78">
        <f t="shared" si="145"/>
        <v>16.399999999999999</v>
      </c>
      <c r="BP134" s="79">
        <v>16.5</v>
      </c>
      <c r="BQ134" s="80">
        <v>27.9</v>
      </c>
      <c r="BR134" s="81">
        <f t="shared" si="146"/>
        <v>28</v>
      </c>
      <c r="BS134" s="82">
        <v>34.799999999999997</v>
      </c>
      <c r="BT134" s="83">
        <v>34.9</v>
      </c>
      <c r="BU134" s="41"/>
      <c r="BV134" s="87" t="s">
        <v>377</v>
      </c>
      <c r="BW134" s="86">
        <v>193</v>
      </c>
      <c r="BX134" s="5">
        <v>14.5</v>
      </c>
      <c r="BY134" s="88">
        <v>14.6</v>
      </c>
      <c r="BZ134" s="78">
        <f t="shared" si="147"/>
        <v>16.100000000000001</v>
      </c>
      <c r="CA134" s="89">
        <v>16.2</v>
      </c>
      <c r="CB134" s="90">
        <v>28.9</v>
      </c>
      <c r="CC134" s="92">
        <f t="shared" si="148"/>
        <v>29</v>
      </c>
      <c r="CD134" s="93">
        <v>36.1</v>
      </c>
      <c r="CE134" s="83" t="s">
        <v>376</v>
      </c>
      <c r="CF134" s="261"/>
      <c r="CG134" s="53"/>
      <c r="CH134" s="53"/>
      <c r="CI134" s="53"/>
      <c r="CJ134" s="53"/>
      <c r="CK134" s="53"/>
      <c r="CL134" s="53"/>
      <c r="CN134" s="53"/>
      <c r="CO134" s="53"/>
      <c r="CP134" s="53"/>
      <c r="CQ134" s="53"/>
      <c r="CR134" s="53"/>
      <c r="CS134" s="53"/>
      <c r="CT134" s="261"/>
      <c r="CU134" s="261"/>
      <c r="CV134" s="255"/>
      <c r="CW134" s="255"/>
      <c r="CX134" s="261"/>
      <c r="CY134" s="255"/>
      <c r="DV134" s="119" t="s">
        <v>319</v>
      </c>
      <c r="DW134" s="120">
        <v>159</v>
      </c>
      <c r="DX134" s="121">
        <v>135.30000000000001</v>
      </c>
      <c r="DY134" s="145">
        <v>135.4</v>
      </c>
      <c r="DZ134" s="146">
        <v>142.80000000000001</v>
      </c>
      <c r="EA134" s="149">
        <v>142.9</v>
      </c>
      <c r="EB134" s="150">
        <v>172.9</v>
      </c>
      <c r="EC134" s="148">
        <v>173</v>
      </c>
      <c r="EE134" s="143" t="s">
        <v>319</v>
      </c>
      <c r="EF134" s="144">
        <v>159</v>
      </c>
      <c r="EG134" s="170">
        <v>136.4</v>
      </c>
      <c r="EH134" s="174">
        <v>136.5</v>
      </c>
      <c r="EI134" s="175">
        <v>143.4</v>
      </c>
      <c r="EJ134" s="180">
        <v>143.5</v>
      </c>
      <c r="EK134" s="181">
        <v>171.3</v>
      </c>
      <c r="EL134" s="173">
        <v>171.4</v>
      </c>
    </row>
    <row r="135" spans="1:142" ht="11.15" customHeight="1">
      <c r="A135" s="216"/>
      <c r="B135" s="217"/>
      <c r="C135" s="218"/>
      <c r="D135" s="219"/>
      <c r="E135" s="217"/>
      <c r="F135" s="217"/>
      <c r="G135" s="217"/>
      <c r="H135" s="220"/>
      <c r="I135" s="217"/>
      <c r="J135" s="217"/>
      <c r="K135" s="217"/>
      <c r="L135" s="217"/>
      <c r="M135" s="217"/>
      <c r="N135" s="217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BA135" s="5"/>
      <c r="BB135" s="5"/>
      <c r="BC135" s="5"/>
      <c r="BD135" s="5"/>
      <c r="BE135" s="63"/>
      <c r="BF135" s="63"/>
      <c r="BG135" s="63"/>
      <c r="BK135" s="71" t="s">
        <v>378</v>
      </c>
      <c r="BL135" s="70">
        <v>194</v>
      </c>
      <c r="BM135" s="5">
        <v>15.1</v>
      </c>
      <c r="BN135" s="77">
        <v>15.2</v>
      </c>
      <c r="BO135" s="78">
        <f t="shared" si="145"/>
        <v>16.5</v>
      </c>
      <c r="BP135" s="79">
        <v>16.600000000000001</v>
      </c>
      <c r="BQ135" s="80">
        <v>28</v>
      </c>
      <c r="BR135" s="81">
        <f t="shared" si="146"/>
        <v>28.1</v>
      </c>
      <c r="BS135" s="82">
        <v>34.799999999999997</v>
      </c>
      <c r="BT135" s="83">
        <v>34.9</v>
      </c>
      <c r="BU135" s="41"/>
      <c r="BV135" s="87" t="s">
        <v>378</v>
      </c>
      <c r="BW135" s="86">
        <v>194</v>
      </c>
      <c r="BX135" s="5">
        <v>14.5</v>
      </c>
      <c r="BY135" s="88">
        <v>14.6</v>
      </c>
      <c r="BZ135" s="78">
        <f t="shared" si="147"/>
        <v>16.100000000000001</v>
      </c>
      <c r="CA135" s="89">
        <v>16.2</v>
      </c>
      <c r="CB135" s="90">
        <v>29</v>
      </c>
      <c r="CC135" s="92">
        <f t="shared" si="148"/>
        <v>29.1</v>
      </c>
      <c r="CD135" s="93">
        <v>36.1</v>
      </c>
      <c r="CE135" s="83" t="s">
        <v>376</v>
      </c>
      <c r="CF135" s="261"/>
      <c r="CG135" s="53"/>
      <c r="CH135" s="53"/>
      <c r="CI135" s="53"/>
      <c r="CJ135" s="53"/>
      <c r="CK135" s="53"/>
      <c r="CL135" s="53"/>
      <c r="CN135" s="53"/>
      <c r="CO135" s="53"/>
      <c r="CP135" s="53"/>
      <c r="CQ135" s="53"/>
      <c r="CR135" s="53"/>
      <c r="CS135" s="53"/>
      <c r="CT135" s="261"/>
      <c r="CU135" s="261"/>
      <c r="CV135" s="261"/>
      <c r="CW135" s="261"/>
      <c r="CX135" s="261"/>
      <c r="CY135" s="255"/>
      <c r="DV135" s="119" t="s">
        <v>321</v>
      </c>
      <c r="DW135" s="120">
        <v>160</v>
      </c>
      <c r="DX135" s="121">
        <v>135.80000000000001</v>
      </c>
      <c r="DY135" s="145">
        <v>135.9</v>
      </c>
      <c r="DZ135" s="146">
        <v>143.30000000000001</v>
      </c>
      <c r="EA135" s="149">
        <v>143.4</v>
      </c>
      <c r="EB135" s="150">
        <v>173.5</v>
      </c>
      <c r="EC135" s="148">
        <v>173.6</v>
      </c>
      <c r="EE135" s="143" t="s">
        <v>321</v>
      </c>
      <c r="EF135" s="144">
        <v>160</v>
      </c>
      <c r="EG135" s="170">
        <v>136.80000000000001</v>
      </c>
      <c r="EH135" s="174">
        <v>136.9</v>
      </c>
      <c r="EI135" s="175">
        <v>143.69999999999999</v>
      </c>
      <c r="EJ135" s="180">
        <v>143.80000000000001</v>
      </c>
      <c r="EK135" s="181">
        <v>171.6</v>
      </c>
      <c r="EL135" s="173">
        <v>171.7</v>
      </c>
    </row>
    <row r="136" spans="1:142" ht="11.15" customHeight="1">
      <c r="A136" s="216"/>
      <c r="B136" s="217"/>
      <c r="C136" s="218"/>
      <c r="D136" s="219"/>
      <c r="E136" s="217"/>
      <c r="F136" s="217"/>
      <c r="G136" s="217"/>
      <c r="H136" s="220"/>
      <c r="I136" s="217"/>
      <c r="J136" s="217"/>
      <c r="K136" s="217"/>
      <c r="L136" s="217"/>
      <c r="M136" s="217"/>
      <c r="N136" s="217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BA136" s="5"/>
      <c r="BB136" s="5"/>
      <c r="BC136" s="5"/>
      <c r="BD136" s="5"/>
      <c r="BE136" s="63"/>
      <c r="BF136" s="63"/>
      <c r="BG136" s="63"/>
      <c r="BK136" s="71" t="s">
        <v>379</v>
      </c>
      <c r="BL136" s="70">
        <v>195</v>
      </c>
      <c r="BM136" s="5">
        <v>15.1</v>
      </c>
      <c r="BN136" s="77">
        <v>15.2</v>
      </c>
      <c r="BO136" s="78">
        <f t="shared" si="145"/>
        <v>16.5</v>
      </c>
      <c r="BP136" s="79">
        <v>16.600000000000001</v>
      </c>
      <c r="BQ136" s="80">
        <v>28.1</v>
      </c>
      <c r="BR136" s="81">
        <f t="shared" si="146"/>
        <v>28.2</v>
      </c>
      <c r="BS136" s="82">
        <v>34.9</v>
      </c>
      <c r="BT136" s="83">
        <v>35</v>
      </c>
      <c r="BU136" s="41"/>
      <c r="BV136" s="87" t="s">
        <v>379</v>
      </c>
      <c r="BW136" s="86">
        <v>195</v>
      </c>
      <c r="BX136" s="5">
        <v>14.5</v>
      </c>
      <c r="BY136" s="88">
        <v>14.6</v>
      </c>
      <c r="BZ136" s="78">
        <f t="shared" si="147"/>
        <v>16.100000000000001</v>
      </c>
      <c r="CA136" s="89">
        <v>16.2</v>
      </c>
      <c r="CB136" s="90">
        <v>29</v>
      </c>
      <c r="CC136" s="92">
        <f t="shared" si="148"/>
        <v>29.1</v>
      </c>
      <c r="CD136" s="93">
        <v>36.1</v>
      </c>
      <c r="CE136" s="83" t="s">
        <v>376</v>
      </c>
      <c r="CF136" s="261"/>
      <c r="CG136" s="53"/>
      <c r="CH136" s="53"/>
      <c r="CI136" s="53"/>
      <c r="CJ136" s="53"/>
      <c r="CK136" s="53"/>
      <c r="CL136" s="53"/>
      <c r="CN136" s="53"/>
      <c r="CO136" s="53"/>
      <c r="CP136" s="53"/>
      <c r="CQ136" s="53"/>
      <c r="CR136" s="53"/>
      <c r="CS136" s="53"/>
      <c r="CT136" s="261"/>
      <c r="CU136" s="261"/>
      <c r="CV136" s="255"/>
      <c r="CW136" s="255"/>
      <c r="CX136" s="261"/>
      <c r="CY136" s="255"/>
      <c r="DV136" s="119" t="s">
        <v>323</v>
      </c>
      <c r="DW136" s="120">
        <v>161</v>
      </c>
      <c r="DX136" s="121">
        <v>136.30000000000001</v>
      </c>
      <c r="DY136" s="145">
        <v>136.4</v>
      </c>
      <c r="DZ136" s="146">
        <v>143.9</v>
      </c>
      <c r="EA136" s="149">
        <v>144</v>
      </c>
      <c r="EB136" s="150">
        <v>174.2</v>
      </c>
      <c r="EC136" s="148">
        <v>174.3</v>
      </c>
      <c r="EE136" s="143" t="s">
        <v>323</v>
      </c>
      <c r="EF136" s="144">
        <v>161</v>
      </c>
      <c r="EG136" s="170">
        <v>137.1</v>
      </c>
      <c r="EH136" s="174">
        <v>137.19999999999999</v>
      </c>
      <c r="EI136" s="175">
        <v>144</v>
      </c>
      <c r="EJ136" s="180">
        <v>144.1</v>
      </c>
      <c r="EK136" s="181">
        <v>171.9</v>
      </c>
      <c r="EL136" s="173">
        <v>172</v>
      </c>
    </row>
    <row r="137" spans="1:142" ht="11.15" customHeight="1">
      <c r="A137" s="216"/>
      <c r="B137" s="217"/>
      <c r="C137" s="218"/>
      <c r="D137" s="219"/>
      <c r="E137" s="217"/>
      <c r="F137" s="217"/>
      <c r="G137" s="217"/>
      <c r="H137" s="220"/>
      <c r="I137" s="217"/>
      <c r="J137" s="217"/>
      <c r="K137" s="217"/>
      <c r="L137" s="217"/>
      <c r="M137" s="217"/>
      <c r="N137" s="217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BA137" s="5"/>
      <c r="BB137" s="5"/>
      <c r="BC137" s="5"/>
      <c r="BD137" s="5"/>
      <c r="BE137" s="63"/>
      <c r="BF137" s="63"/>
      <c r="BG137" s="63"/>
      <c r="BK137" s="71" t="s">
        <v>380</v>
      </c>
      <c r="BL137" s="70">
        <v>196</v>
      </c>
      <c r="BM137" s="5">
        <v>15.1</v>
      </c>
      <c r="BN137" s="77">
        <v>15.2</v>
      </c>
      <c r="BO137" s="78">
        <f t="shared" si="145"/>
        <v>16.600000000000001</v>
      </c>
      <c r="BP137" s="79">
        <v>16.7</v>
      </c>
      <c r="BQ137" s="80">
        <v>28.1</v>
      </c>
      <c r="BR137" s="81">
        <f t="shared" si="146"/>
        <v>28.2</v>
      </c>
      <c r="BS137" s="82">
        <v>34.9</v>
      </c>
      <c r="BT137" s="83">
        <v>35</v>
      </c>
      <c r="BU137" s="41"/>
      <c r="BV137" s="87" t="s">
        <v>380</v>
      </c>
      <c r="BW137" s="86">
        <v>196</v>
      </c>
      <c r="BX137" s="5">
        <v>14.5</v>
      </c>
      <c r="BY137" s="88">
        <v>14.6</v>
      </c>
      <c r="BZ137" s="78">
        <f t="shared" si="147"/>
        <v>16.100000000000001</v>
      </c>
      <c r="CA137" s="89">
        <v>16.2</v>
      </c>
      <c r="CB137" s="90">
        <v>29</v>
      </c>
      <c r="CC137" s="92">
        <f t="shared" si="148"/>
        <v>29.1</v>
      </c>
      <c r="CD137" s="93">
        <v>36.200000000000003</v>
      </c>
      <c r="CE137" s="83" t="s">
        <v>381</v>
      </c>
      <c r="CF137" s="261"/>
      <c r="CG137" s="53"/>
      <c r="CH137" s="53"/>
      <c r="CI137" s="53"/>
      <c r="CJ137" s="53"/>
      <c r="CK137" s="53"/>
      <c r="CL137" s="53"/>
      <c r="CN137" s="53"/>
      <c r="CO137" s="53"/>
      <c r="CP137" s="53"/>
      <c r="CQ137" s="53"/>
      <c r="CR137" s="53"/>
      <c r="CS137" s="53"/>
      <c r="CT137" s="261"/>
      <c r="CU137" s="261"/>
      <c r="CV137" s="261"/>
      <c r="CW137" s="261"/>
      <c r="CX137" s="255"/>
      <c r="CY137" s="255"/>
      <c r="DV137" s="119" t="s">
        <v>325</v>
      </c>
      <c r="DW137" s="120">
        <v>162</v>
      </c>
      <c r="DX137" s="121">
        <v>136.9</v>
      </c>
      <c r="DY137" s="145">
        <v>137</v>
      </c>
      <c r="DZ137" s="146">
        <v>144.4</v>
      </c>
      <c r="EA137" s="149">
        <v>144.5</v>
      </c>
      <c r="EB137" s="150">
        <v>174.8</v>
      </c>
      <c r="EC137" s="148">
        <v>174.9</v>
      </c>
      <c r="EE137" s="143" t="s">
        <v>325</v>
      </c>
      <c r="EF137" s="144">
        <v>162</v>
      </c>
      <c r="EG137" s="170">
        <v>137.30000000000001</v>
      </c>
      <c r="EH137" s="174">
        <v>137.4</v>
      </c>
      <c r="EI137" s="175">
        <v>144.30000000000001</v>
      </c>
      <c r="EJ137" s="180">
        <v>144.4</v>
      </c>
      <c r="EK137" s="181">
        <v>172.2</v>
      </c>
      <c r="EL137" s="173">
        <v>172.3</v>
      </c>
    </row>
    <row r="138" spans="1:142" ht="11.15" customHeight="1">
      <c r="A138" s="216"/>
      <c r="B138" s="217"/>
      <c r="C138" s="218"/>
      <c r="D138" s="219"/>
      <c r="E138" s="217"/>
      <c r="F138" s="217"/>
      <c r="G138" s="217"/>
      <c r="H138" s="220"/>
      <c r="I138" s="217"/>
      <c r="J138" s="217"/>
      <c r="K138" s="217"/>
      <c r="L138" s="217"/>
      <c r="M138" s="217"/>
      <c r="N138" s="217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BA138" s="5"/>
      <c r="BB138" s="5"/>
      <c r="BC138" s="5"/>
      <c r="BD138" s="5"/>
      <c r="BE138" s="63"/>
      <c r="BF138" s="63"/>
      <c r="BG138" s="63"/>
      <c r="BK138" s="71" t="s">
        <v>382</v>
      </c>
      <c r="BL138" s="70">
        <v>197</v>
      </c>
      <c r="BM138" s="5">
        <v>15.2</v>
      </c>
      <c r="BN138" s="77">
        <v>15.3</v>
      </c>
      <c r="BO138" s="78">
        <f t="shared" si="145"/>
        <v>16.600000000000001</v>
      </c>
      <c r="BP138" s="79">
        <v>16.7</v>
      </c>
      <c r="BQ138" s="80">
        <v>28.2</v>
      </c>
      <c r="BR138" s="81">
        <f t="shared" si="146"/>
        <v>28.3</v>
      </c>
      <c r="BS138" s="82">
        <v>35</v>
      </c>
      <c r="BT138" s="83">
        <v>35.1</v>
      </c>
      <c r="BU138" s="41"/>
      <c r="BV138" s="87" t="s">
        <v>382</v>
      </c>
      <c r="BW138" s="86">
        <v>197</v>
      </c>
      <c r="BX138" s="5">
        <v>14.5</v>
      </c>
      <c r="BY138" s="88">
        <v>14.6</v>
      </c>
      <c r="BZ138" s="78">
        <f t="shared" si="147"/>
        <v>16.2</v>
      </c>
      <c r="CA138" s="89">
        <v>16.3</v>
      </c>
      <c r="CB138" s="90">
        <v>29.1</v>
      </c>
      <c r="CC138" s="92">
        <f t="shared" si="148"/>
        <v>29.2</v>
      </c>
      <c r="CD138" s="93">
        <v>36.200000000000003</v>
      </c>
      <c r="CE138" s="83" t="s">
        <v>381</v>
      </c>
      <c r="CF138" s="261"/>
      <c r="CG138" s="53"/>
      <c r="CH138" s="53"/>
      <c r="CI138" s="53"/>
      <c r="CJ138" s="53"/>
      <c r="CK138" s="53"/>
      <c r="CL138" s="53"/>
      <c r="CN138" s="53"/>
      <c r="CO138" s="53"/>
      <c r="CP138" s="53"/>
      <c r="CQ138" s="53"/>
      <c r="CR138" s="53"/>
      <c r="CS138" s="53"/>
      <c r="CT138" s="261"/>
      <c r="CU138" s="261"/>
      <c r="CV138" s="255"/>
      <c r="CW138" s="255"/>
      <c r="CX138" s="261"/>
      <c r="CY138" s="255"/>
      <c r="DV138" s="119" t="s">
        <v>327</v>
      </c>
      <c r="DW138" s="120">
        <v>163</v>
      </c>
      <c r="DX138" s="121">
        <v>136.4</v>
      </c>
      <c r="DY138" s="145">
        <v>136.5</v>
      </c>
      <c r="DZ138" s="146">
        <v>145</v>
      </c>
      <c r="EA138" s="149">
        <v>145.1</v>
      </c>
      <c r="EB138" s="150">
        <v>175.5</v>
      </c>
      <c r="EC138" s="148">
        <v>175.6</v>
      </c>
      <c r="EE138" s="143" t="s">
        <v>327</v>
      </c>
      <c r="EF138" s="144">
        <v>163</v>
      </c>
      <c r="EG138" s="170">
        <v>137.6</v>
      </c>
      <c r="EH138" s="174">
        <v>137.69999999999999</v>
      </c>
      <c r="EI138" s="175">
        <v>144.6</v>
      </c>
      <c r="EJ138" s="180">
        <v>144.69999999999999</v>
      </c>
      <c r="EK138" s="181">
        <v>172.5</v>
      </c>
      <c r="EL138" s="173">
        <v>172.6</v>
      </c>
    </row>
    <row r="139" spans="1:142" ht="11.15" customHeight="1">
      <c r="A139" s="216"/>
      <c r="B139" s="217"/>
      <c r="C139" s="218"/>
      <c r="D139" s="219"/>
      <c r="E139" s="217"/>
      <c r="F139" s="217"/>
      <c r="G139" s="217"/>
      <c r="H139" s="220"/>
      <c r="I139" s="217"/>
      <c r="J139" s="217"/>
      <c r="K139" s="217"/>
      <c r="L139" s="217"/>
      <c r="M139" s="217"/>
      <c r="N139" s="217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BA139" s="5"/>
      <c r="BB139" s="5"/>
      <c r="BC139" s="5"/>
      <c r="BD139" s="5"/>
      <c r="BE139" s="63"/>
      <c r="BF139" s="63"/>
      <c r="BG139" s="63"/>
      <c r="BK139" s="71" t="s">
        <v>383</v>
      </c>
      <c r="BL139" s="70">
        <v>198</v>
      </c>
      <c r="BM139" s="5">
        <v>15.2</v>
      </c>
      <c r="BN139" s="77">
        <v>15.3</v>
      </c>
      <c r="BO139" s="78">
        <f t="shared" si="145"/>
        <v>16.600000000000001</v>
      </c>
      <c r="BP139" s="79">
        <v>16.7</v>
      </c>
      <c r="BQ139" s="80">
        <v>28.3</v>
      </c>
      <c r="BR139" s="81">
        <f t="shared" si="146"/>
        <v>28.4</v>
      </c>
      <c r="BS139" s="82">
        <v>35</v>
      </c>
      <c r="BT139" s="83">
        <v>35.1</v>
      </c>
      <c r="BU139" s="41"/>
      <c r="BV139" s="87" t="s">
        <v>383</v>
      </c>
      <c r="BW139" s="86">
        <v>198</v>
      </c>
      <c r="BX139" s="5">
        <v>14.6</v>
      </c>
      <c r="BY139" s="88">
        <v>14.7</v>
      </c>
      <c r="BZ139" s="78">
        <f t="shared" si="147"/>
        <v>16.2</v>
      </c>
      <c r="CA139" s="89">
        <v>16.3</v>
      </c>
      <c r="CB139" s="90">
        <v>29.1</v>
      </c>
      <c r="CC139" s="92">
        <f t="shared" si="148"/>
        <v>29.2</v>
      </c>
      <c r="CD139" s="93">
        <v>36.200000000000003</v>
      </c>
      <c r="CE139" s="83" t="s">
        <v>381</v>
      </c>
      <c r="CF139" s="261"/>
      <c r="CG139" s="53"/>
      <c r="CH139" s="53"/>
      <c r="CI139" s="53"/>
      <c r="CJ139" s="53"/>
      <c r="CK139" s="53"/>
      <c r="CL139" s="53"/>
      <c r="CN139" s="53"/>
      <c r="CO139" s="53"/>
      <c r="CP139" s="53"/>
      <c r="CQ139" s="53"/>
      <c r="CR139" s="53"/>
      <c r="CS139" s="53"/>
      <c r="CT139" s="261"/>
      <c r="CU139" s="261"/>
      <c r="CV139" s="261"/>
      <c r="CW139" s="261"/>
      <c r="CX139" s="261"/>
      <c r="CY139" s="255"/>
      <c r="DV139" s="119" t="s">
        <v>329</v>
      </c>
      <c r="DW139" s="120">
        <v>164</v>
      </c>
      <c r="DX139" s="121">
        <v>137.9</v>
      </c>
      <c r="DY139" s="145">
        <v>138</v>
      </c>
      <c r="DZ139" s="146">
        <v>145.6</v>
      </c>
      <c r="EA139" s="149">
        <v>145.69999999999999</v>
      </c>
      <c r="EB139" s="150">
        <v>176.1</v>
      </c>
      <c r="EC139" s="148">
        <v>176.2</v>
      </c>
      <c r="EE139" s="143" t="s">
        <v>329</v>
      </c>
      <c r="EF139" s="144">
        <v>164</v>
      </c>
      <c r="EG139" s="170">
        <v>137.9</v>
      </c>
      <c r="EH139" s="174">
        <v>138</v>
      </c>
      <c r="EI139" s="175">
        <v>144.80000000000001</v>
      </c>
      <c r="EJ139" s="180">
        <v>144.9</v>
      </c>
      <c r="EK139" s="181">
        <v>172.7</v>
      </c>
      <c r="EL139" s="173">
        <v>172.8</v>
      </c>
    </row>
    <row r="140" spans="1:142" ht="11.15" customHeight="1">
      <c r="A140" s="216"/>
      <c r="B140" s="217"/>
      <c r="C140" s="218"/>
      <c r="D140" s="219"/>
      <c r="E140" s="217"/>
      <c r="F140" s="217"/>
      <c r="G140" s="217"/>
      <c r="H140" s="220"/>
      <c r="I140" s="217"/>
      <c r="J140" s="217"/>
      <c r="K140" s="217"/>
      <c r="L140" s="217"/>
      <c r="M140" s="217"/>
      <c r="N140" s="217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BA140" s="5"/>
      <c r="BB140" s="5"/>
      <c r="BC140" s="5"/>
      <c r="BD140" s="5"/>
      <c r="BE140" s="63"/>
      <c r="BF140" s="63"/>
      <c r="BG140" s="63"/>
      <c r="BK140" s="71" t="s">
        <v>384</v>
      </c>
      <c r="BL140" s="70">
        <v>199</v>
      </c>
      <c r="BM140" s="5">
        <v>15.2</v>
      </c>
      <c r="BN140" s="77">
        <v>15.3</v>
      </c>
      <c r="BO140" s="78">
        <f t="shared" si="145"/>
        <v>16.7</v>
      </c>
      <c r="BP140" s="79">
        <v>16.8</v>
      </c>
      <c r="BQ140" s="80">
        <v>28.3</v>
      </c>
      <c r="BR140" s="81">
        <f t="shared" si="146"/>
        <v>28.4</v>
      </c>
      <c r="BS140" s="82">
        <v>35</v>
      </c>
      <c r="BT140" s="83">
        <v>35.1</v>
      </c>
      <c r="BU140" s="41"/>
      <c r="BV140" s="87" t="s">
        <v>384</v>
      </c>
      <c r="BW140" s="86">
        <v>199</v>
      </c>
      <c r="BX140" s="5">
        <v>14.6</v>
      </c>
      <c r="BY140" s="88">
        <v>14.7</v>
      </c>
      <c r="BZ140" s="78">
        <f t="shared" si="147"/>
        <v>16.2</v>
      </c>
      <c r="CA140" s="89">
        <v>16.3</v>
      </c>
      <c r="CB140" s="90">
        <v>29.1</v>
      </c>
      <c r="CC140" s="92">
        <f t="shared" si="148"/>
        <v>29.2</v>
      </c>
      <c r="CD140" s="93">
        <v>36.200000000000003</v>
      </c>
      <c r="CE140" s="83" t="s">
        <v>381</v>
      </c>
      <c r="CF140" s="261"/>
      <c r="CG140" s="53"/>
      <c r="CH140" s="53"/>
      <c r="CI140" s="53"/>
      <c r="CJ140" s="53"/>
      <c r="CK140" s="53"/>
      <c r="CL140" s="53"/>
      <c r="CN140" s="53"/>
      <c r="CO140" s="53"/>
      <c r="CP140" s="53"/>
      <c r="CQ140" s="53"/>
      <c r="CR140" s="53"/>
      <c r="CS140" s="53"/>
      <c r="CT140" s="261"/>
      <c r="CU140" s="261"/>
      <c r="CV140" s="261"/>
      <c r="CW140" s="255"/>
      <c r="CX140" s="261"/>
      <c r="CY140" s="255"/>
      <c r="DV140" s="119" t="s">
        <v>331</v>
      </c>
      <c r="DW140" s="120">
        <v>165</v>
      </c>
      <c r="DX140" s="121">
        <v>138.5</v>
      </c>
      <c r="DY140" s="145">
        <v>138.6</v>
      </c>
      <c r="DZ140" s="146">
        <v>146.1</v>
      </c>
      <c r="EA140" s="149">
        <v>146.19999999999999</v>
      </c>
      <c r="EB140" s="150">
        <v>176.7</v>
      </c>
      <c r="EC140" s="148">
        <v>176.8</v>
      </c>
      <c r="EE140" s="143" t="s">
        <v>331</v>
      </c>
      <c r="EF140" s="144">
        <v>165</v>
      </c>
      <c r="EG140" s="170">
        <v>138.1</v>
      </c>
      <c r="EH140" s="174">
        <v>138.19999999999999</v>
      </c>
      <c r="EI140" s="175">
        <v>145.1</v>
      </c>
      <c r="EJ140" s="180">
        <v>145.19999999999999</v>
      </c>
      <c r="EK140" s="181">
        <v>173</v>
      </c>
      <c r="EL140" s="173">
        <v>173.1</v>
      </c>
    </row>
    <row r="141" spans="1:142" ht="11.15" customHeight="1">
      <c r="A141" s="216"/>
      <c r="B141" s="217"/>
      <c r="C141" s="218"/>
      <c r="D141" s="219"/>
      <c r="E141" s="217"/>
      <c r="F141" s="217"/>
      <c r="G141" s="217"/>
      <c r="H141" s="220"/>
      <c r="I141" s="217"/>
      <c r="J141" s="217"/>
      <c r="K141" s="217"/>
      <c r="L141" s="217"/>
      <c r="M141" s="217"/>
      <c r="N141" s="217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BA141" s="5"/>
      <c r="BB141" s="5"/>
      <c r="BC141" s="5"/>
      <c r="BD141" s="5"/>
      <c r="BE141" s="63"/>
      <c r="BF141" s="63"/>
      <c r="BG141" s="63"/>
      <c r="BK141" s="71" t="s">
        <v>385</v>
      </c>
      <c r="BL141" s="70">
        <v>200</v>
      </c>
      <c r="BM141" s="5">
        <v>15.2</v>
      </c>
      <c r="BN141" s="77">
        <v>15.3</v>
      </c>
      <c r="BO141" s="78">
        <f t="shared" si="145"/>
        <v>16.7</v>
      </c>
      <c r="BP141" s="79">
        <v>16.8</v>
      </c>
      <c r="BQ141" s="80">
        <v>28.4</v>
      </c>
      <c r="BR141" s="81">
        <f t="shared" si="146"/>
        <v>28.5</v>
      </c>
      <c r="BS141" s="82">
        <v>35.1</v>
      </c>
      <c r="BT141" s="83">
        <v>35.200000000000003</v>
      </c>
      <c r="BU141" s="41"/>
      <c r="BV141" s="87" t="s">
        <v>385</v>
      </c>
      <c r="BW141" s="86">
        <v>200</v>
      </c>
      <c r="BX141" s="5">
        <v>14.6</v>
      </c>
      <c r="BY141" s="88">
        <v>14.7</v>
      </c>
      <c r="BZ141" s="78">
        <f t="shared" si="147"/>
        <v>16.2</v>
      </c>
      <c r="CA141" s="89">
        <v>16.3</v>
      </c>
      <c r="CB141" s="90">
        <v>29.2</v>
      </c>
      <c r="CC141" s="92">
        <f t="shared" si="148"/>
        <v>29.3</v>
      </c>
      <c r="CD141" s="93">
        <v>36.200000000000003</v>
      </c>
      <c r="CE141" s="83" t="s">
        <v>381</v>
      </c>
      <c r="CF141" s="261"/>
      <c r="CG141" s="53"/>
      <c r="CH141" s="53"/>
      <c r="CI141" s="53"/>
      <c r="CJ141" s="53"/>
      <c r="CK141" s="53"/>
      <c r="CL141" s="53"/>
      <c r="CN141" s="53"/>
      <c r="CO141" s="53"/>
      <c r="CP141" s="53"/>
      <c r="CQ141" s="53"/>
      <c r="CR141" s="53"/>
      <c r="CS141" s="53"/>
      <c r="CT141" s="261"/>
      <c r="CU141" s="261"/>
      <c r="CV141" s="261"/>
      <c r="CW141" s="261"/>
      <c r="CX141" s="261"/>
      <c r="CY141" s="255"/>
      <c r="DV141" s="119" t="s">
        <v>333</v>
      </c>
      <c r="DW141" s="120">
        <v>166</v>
      </c>
      <c r="DX141" s="121">
        <v>139</v>
      </c>
      <c r="DY141" s="145">
        <v>139.1</v>
      </c>
      <c r="DZ141" s="146">
        <v>146.6</v>
      </c>
      <c r="EA141" s="149">
        <v>146.69999999999999</v>
      </c>
      <c r="EB141" s="150">
        <v>177.4</v>
      </c>
      <c r="EC141" s="148">
        <v>177.5</v>
      </c>
      <c r="EE141" s="143" t="s">
        <v>333</v>
      </c>
      <c r="EF141" s="144">
        <v>166</v>
      </c>
      <c r="EG141" s="170">
        <v>138.4</v>
      </c>
      <c r="EH141" s="174">
        <v>138.5</v>
      </c>
      <c r="EI141" s="175">
        <v>145.30000000000001</v>
      </c>
      <c r="EJ141" s="180">
        <v>145.4</v>
      </c>
      <c r="EK141" s="181">
        <v>173.2</v>
      </c>
      <c r="EL141" s="173">
        <v>173.3</v>
      </c>
    </row>
    <row r="142" spans="1:142" ht="11.15" customHeight="1">
      <c r="A142" s="216"/>
      <c r="B142" s="217"/>
      <c r="C142" s="218"/>
      <c r="D142" s="219"/>
      <c r="E142" s="217"/>
      <c r="F142" s="217"/>
      <c r="G142" s="217"/>
      <c r="H142" s="220"/>
      <c r="I142" s="217"/>
      <c r="J142" s="217"/>
      <c r="K142" s="217"/>
      <c r="L142" s="217"/>
      <c r="M142" s="217"/>
      <c r="N142" s="217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BA142" s="5"/>
      <c r="BB142" s="5"/>
      <c r="BC142" s="5"/>
      <c r="BD142" s="5"/>
      <c r="BE142" s="63"/>
      <c r="BF142" s="63"/>
      <c r="BG142" s="63"/>
      <c r="BK142" s="71" t="s">
        <v>386</v>
      </c>
      <c r="BL142" s="70">
        <v>201</v>
      </c>
      <c r="BM142" s="5">
        <v>15.3</v>
      </c>
      <c r="BN142" s="77">
        <v>15.4</v>
      </c>
      <c r="BO142" s="78">
        <f t="shared" si="145"/>
        <v>16.7</v>
      </c>
      <c r="BP142" s="79">
        <v>16.8</v>
      </c>
      <c r="BQ142" s="80">
        <v>28.5</v>
      </c>
      <c r="BR142" s="81">
        <f t="shared" si="146"/>
        <v>28.6</v>
      </c>
      <c r="BS142" s="82">
        <v>35.1</v>
      </c>
      <c r="BT142" s="83">
        <v>35.200000000000003</v>
      </c>
      <c r="BU142" s="41"/>
      <c r="BV142" s="87" t="s">
        <v>386</v>
      </c>
      <c r="BW142" s="86">
        <v>201</v>
      </c>
      <c r="BX142" s="5">
        <v>14.6</v>
      </c>
      <c r="BY142" s="88">
        <v>14.7</v>
      </c>
      <c r="BZ142" s="78">
        <f t="shared" si="147"/>
        <v>16.2</v>
      </c>
      <c r="CA142" s="89">
        <v>16.3</v>
      </c>
      <c r="CB142" s="90">
        <v>29.2</v>
      </c>
      <c r="CC142" s="92">
        <f t="shared" si="148"/>
        <v>29.3</v>
      </c>
      <c r="CD142" s="93">
        <v>36.299999999999997</v>
      </c>
      <c r="CE142" s="83" t="s">
        <v>387</v>
      </c>
      <c r="CF142" s="261"/>
      <c r="CG142" s="53"/>
      <c r="CH142" s="53"/>
      <c r="CI142" s="53"/>
      <c r="CJ142" s="53"/>
      <c r="CK142" s="53"/>
      <c r="CL142" s="53"/>
      <c r="CN142" s="53"/>
      <c r="CO142" s="53"/>
      <c r="CP142" s="53"/>
      <c r="CQ142" s="53"/>
      <c r="CR142" s="53"/>
      <c r="CS142" s="53"/>
      <c r="CT142" s="261"/>
      <c r="CU142" s="261"/>
      <c r="CV142" s="255"/>
      <c r="CW142" s="255"/>
      <c r="CX142" s="261"/>
      <c r="CY142" s="255"/>
      <c r="DV142" s="119" t="s">
        <v>335</v>
      </c>
      <c r="DW142" s="120">
        <v>167</v>
      </c>
      <c r="DX142" s="121">
        <v>139.5</v>
      </c>
      <c r="DY142" s="145">
        <v>139.6</v>
      </c>
      <c r="DZ142" s="146">
        <v>147.19999999999999</v>
      </c>
      <c r="EA142" s="149">
        <v>147.30000000000001</v>
      </c>
      <c r="EB142" s="150">
        <v>178</v>
      </c>
      <c r="EC142" s="148">
        <v>178.1</v>
      </c>
      <c r="EE142" s="143" t="s">
        <v>335</v>
      </c>
      <c r="EF142" s="144">
        <v>167</v>
      </c>
      <c r="EG142" s="170">
        <v>138.6</v>
      </c>
      <c r="EH142" s="174">
        <v>138.69999999999999</v>
      </c>
      <c r="EI142" s="175">
        <v>145.6</v>
      </c>
      <c r="EJ142" s="180">
        <v>145.69999999999999</v>
      </c>
      <c r="EK142" s="181">
        <v>173.5</v>
      </c>
      <c r="EL142" s="173">
        <v>173.6</v>
      </c>
    </row>
    <row r="143" spans="1:142" ht="11.15" customHeight="1">
      <c r="A143" s="216"/>
      <c r="B143" s="217"/>
      <c r="C143" s="218"/>
      <c r="D143" s="219"/>
      <c r="E143" s="217"/>
      <c r="F143" s="217"/>
      <c r="G143" s="217"/>
      <c r="H143" s="220"/>
      <c r="I143" s="217"/>
      <c r="J143" s="217"/>
      <c r="K143" s="217"/>
      <c r="L143" s="217"/>
      <c r="M143" s="217"/>
      <c r="N143" s="217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BA143" s="5"/>
      <c r="BB143" s="5"/>
      <c r="BC143" s="5"/>
      <c r="BD143" s="5"/>
      <c r="BE143" s="63"/>
      <c r="BF143" s="63"/>
      <c r="BG143" s="63"/>
      <c r="BK143" s="71" t="s">
        <v>388</v>
      </c>
      <c r="BL143" s="70">
        <v>202</v>
      </c>
      <c r="BM143" s="5">
        <v>15.3</v>
      </c>
      <c r="BN143" s="77">
        <v>15.4</v>
      </c>
      <c r="BO143" s="78">
        <f t="shared" si="145"/>
        <v>16.8</v>
      </c>
      <c r="BP143" s="79">
        <v>16.899999999999999</v>
      </c>
      <c r="BQ143" s="80">
        <v>28.5</v>
      </c>
      <c r="BR143" s="81">
        <f t="shared" si="146"/>
        <v>28.6</v>
      </c>
      <c r="BS143" s="82">
        <v>35.1</v>
      </c>
      <c r="BT143" s="83">
        <v>35.200000000000003</v>
      </c>
      <c r="BU143" s="41"/>
      <c r="BV143" s="87" t="s">
        <v>388</v>
      </c>
      <c r="BW143" s="86">
        <v>202</v>
      </c>
      <c r="BX143" s="5">
        <v>14.6</v>
      </c>
      <c r="BY143" s="88">
        <v>14.7</v>
      </c>
      <c r="BZ143" s="78">
        <f t="shared" si="147"/>
        <v>16.2</v>
      </c>
      <c r="CA143" s="89">
        <v>16.3</v>
      </c>
      <c r="CB143" s="90">
        <v>29.2</v>
      </c>
      <c r="CC143" s="92">
        <f t="shared" si="148"/>
        <v>29.3</v>
      </c>
      <c r="CD143" s="93">
        <v>36.299999999999997</v>
      </c>
      <c r="CE143" s="83" t="s">
        <v>387</v>
      </c>
      <c r="CF143" s="261"/>
      <c r="CG143" s="53"/>
      <c r="CH143" s="53"/>
      <c r="CI143" s="53"/>
      <c r="CJ143" s="53"/>
      <c r="CK143" s="53"/>
      <c r="CL143" s="53"/>
      <c r="CN143" s="53"/>
      <c r="CO143" s="53"/>
      <c r="CP143" s="53"/>
      <c r="CQ143" s="53"/>
      <c r="CR143" s="53"/>
      <c r="CS143" s="53"/>
      <c r="CT143" s="261"/>
      <c r="CU143" s="261"/>
      <c r="CV143" s="261"/>
      <c r="CW143" s="261"/>
      <c r="CX143" s="261"/>
      <c r="CY143" s="255"/>
      <c r="DV143" s="119" t="s">
        <v>337</v>
      </c>
      <c r="DW143" s="120">
        <v>168</v>
      </c>
      <c r="DX143" s="121">
        <v>140</v>
      </c>
      <c r="DY143" s="145">
        <v>140.1</v>
      </c>
      <c r="DZ143" s="146">
        <v>147.69999999999999</v>
      </c>
      <c r="EA143" s="149">
        <v>147.80000000000001</v>
      </c>
      <c r="EB143" s="150">
        <v>178.6</v>
      </c>
      <c r="EC143" s="148">
        <v>178.7</v>
      </c>
      <c r="EE143" s="143" t="s">
        <v>337</v>
      </c>
      <c r="EF143" s="144">
        <v>168</v>
      </c>
      <c r="EG143" s="170">
        <v>138.9</v>
      </c>
      <c r="EH143" s="174">
        <v>139</v>
      </c>
      <c r="EI143" s="175">
        <v>145.80000000000001</v>
      </c>
      <c r="EJ143" s="180">
        <v>145.9</v>
      </c>
      <c r="EK143" s="181">
        <v>173.7</v>
      </c>
      <c r="EL143" s="173">
        <v>173.8</v>
      </c>
    </row>
    <row r="144" spans="1:142" ht="11.15" customHeight="1">
      <c r="A144" s="216"/>
      <c r="B144" s="217"/>
      <c r="C144" s="218"/>
      <c r="D144" s="219"/>
      <c r="E144" s="217"/>
      <c r="F144" s="217"/>
      <c r="G144" s="217"/>
      <c r="H144" s="220"/>
      <c r="I144" s="217"/>
      <c r="J144" s="217"/>
      <c r="K144" s="217"/>
      <c r="L144" s="217"/>
      <c r="M144" s="217"/>
      <c r="N144" s="217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BA144" s="5"/>
      <c r="BB144" s="5"/>
      <c r="BC144" s="5"/>
      <c r="BD144" s="5"/>
      <c r="BE144" s="63"/>
      <c r="BF144" s="63"/>
      <c r="BG144" s="63"/>
      <c r="BK144" s="71" t="s">
        <v>389</v>
      </c>
      <c r="BL144" s="70">
        <v>203</v>
      </c>
      <c r="BM144" s="5">
        <v>15.3</v>
      </c>
      <c r="BN144" s="77">
        <v>15.4</v>
      </c>
      <c r="BO144" s="78">
        <f t="shared" si="145"/>
        <v>16.8</v>
      </c>
      <c r="BP144" s="79">
        <v>16.899999999999999</v>
      </c>
      <c r="BQ144" s="80">
        <v>28.6</v>
      </c>
      <c r="BR144" s="81">
        <f t="shared" si="146"/>
        <v>28.7</v>
      </c>
      <c r="BS144" s="82">
        <v>35.200000000000003</v>
      </c>
      <c r="BT144" s="83">
        <v>35.299999999999997</v>
      </c>
      <c r="BU144" s="41"/>
      <c r="BV144" s="87" t="s">
        <v>389</v>
      </c>
      <c r="BW144" s="86">
        <v>203</v>
      </c>
      <c r="BX144" s="5">
        <v>14.6</v>
      </c>
      <c r="BY144" s="88">
        <v>14.7</v>
      </c>
      <c r="BZ144" s="78">
        <f t="shared" si="147"/>
        <v>16.2</v>
      </c>
      <c r="CA144" s="89">
        <v>16.3</v>
      </c>
      <c r="CB144" s="90">
        <v>29.3</v>
      </c>
      <c r="CC144" s="92">
        <f t="shared" si="148"/>
        <v>29.4</v>
      </c>
      <c r="CD144" s="93">
        <v>36.299999999999997</v>
      </c>
      <c r="CE144" s="83" t="s">
        <v>387</v>
      </c>
      <c r="CF144" s="261"/>
      <c r="CG144" s="53"/>
      <c r="CH144" s="53"/>
      <c r="CI144" s="53"/>
      <c r="CJ144" s="53"/>
      <c r="CK144" s="53"/>
      <c r="CL144" s="53"/>
      <c r="CN144" s="53"/>
      <c r="CO144" s="53"/>
      <c r="CP144" s="53"/>
      <c r="CQ144" s="53"/>
      <c r="CR144" s="53"/>
      <c r="CS144" s="53"/>
      <c r="CT144" s="261"/>
      <c r="CU144" s="261"/>
      <c r="CV144" s="255"/>
      <c r="CW144" s="255"/>
      <c r="CX144" s="255"/>
      <c r="CY144" s="255"/>
      <c r="DV144" s="119" t="s">
        <v>339</v>
      </c>
      <c r="DW144" s="120">
        <v>169</v>
      </c>
      <c r="DX144" s="121">
        <v>140.5</v>
      </c>
      <c r="DY144" s="145">
        <v>140.6</v>
      </c>
      <c r="DZ144" s="146">
        <v>148.19999999999999</v>
      </c>
      <c r="EA144" s="149">
        <v>148.30000000000001</v>
      </c>
      <c r="EB144" s="150">
        <v>179.1</v>
      </c>
      <c r="EC144" s="148">
        <v>179.2</v>
      </c>
      <c r="EE144" s="143" t="s">
        <v>339</v>
      </c>
      <c r="EF144" s="144">
        <v>169</v>
      </c>
      <c r="EG144" s="170">
        <v>139.1</v>
      </c>
      <c r="EH144" s="174">
        <v>139.19999999999999</v>
      </c>
      <c r="EI144" s="175">
        <v>146</v>
      </c>
      <c r="EJ144" s="180">
        <v>146.1</v>
      </c>
      <c r="EK144" s="181">
        <v>173.9</v>
      </c>
      <c r="EL144" s="173">
        <v>174</v>
      </c>
    </row>
    <row r="145" spans="1:142" ht="11.15" customHeight="1">
      <c r="A145" s="216"/>
      <c r="B145" s="217"/>
      <c r="C145" s="218"/>
      <c r="D145" s="219"/>
      <c r="E145" s="217"/>
      <c r="F145" s="217"/>
      <c r="G145" s="217"/>
      <c r="H145" s="220"/>
      <c r="I145" s="217"/>
      <c r="J145" s="217"/>
      <c r="K145" s="217"/>
      <c r="L145" s="217"/>
      <c r="M145" s="217"/>
      <c r="N145" s="217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BA145" s="5"/>
      <c r="BB145" s="5"/>
      <c r="BC145" s="5"/>
      <c r="BD145" s="5"/>
      <c r="BE145" s="63"/>
      <c r="BF145" s="63"/>
      <c r="BG145" s="63"/>
      <c r="BK145" s="71" t="s">
        <v>390</v>
      </c>
      <c r="BL145" s="70">
        <v>204</v>
      </c>
      <c r="BM145" s="5">
        <v>15.3</v>
      </c>
      <c r="BN145" s="77">
        <v>15.4</v>
      </c>
      <c r="BO145" s="78">
        <f t="shared" si="145"/>
        <v>16.8</v>
      </c>
      <c r="BP145" s="79">
        <v>16.899999999999999</v>
      </c>
      <c r="BQ145" s="80">
        <v>28.6</v>
      </c>
      <c r="BR145" s="81">
        <f t="shared" si="146"/>
        <v>28.7</v>
      </c>
      <c r="BS145" s="82">
        <v>35.200000000000003</v>
      </c>
      <c r="BT145" s="83">
        <v>35.299999999999997</v>
      </c>
      <c r="BU145" s="41"/>
      <c r="BV145" s="87" t="s">
        <v>390</v>
      </c>
      <c r="BW145" s="86">
        <v>204</v>
      </c>
      <c r="BX145" s="5">
        <v>14.6</v>
      </c>
      <c r="BY145" s="88">
        <v>14.7</v>
      </c>
      <c r="BZ145" s="78">
        <f t="shared" si="147"/>
        <v>16.3</v>
      </c>
      <c r="CA145" s="89">
        <v>16.399999999999999</v>
      </c>
      <c r="CB145" s="90">
        <v>29.3</v>
      </c>
      <c r="CC145" s="92">
        <f t="shared" si="148"/>
        <v>29.4</v>
      </c>
      <c r="CD145" s="93">
        <v>36.299999999999997</v>
      </c>
      <c r="CE145" s="83" t="s">
        <v>387</v>
      </c>
      <c r="CF145" s="261"/>
      <c r="CG145" s="53"/>
      <c r="CH145" s="53"/>
      <c r="CI145" s="53"/>
      <c r="CJ145" s="53"/>
      <c r="CK145" s="53"/>
      <c r="CL145" s="53"/>
      <c r="CN145" s="53"/>
      <c r="CO145" s="53"/>
      <c r="CP145" s="53"/>
      <c r="CQ145" s="53"/>
      <c r="CR145" s="53"/>
      <c r="CS145" s="53"/>
      <c r="CT145" s="261"/>
      <c r="CU145" s="261"/>
      <c r="CV145" s="261"/>
      <c r="CW145" s="255"/>
      <c r="CX145" s="261"/>
      <c r="CY145" s="255"/>
      <c r="DV145" s="119" t="s">
        <v>340</v>
      </c>
      <c r="DW145" s="120">
        <v>170</v>
      </c>
      <c r="DX145" s="121">
        <v>141</v>
      </c>
      <c r="DY145" s="145">
        <v>141.1</v>
      </c>
      <c r="DZ145" s="146">
        <v>148.69999999999999</v>
      </c>
      <c r="EA145" s="149">
        <v>148.80000000000001</v>
      </c>
      <c r="EB145" s="150">
        <v>179.7</v>
      </c>
      <c r="EC145" s="148">
        <v>179.8</v>
      </c>
      <c r="EE145" s="143" t="s">
        <v>340</v>
      </c>
      <c r="EF145" s="144">
        <v>170</v>
      </c>
      <c r="EG145" s="170">
        <v>139.30000000000001</v>
      </c>
      <c r="EH145" s="174">
        <v>139.4</v>
      </c>
      <c r="EI145" s="175">
        <v>146.19999999999999</v>
      </c>
      <c r="EJ145" s="180">
        <v>146.30000000000001</v>
      </c>
      <c r="EK145" s="181">
        <v>174.1</v>
      </c>
      <c r="EL145" s="173">
        <v>174.2</v>
      </c>
    </row>
    <row r="146" spans="1:142" ht="11.15" customHeight="1">
      <c r="A146" s="216"/>
      <c r="B146" s="217"/>
      <c r="C146" s="218"/>
      <c r="D146" s="219"/>
      <c r="E146" s="217"/>
      <c r="F146" s="217"/>
      <c r="G146" s="217"/>
      <c r="H146" s="220"/>
      <c r="I146" s="217"/>
      <c r="J146" s="217"/>
      <c r="K146" s="217"/>
      <c r="L146" s="217"/>
      <c r="M146" s="217"/>
      <c r="N146" s="217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BA146" s="5"/>
      <c r="BB146" s="5"/>
      <c r="BC146" s="5"/>
      <c r="BD146" s="5"/>
      <c r="BE146" s="63"/>
      <c r="BF146" s="63"/>
      <c r="BG146" s="63"/>
      <c r="BK146" s="71" t="s">
        <v>391</v>
      </c>
      <c r="BL146" s="70">
        <v>205</v>
      </c>
      <c r="BM146" s="5">
        <v>15.4</v>
      </c>
      <c r="BN146" s="77">
        <v>15.5</v>
      </c>
      <c r="BO146" s="78">
        <f t="shared" si="145"/>
        <v>16.899999999999999</v>
      </c>
      <c r="BP146" s="79">
        <v>17</v>
      </c>
      <c r="BQ146" s="80">
        <v>28.7</v>
      </c>
      <c r="BR146" s="81">
        <f t="shared" si="146"/>
        <v>28.8</v>
      </c>
      <c r="BS146" s="82">
        <v>35.200000000000003</v>
      </c>
      <c r="BT146" s="83">
        <v>35.299999999999997</v>
      </c>
      <c r="BU146" s="41"/>
      <c r="BV146" s="87" t="s">
        <v>391</v>
      </c>
      <c r="BW146" s="86">
        <v>205</v>
      </c>
      <c r="BX146" s="5">
        <v>14.6</v>
      </c>
      <c r="BY146" s="88">
        <v>14.7</v>
      </c>
      <c r="BZ146" s="78">
        <f t="shared" si="147"/>
        <v>16.3</v>
      </c>
      <c r="CA146" s="89">
        <v>16.399999999999999</v>
      </c>
      <c r="CB146" s="90">
        <v>29.3</v>
      </c>
      <c r="CC146" s="92">
        <f t="shared" si="148"/>
        <v>29.4</v>
      </c>
      <c r="CD146" s="93">
        <v>36.299999999999997</v>
      </c>
      <c r="CE146" s="83" t="s">
        <v>387</v>
      </c>
      <c r="CF146" s="261"/>
      <c r="CG146" s="53"/>
      <c r="CH146" s="53"/>
      <c r="CI146" s="53"/>
      <c r="CJ146" s="53"/>
      <c r="CK146" s="53"/>
      <c r="CL146" s="53"/>
      <c r="CN146" s="53"/>
      <c r="CO146" s="53"/>
      <c r="CP146" s="53"/>
      <c r="CQ146" s="53"/>
      <c r="CR146" s="53"/>
      <c r="CS146" s="53"/>
      <c r="CT146" s="261"/>
      <c r="CU146" s="261"/>
      <c r="CV146" s="255"/>
      <c r="CW146" s="255"/>
      <c r="CX146" s="261"/>
      <c r="CY146" s="255"/>
      <c r="DV146" s="119" t="s">
        <v>342</v>
      </c>
      <c r="DW146" s="120">
        <v>171</v>
      </c>
      <c r="DX146" s="121">
        <v>141.5</v>
      </c>
      <c r="DY146" s="145">
        <v>141.6</v>
      </c>
      <c r="DZ146" s="146">
        <v>149.19999999999999</v>
      </c>
      <c r="EA146" s="149">
        <v>149.30000000000001</v>
      </c>
      <c r="EB146" s="150">
        <v>180.3</v>
      </c>
      <c r="EC146" s="148">
        <v>180.4</v>
      </c>
      <c r="EE146" s="143" t="s">
        <v>342</v>
      </c>
      <c r="EF146" s="144">
        <v>171</v>
      </c>
      <c r="EG146" s="170">
        <v>139.5</v>
      </c>
      <c r="EH146" s="174">
        <v>139.6</v>
      </c>
      <c r="EI146" s="175">
        <v>146.4</v>
      </c>
      <c r="EJ146" s="180">
        <v>146.5</v>
      </c>
      <c r="EK146" s="181">
        <v>174.2</v>
      </c>
      <c r="EL146" s="173">
        <v>174.3</v>
      </c>
    </row>
    <row r="147" spans="1:142" ht="11.15" customHeight="1">
      <c r="A147" s="216"/>
      <c r="B147" s="217"/>
      <c r="C147" s="218"/>
      <c r="D147" s="219"/>
      <c r="E147" s="217"/>
      <c r="F147" s="217"/>
      <c r="G147" s="217"/>
      <c r="H147" s="220"/>
      <c r="I147" s="217"/>
      <c r="J147" s="217"/>
      <c r="K147" s="217"/>
      <c r="L147" s="217"/>
      <c r="M147" s="217"/>
      <c r="N147" s="217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BA147" s="5"/>
      <c r="BB147" s="5"/>
      <c r="BC147" s="5"/>
      <c r="BD147" s="5"/>
      <c r="BE147" s="63"/>
      <c r="BF147" s="63"/>
      <c r="BG147" s="63"/>
      <c r="BK147" s="71" t="s">
        <v>392</v>
      </c>
      <c r="BL147" s="70">
        <v>206</v>
      </c>
      <c r="BM147" s="5">
        <v>15.4</v>
      </c>
      <c r="BN147" s="77">
        <v>15.5</v>
      </c>
      <c r="BO147" s="78">
        <f t="shared" si="145"/>
        <v>16.899999999999999</v>
      </c>
      <c r="BP147" s="79">
        <v>17</v>
      </c>
      <c r="BQ147" s="80">
        <v>28.7</v>
      </c>
      <c r="BR147" s="81">
        <f t="shared" si="146"/>
        <v>28.8</v>
      </c>
      <c r="BS147" s="82">
        <v>35.200000000000003</v>
      </c>
      <c r="BT147" s="83">
        <v>35.299999999999997</v>
      </c>
      <c r="BU147" s="41"/>
      <c r="BV147" s="87" t="s">
        <v>392</v>
      </c>
      <c r="BW147" s="86">
        <v>206</v>
      </c>
      <c r="BX147" s="5">
        <v>14.6</v>
      </c>
      <c r="BY147" s="88">
        <v>14.7</v>
      </c>
      <c r="BZ147" s="78">
        <f t="shared" si="147"/>
        <v>16.3</v>
      </c>
      <c r="CA147" s="89">
        <v>16.399999999999999</v>
      </c>
      <c r="CB147" s="90">
        <v>29.3</v>
      </c>
      <c r="CC147" s="92">
        <f t="shared" si="148"/>
        <v>29.4</v>
      </c>
      <c r="CD147" s="93">
        <v>36.299999999999997</v>
      </c>
      <c r="CE147" s="83" t="s">
        <v>387</v>
      </c>
      <c r="CF147" s="261"/>
      <c r="CG147" s="53"/>
      <c r="CH147" s="53"/>
      <c r="CI147" s="53"/>
      <c r="CJ147" s="53"/>
      <c r="CK147" s="53"/>
      <c r="CL147" s="53"/>
      <c r="CN147" s="53"/>
      <c r="CO147" s="53"/>
      <c r="CP147" s="53"/>
      <c r="CQ147" s="53"/>
      <c r="CR147" s="53"/>
      <c r="CS147" s="53"/>
      <c r="CT147" s="261"/>
      <c r="CU147" s="261"/>
      <c r="CV147" s="261"/>
      <c r="CW147" s="261"/>
      <c r="CX147" s="261"/>
      <c r="CY147" s="255"/>
      <c r="DV147" s="119" t="s">
        <v>344</v>
      </c>
      <c r="DW147" s="120">
        <v>172</v>
      </c>
      <c r="DX147" s="121">
        <v>142</v>
      </c>
      <c r="DY147" s="145">
        <v>142.1</v>
      </c>
      <c r="DZ147" s="146">
        <v>149.69999999999999</v>
      </c>
      <c r="EA147" s="149">
        <v>149.80000000000001</v>
      </c>
      <c r="EB147" s="150">
        <v>180.8</v>
      </c>
      <c r="EC147" s="148">
        <v>180.9</v>
      </c>
      <c r="EE147" s="143" t="s">
        <v>344</v>
      </c>
      <c r="EF147" s="144">
        <v>172</v>
      </c>
      <c r="EG147" s="170">
        <v>139.69999999999999</v>
      </c>
      <c r="EH147" s="174">
        <v>139.80000000000001</v>
      </c>
      <c r="EI147" s="175">
        <v>146.6</v>
      </c>
      <c r="EJ147" s="180">
        <v>146.69999999999999</v>
      </c>
      <c r="EK147" s="181">
        <v>174.4</v>
      </c>
      <c r="EL147" s="173">
        <v>174.5</v>
      </c>
    </row>
    <row r="148" spans="1:142" ht="11.15" customHeight="1">
      <c r="A148" s="216"/>
      <c r="B148" s="217"/>
      <c r="C148" s="218"/>
      <c r="D148" s="219"/>
      <c r="E148" s="217"/>
      <c r="F148" s="217"/>
      <c r="G148" s="217"/>
      <c r="H148" s="220"/>
      <c r="I148" s="217"/>
      <c r="J148" s="217"/>
      <c r="K148" s="217"/>
      <c r="L148" s="217"/>
      <c r="M148" s="217"/>
      <c r="N148" s="217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BA148" s="5"/>
      <c r="BB148" s="5"/>
      <c r="BC148" s="5"/>
      <c r="BD148" s="5"/>
      <c r="BE148" s="63"/>
      <c r="BF148" s="63"/>
      <c r="BG148" s="63"/>
      <c r="BK148" s="71" t="s">
        <v>393</v>
      </c>
      <c r="BL148" s="70">
        <v>207</v>
      </c>
      <c r="BM148" s="5">
        <v>15.4</v>
      </c>
      <c r="BN148" s="77">
        <v>15.5</v>
      </c>
      <c r="BO148" s="78">
        <f t="shared" si="145"/>
        <v>16.899999999999999</v>
      </c>
      <c r="BP148" s="79">
        <v>17</v>
      </c>
      <c r="BQ148" s="80">
        <v>28.8</v>
      </c>
      <c r="BR148" s="81">
        <f t="shared" si="146"/>
        <v>28.9</v>
      </c>
      <c r="BS148" s="82">
        <v>35.299999999999997</v>
      </c>
      <c r="BT148" s="83">
        <v>35.4</v>
      </c>
      <c r="BU148" s="41"/>
      <c r="BV148" s="87" t="s">
        <v>393</v>
      </c>
      <c r="BW148" s="86">
        <v>207</v>
      </c>
      <c r="BX148" s="5">
        <v>14.6</v>
      </c>
      <c r="BY148" s="88">
        <v>14.7</v>
      </c>
      <c r="BZ148" s="78">
        <f t="shared" si="147"/>
        <v>16.3</v>
      </c>
      <c r="CA148" s="89">
        <v>16.399999999999999</v>
      </c>
      <c r="CB148" s="90">
        <v>29.4</v>
      </c>
      <c r="CC148" s="92">
        <f t="shared" si="148"/>
        <v>29.5</v>
      </c>
      <c r="CD148" s="93">
        <v>36.299999999999997</v>
      </c>
      <c r="CE148" s="83" t="s">
        <v>387</v>
      </c>
      <c r="CF148" s="261"/>
      <c r="CG148" s="53"/>
      <c r="CH148" s="53"/>
      <c r="CI148" s="53"/>
      <c r="CJ148" s="53"/>
      <c r="CK148" s="53"/>
      <c r="CL148" s="53"/>
      <c r="CN148" s="53"/>
      <c r="CO148" s="53"/>
      <c r="CP148" s="53"/>
      <c r="CQ148" s="53"/>
      <c r="CR148" s="53"/>
      <c r="CS148" s="53"/>
      <c r="CT148" s="261"/>
      <c r="CU148" s="261"/>
      <c r="CV148" s="255"/>
      <c r="CW148" s="255"/>
      <c r="CX148" s="261"/>
      <c r="CY148" s="255"/>
      <c r="DV148" s="119" t="s">
        <v>346</v>
      </c>
      <c r="DW148" s="120">
        <v>173</v>
      </c>
      <c r="DX148" s="121">
        <v>142.4</v>
      </c>
      <c r="DY148" s="145">
        <v>142.5</v>
      </c>
      <c r="DZ148" s="146">
        <v>150.19999999999999</v>
      </c>
      <c r="EA148" s="149">
        <v>150.30000000000001</v>
      </c>
      <c r="EB148" s="150">
        <v>181.3</v>
      </c>
      <c r="EC148" s="148">
        <v>181.4</v>
      </c>
      <c r="EE148" s="143" t="s">
        <v>346</v>
      </c>
      <c r="EF148" s="144">
        <v>173</v>
      </c>
      <c r="EG148" s="170">
        <v>139.9</v>
      </c>
      <c r="EH148" s="174">
        <v>140</v>
      </c>
      <c r="EI148" s="175">
        <v>146.80000000000001</v>
      </c>
      <c r="EJ148" s="180">
        <v>146.9</v>
      </c>
      <c r="EK148" s="181">
        <v>174.6</v>
      </c>
      <c r="EL148" s="173">
        <v>174.7</v>
      </c>
    </row>
    <row r="149" spans="1:142" ht="11.15" customHeight="1">
      <c r="A149" s="216"/>
      <c r="B149" s="217"/>
      <c r="C149" s="218"/>
      <c r="D149" s="219"/>
      <c r="E149" s="217"/>
      <c r="F149" s="217"/>
      <c r="G149" s="217"/>
      <c r="H149" s="220"/>
      <c r="I149" s="217"/>
      <c r="J149" s="217"/>
      <c r="K149" s="217"/>
      <c r="L149" s="217"/>
      <c r="M149" s="217"/>
      <c r="N149" s="217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BA149" s="5"/>
      <c r="BB149" s="5"/>
      <c r="BC149" s="5"/>
      <c r="BD149" s="5"/>
      <c r="BE149" s="63"/>
      <c r="BF149" s="63"/>
      <c r="BG149" s="63"/>
      <c r="BK149" s="71" t="s">
        <v>394</v>
      </c>
      <c r="BL149" s="70">
        <v>208</v>
      </c>
      <c r="BM149" s="5">
        <v>15.4</v>
      </c>
      <c r="BN149" s="77">
        <v>15.5</v>
      </c>
      <c r="BO149" s="78">
        <f t="shared" si="145"/>
        <v>17</v>
      </c>
      <c r="BP149" s="79">
        <v>17.100000000000001</v>
      </c>
      <c r="BQ149" s="80">
        <v>28.9</v>
      </c>
      <c r="BR149" s="81">
        <f t="shared" si="146"/>
        <v>29</v>
      </c>
      <c r="BS149" s="82">
        <v>35.299999999999997</v>
      </c>
      <c r="BT149" s="83">
        <v>35.4</v>
      </c>
      <c r="BU149" s="41"/>
      <c r="BV149" s="87" t="s">
        <v>394</v>
      </c>
      <c r="BW149" s="86">
        <v>208</v>
      </c>
      <c r="BX149" s="5">
        <v>14.6</v>
      </c>
      <c r="BY149" s="88">
        <v>14.7</v>
      </c>
      <c r="BZ149" s="78">
        <f t="shared" si="147"/>
        <v>16.3</v>
      </c>
      <c r="CA149" s="89">
        <v>16.399999999999999</v>
      </c>
      <c r="CB149" s="90">
        <v>29.4</v>
      </c>
      <c r="CC149" s="92">
        <f t="shared" si="148"/>
        <v>29.5</v>
      </c>
      <c r="CD149" s="93">
        <v>36.299999999999997</v>
      </c>
      <c r="CE149" s="83" t="s">
        <v>387</v>
      </c>
      <c r="CF149" s="255"/>
      <c r="CG149" s="53"/>
      <c r="CH149" s="53"/>
      <c r="CI149" s="53"/>
      <c r="CJ149" s="53"/>
      <c r="CK149" s="53"/>
      <c r="CL149" s="53"/>
      <c r="CN149" s="53"/>
      <c r="CO149" s="53"/>
      <c r="CP149" s="53"/>
      <c r="CQ149" s="53"/>
      <c r="CR149" s="53"/>
      <c r="CS149" s="53"/>
      <c r="CT149" s="261"/>
      <c r="CU149" s="255"/>
      <c r="CV149" s="261"/>
      <c r="CW149" s="261"/>
      <c r="CX149" s="261"/>
      <c r="CY149" s="255"/>
      <c r="DV149" s="119" t="s">
        <v>348</v>
      </c>
      <c r="DW149" s="120">
        <v>174</v>
      </c>
      <c r="DX149" s="121">
        <v>142.9</v>
      </c>
      <c r="DY149" s="145">
        <v>143</v>
      </c>
      <c r="DZ149" s="146">
        <v>150.69999999999999</v>
      </c>
      <c r="EA149" s="149">
        <v>150.80000000000001</v>
      </c>
      <c r="EB149" s="150">
        <v>181.8</v>
      </c>
      <c r="EC149" s="148">
        <v>181.9</v>
      </c>
      <c r="EE149" s="143" t="s">
        <v>348</v>
      </c>
      <c r="EF149" s="144">
        <v>174</v>
      </c>
      <c r="EG149" s="170">
        <v>140</v>
      </c>
      <c r="EH149" s="174">
        <v>140.1</v>
      </c>
      <c r="EI149" s="175">
        <v>147</v>
      </c>
      <c r="EJ149" s="180">
        <v>147.1</v>
      </c>
      <c r="EK149" s="181">
        <v>174.7</v>
      </c>
      <c r="EL149" s="173">
        <v>174.8</v>
      </c>
    </row>
    <row r="150" spans="1:142" ht="11.15" customHeight="1">
      <c r="A150" s="216"/>
      <c r="B150" s="217"/>
      <c r="C150" s="218"/>
      <c r="D150" s="219"/>
      <c r="E150" s="217"/>
      <c r="F150" s="217"/>
      <c r="G150" s="217"/>
      <c r="H150" s="220"/>
      <c r="I150" s="217"/>
      <c r="J150" s="217"/>
      <c r="K150" s="217"/>
      <c r="L150" s="217"/>
      <c r="M150" s="217"/>
      <c r="N150" s="217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BA150" s="5"/>
      <c r="BB150" s="5"/>
      <c r="BC150" s="5"/>
      <c r="BD150" s="5"/>
      <c r="BE150" s="63"/>
      <c r="BF150" s="63"/>
      <c r="BG150" s="63"/>
      <c r="BK150" s="71" t="s">
        <v>395</v>
      </c>
      <c r="BL150" s="70">
        <v>209</v>
      </c>
      <c r="BM150" s="5">
        <v>15.5</v>
      </c>
      <c r="BN150" s="77">
        <v>15.6</v>
      </c>
      <c r="BO150" s="78">
        <f t="shared" ref="BO150:BO169" si="149">BP150-0.1</f>
        <v>17</v>
      </c>
      <c r="BP150" s="79">
        <v>17.100000000000001</v>
      </c>
      <c r="BQ150" s="80">
        <v>28.9</v>
      </c>
      <c r="BR150" s="81">
        <f t="shared" ref="BR150:BR170" si="150">BQ150+0.1</f>
        <v>29</v>
      </c>
      <c r="BS150" s="82">
        <v>35.299999999999997</v>
      </c>
      <c r="BT150" s="83">
        <v>35.4</v>
      </c>
      <c r="BU150" s="41"/>
      <c r="BV150" s="87" t="s">
        <v>395</v>
      </c>
      <c r="BW150" s="86">
        <v>209</v>
      </c>
      <c r="BX150" s="5">
        <v>14.6</v>
      </c>
      <c r="BY150" s="88">
        <v>14.7</v>
      </c>
      <c r="BZ150" s="78">
        <f t="shared" ref="BZ150:BZ169" si="151">CA150-0.1</f>
        <v>16.3</v>
      </c>
      <c r="CA150" s="89">
        <v>16.399999999999999</v>
      </c>
      <c r="CB150" s="90">
        <v>29.4</v>
      </c>
      <c r="CC150" s="92">
        <f t="shared" ref="CC150:CC169" si="152">CB150+0.1</f>
        <v>29.5</v>
      </c>
      <c r="CD150" s="93">
        <v>36.299999999999997</v>
      </c>
      <c r="CE150" s="83" t="s">
        <v>387</v>
      </c>
      <c r="CF150" s="255"/>
      <c r="CG150" s="53"/>
      <c r="CH150" s="53"/>
      <c r="CI150" s="53"/>
      <c r="CJ150" s="53"/>
      <c r="CK150" s="53"/>
      <c r="CL150" s="53"/>
      <c r="CN150" s="53"/>
      <c r="CO150" s="53"/>
      <c r="CP150" s="53"/>
      <c r="CQ150" s="53"/>
      <c r="CR150" s="53"/>
      <c r="CS150" s="53"/>
      <c r="CT150" s="261"/>
      <c r="CU150" s="255"/>
      <c r="CV150" s="255"/>
      <c r="CW150" s="255"/>
      <c r="CX150" s="261"/>
      <c r="CY150" s="255"/>
      <c r="DV150" s="119" t="s">
        <v>349</v>
      </c>
      <c r="DW150" s="120">
        <v>175</v>
      </c>
      <c r="DX150" s="121">
        <v>143.30000000000001</v>
      </c>
      <c r="DY150" s="145">
        <v>143.4</v>
      </c>
      <c r="DZ150" s="146">
        <v>151.1</v>
      </c>
      <c r="EA150" s="149">
        <v>151.19999999999999</v>
      </c>
      <c r="EB150" s="150">
        <v>182.3</v>
      </c>
      <c r="EC150" s="148">
        <v>182.4</v>
      </c>
      <c r="EE150" s="143" t="s">
        <v>349</v>
      </c>
      <c r="EF150" s="144">
        <v>175</v>
      </c>
      <c r="EG150" s="170">
        <v>140.19999999999999</v>
      </c>
      <c r="EH150" s="174">
        <v>140.30000000000001</v>
      </c>
      <c r="EI150" s="175">
        <v>147.1</v>
      </c>
      <c r="EJ150" s="180">
        <v>147.19999999999999</v>
      </c>
      <c r="EK150" s="181">
        <v>174.9</v>
      </c>
      <c r="EL150" s="173">
        <v>175</v>
      </c>
    </row>
    <row r="151" spans="1:142" ht="11.15" customHeight="1">
      <c r="A151" s="216"/>
      <c r="B151" s="217"/>
      <c r="C151" s="218"/>
      <c r="D151" s="219"/>
      <c r="E151" s="217"/>
      <c r="F151" s="217"/>
      <c r="G151" s="217"/>
      <c r="H151" s="220"/>
      <c r="I151" s="217"/>
      <c r="J151" s="217"/>
      <c r="K151" s="217"/>
      <c r="L151" s="217"/>
      <c r="M151" s="217"/>
      <c r="N151" s="217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BA151" s="5"/>
      <c r="BB151" s="5"/>
      <c r="BC151" s="5"/>
      <c r="BD151" s="5"/>
      <c r="BE151" s="63"/>
      <c r="BF151" s="63"/>
      <c r="BG151" s="63"/>
      <c r="BK151" s="71" t="s">
        <v>396</v>
      </c>
      <c r="BL151" s="70">
        <v>210</v>
      </c>
      <c r="BM151" s="5">
        <v>15.5</v>
      </c>
      <c r="BN151" s="77">
        <v>15.6</v>
      </c>
      <c r="BO151" s="78">
        <f t="shared" si="149"/>
        <v>17</v>
      </c>
      <c r="BP151" s="79">
        <v>17.100000000000001</v>
      </c>
      <c r="BQ151" s="80">
        <v>29</v>
      </c>
      <c r="BR151" s="81">
        <f t="shared" si="150"/>
        <v>29.1</v>
      </c>
      <c r="BS151" s="82">
        <v>35.299999999999997</v>
      </c>
      <c r="BT151" s="83">
        <v>35.4</v>
      </c>
      <c r="BU151" s="41"/>
      <c r="BV151" s="87" t="s">
        <v>396</v>
      </c>
      <c r="BW151" s="86">
        <v>210</v>
      </c>
      <c r="BX151" s="5">
        <v>14.6</v>
      </c>
      <c r="BY151" s="88">
        <v>14.7</v>
      </c>
      <c r="BZ151" s="78">
        <f t="shared" si="151"/>
        <v>16.3</v>
      </c>
      <c r="CA151" s="89">
        <v>16.399999999999999</v>
      </c>
      <c r="CB151" s="90">
        <v>29.4</v>
      </c>
      <c r="CC151" s="92">
        <f t="shared" si="152"/>
        <v>29.5</v>
      </c>
      <c r="CD151" s="93">
        <v>36.299999999999997</v>
      </c>
      <c r="CE151" s="83" t="s">
        <v>387</v>
      </c>
      <c r="CF151" s="261"/>
      <c r="CG151" s="53"/>
      <c r="CH151" s="53"/>
      <c r="CI151" s="53"/>
      <c r="CJ151" s="53"/>
      <c r="CK151" s="53"/>
      <c r="CL151" s="53"/>
      <c r="CN151" s="53"/>
      <c r="CO151" s="53"/>
      <c r="CP151" s="53"/>
      <c r="CQ151" s="53"/>
      <c r="CR151" s="53"/>
      <c r="CS151" s="53"/>
      <c r="CT151" s="255"/>
      <c r="CU151" s="261"/>
      <c r="CV151" s="261"/>
      <c r="CW151" s="261"/>
      <c r="CX151" s="261"/>
      <c r="CY151" s="255"/>
      <c r="DV151" s="119" t="s">
        <v>351</v>
      </c>
      <c r="DW151" s="120">
        <v>176</v>
      </c>
      <c r="DX151" s="121">
        <v>143.80000000000001</v>
      </c>
      <c r="DY151" s="145">
        <v>143.9</v>
      </c>
      <c r="DZ151" s="146">
        <v>151.6</v>
      </c>
      <c r="EA151" s="149">
        <v>151.69999999999999</v>
      </c>
      <c r="EB151" s="150">
        <v>182.8</v>
      </c>
      <c r="EC151" s="148">
        <v>182.9</v>
      </c>
      <c r="EE151" s="143" t="s">
        <v>351</v>
      </c>
      <c r="EF151" s="144">
        <v>176</v>
      </c>
      <c r="EG151" s="170">
        <v>140.4</v>
      </c>
      <c r="EH151" s="174">
        <v>140.5</v>
      </c>
      <c r="EI151" s="175">
        <v>147.30000000000001</v>
      </c>
      <c r="EJ151" s="180">
        <v>147.4</v>
      </c>
      <c r="EK151" s="181">
        <v>175</v>
      </c>
      <c r="EL151" s="173">
        <v>175.1</v>
      </c>
    </row>
    <row r="152" spans="1:142" ht="11.15" customHeight="1">
      <c r="A152" s="216"/>
      <c r="B152" s="217"/>
      <c r="C152" s="218"/>
      <c r="D152" s="219"/>
      <c r="E152" s="217"/>
      <c r="F152" s="217"/>
      <c r="G152" s="217"/>
      <c r="H152" s="220"/>
      <c r="I152" s="217"/>
      <c r="J152" s="217"/>
      <c r="K152" s="217"/>
      <c r="L152" s="217"/>
      <c r="M152" s="217"/>
      <c r="N152" s="217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BA152" s="5"/>
      <c r="BB152" s="5"/>
      <c r="BC152" s="5"/>
      <c r="BD152" s="5"/>
      <c r="BE152" s="63"/>
      <c r="BF152" s="63"/>
      <c r="BG152" s="63"/>
      <c r="BK152" s="71" t="s">
        <v>397</v>
      </c>
      <c r="BL152" s="70">
        <v>211</v>
      </c>
      <c r="BM152" s="5">
        <v>15.5</v>
      </c>
      <c r="BN152" s="77">
        <v>15.6</v>
      </c>
      <c r="BO152" s="78">
        <f t="shared" si="149"/>
        <v>17</v>
      </c>
      <c r="BP152" s="79">
        <v>17.100000000000001</v>
      </c>
      <c r="BQ152" s="80">
        <v>29</v>
      </c>
      <c r="BR152" s="81">
        <f t="shared" si="150"/>
        <v>29.1</v>
      </c>
      <c r="BS152" s="82">
        <v>35.4</v>
      </c>
      <c r="BT152" s="83">
        <v>35.5</v>
      </c>
      <c r="BU152" s="41"/>
      <c r="BV152" s="87" t="s">
        <v>397</v>
      </c>
      <c r="BW152" s="86">
        <v>211</v>
      </c>
      <c r="BX152" s="5">
        <v>14.6</v>
      </c>
      <c r="BY152" s="77">
        <v>14.7</v>
      </c>
      <c r="BZ152" s="78">
        <f t="shared" si="151"/>
        <v>16.3</v>
      </c>
      <c r="CA152" s="79">
        <v>16.399999999999999</v>
      </c>
      <c r="CB152" s="80">
        <v>29.4</v>
      </c>
      <c r="CC152" s="92">
        <f t="shared" si="152"/>
        <v>29.5</v>
      </c>
      <c r="CD152" s="82">
        <v>36.299999999999997</v>
      </c>
      <c r="CE152" s="83" t="s">
        <v>387</v>
      </c>
      <c r="CF152" s="261"/>
      <c r="CG152" s="53"/>
      <c r="CH152" s="53"/>
      <c r="CI152" s="53"/>
      <c r="CJ152" s="53"/>
      <c r="CK152" s="53"/>
      <c r="CL152" s="53"/>
      <c r="CN152" s="53"/>
      <c r="CO152" s="53"/>
      <c r="CP152" s="53"/>
      <c r="CQ152" s="53"/>
      <c r="CR152" s="53"/>
      <c r="CS152" s="53"/>
      <c r="CT152" s="255"/>
      <c r="CU152" s="261"/>
      <c r="CV152" s="255"/>
      <c r="CW152" s="255"/>
      <c r="CX152" s="261"/>
      <c r="CY152" s="255"/>
      <c r="DV152" s="119" t="s">
        <v>353</v>
      </c>
      <c r="DW152" s="120">
        <v>177</v>
      </c>
      <c r="DX152" s="121">
        <v>144.19999999999999</v>
      </c>
      <c r="DY152" s="145">
        <v>144.30000000000001</v>
      </c>
      <c r="DZ152" s="146">
        <v>152</v>
      </c>
      <c r="EA152" s="149">
        <v>152.1</v>
      </c>
      <c r="EB152" s="150">
        <v>183.3</v>
      </c>
      <c r="EC152" s="148">
        <v>183.4</v>
      </c>
      <c r="EE152" s="143" t="s">
        <v>353</v>
      </c>
      <c r="EF152" s="144">
        <v>177</v>
      </c>
      <c r="EG152" s="170">
        <v>140.5</v>
      </c>
      <c r="EH152" s="174">
        <v>140.6</v>
      </c>
      <c r="EI152" s="175">
        <v>147.4</v>
      </c>
      <c r="EJ152" s="180">
        <v>147.5</v>
      </c>
      <c r="EK152" s="181">
        <v>175.1</v>
      </c>
      <c r="EL152" s="173">
        <v>175.2</v>
      </c>
    </row>
    <row r="153" spans="1:142" ht="11.15" customHeight="1">
      <c r="A153" s="216"/>
      <c r="B153" s="217"/>
      <c r="C153" s="218"/>
      <c r="D153" s="219"/>
      <c r="E153" s="217"/>
      <c r="F153" s="217"/>
      <c r="G153" s="217"/>
      <c r="H153" s="220"/>
      <c r="I153" s="217"/>
      <c r="J153" s="217"/>
      <c r="K153" s="217"/>
      <c r="L153" s="217"/>
      <c r="M153" s="217"/>
      <c r="N153" s="217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BA153" s="5"/>
      <c r="BB153" s="5"/>
      <c r="BC153" s="5"/>
      <c r="BD153" s="5"/>
      <c r="BE153" s="63"/>
      <c r="BF153" s="63"/>
      <c r="BG153" s="63"/>
      <c r="BK153" s="71" t="s">
        <v>398</v>
      </c>
      <c r="BL153" s="70">
        <v>212</v>
      </c>
      <c r="BM153" s="5">
        <v>15.5</v>
      </c>
      <c r="BN153" s="77">
        <v>15.6</v>
      </c>
      <c r="BO153" s="78">
        <f t="shared" si="149"/>
        <v>17.100000000000001</v>
      </c>
      <c r="BP153" s="79">
        <v>17.2</v>
      </c>
      <c r="BQ153" s="80">
        <v>29.1</v>
      </c>
      <c r="BR153" s="81">
        <f t="shared" si="150"/>
        <v>29.2</v>
      </c>
      <c r="BS153" s="82">
        <v>35.4</v>
      </c>
      <c r="BT153" s="83">
        <v>35.5</v>
      </c>
      <c r="BU153" s="41"/>
      <c r="BV153" s="87" t="s">
        <v>398</v>
      </c>
      <c r="BW153" s="86">
        <v>212</v>
      </c>
      <c r="BX153" s="5">
        <v>14.6</v>
      </c>
      <c r="BY153" s="77">
        <v>14.7</v>
      </c>
      <c r="BZ153" s="78">
        <f t="shared" si="151"/>
        <v>16.3</v>
      </c>
      <c r="CA153" s="79">
        <v>16.399999999999999</v>
      </c>
      <c r="CB153" s="80">
        <v>29.5</v>
      </c>
      <c r="CC153" s="92">
        <f t="shared" si="152"/>
        <v>29.6</v>
      </c>
      <c r="CD153" s="82">
        <v>36.299999999999997</v>
      </c>
      <c r="CE153" s="83" t="s">
        <v>387</v>
      </c>
      <c r="CF153" s="261"/>
      <c r="CG153" s="53"/>
      <c r="CH153" s="53"/>
      <c r="CI153" s="53"/>
      <c r="CJ153" s="53"/>
      <c r="CK153" s="53"/>
      <c r="CL153" s="53"/>
      <c r="CN153" s="53"/>
      <c r="CO153" s="53"/>
      <c r="CP153" s="53"/>
      <c r="CQ153" s="53"/>
      <c r="CR153" s="53"/>
      <c r="CS153" s="53"/>
      <c r="CT153" s="261"/>
      <c r="CU153" s="261"/>
      <c r="CV153" s="261"/>
      <c r="CW153" s="261"/>
      <c r="CX153" s="255"/>
      <c r="CY153" s="255"/>
      <c r="DV153" s="119" t="s">
        <v>355</v>
      </c>
      <c r="DW153" s="120">
        <v>178</v>
      </c>
      <c r="DX153" s="121">
        <v>144.6</v>
      </c>
      <c r="DY153" s="145">
        <v>144.69999999999999</v>
      </c>
      <c r="DZ153" s="146">
        <v>152.4</v>
      </c>
      <c r="EA153" s="149">
        <v>152.5</v>
      </c>
      <c r="EB153" s="150">
        <v>183.7</v>
      </c>
      <c r="EC153" s="148">
        <v>183.8</v>
      </c>
      <c r="EE153" s="143" t="s">
        <v>355</v>
      </c>
      <c r="EF153" s="144">
        <v>178</v>
      </c>
      <c r="EG153" s="170">
        <v>140.69999999999999</v>
      </c>
      <c r="EH153" s="174">
        <v>140.80000000000001</v>
      </c>
      <c r="EI153" s="175">
        <v>147.6</v>
      </c>
      <c r="EJ153" s="180">
        <v>147.69999999999999</v>
      </c>
      <c r="EK153" s="181">
        <v>175.2</v>
      </c>
      <c r="EL153" s="173">
        <v>175.3</v>
      </c>
    </row>
    <row r="154" spans="1:142" ht="11.15" customHeight="1">
      <c r="A154" s="216"/>
      <c r="B154" s="217"/>
      <c r="C154" s="218"/>
      <c r="D154" s="219"/>
      <c r="E154" s="217"/>
      <c r="F154" s="217"/>
      <c r="G154" s="217"/>
      <c r="H154" s="220"/>
      <c r="I154" s="217"/>
      <c r="J154" s="217"/>
      <c r="K154" s="217"/>
      <c r="L154" s="217"/>
      <c r="M154" s="217"/>
      <c r="N154" s="217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BA154" s="5"/>
      <c r="BB154" s="5"/>
      <c r="BC154" s="5"/>
      <c r="BD154" s="5"/>
      <c r="BE154" s="63"/>
      <c r="BF154" s="63"/>
      <c r="BG154" s="63"/>
      <c r="BK154" s="71" t="s">
        <v>399</v>
      </c>
      <c r="BL154" s="70">
        <v>213</v>
      </c>
      <c r="BM154" s="5">
        <v>15.5</v>
      </c>
      <c r="BN154" s="77">
        <v>15.6</v>
      </c>
      <c r="BO154" s="78">
        <f t="shared" si="149"/>
        <v>17.100000000000001</v>
      </c>
      <c r="BP154" s="79">
        <v>17.2</v>
      </c>
      <c r="BQ154" s="80">
        <v>29.1</v>
      </c>
      <c r="BR154" s="81">
        <f t="shared" si="150"/>
        <v>29.2</v>
      </c>
      <c r="BS154" s="82">
        <v>35.4</v>
      </c>
      <c r="BT154" s="83">
        <v>35.5</v>
      </c>
      <c r="BU154" s="41"/>
      <c r="BV154" s="87" t="s">
        <v>399</v>
      </c>
      <c r="BW154" s="86">
        <v>213</v>
      </c>
      <c r="BX154" s="5">
        <v>14.6</v>
      </c>
      <c r="BY154" s="77">
        <v>14.7</v>
      </c>
      <c r="BZ154" s="78">
        <f t="shared" si="151"/>
        <v>16.3</v>
      </c>
      <c r="CA154" s="79">
        <v>16.399999999999999</v>
      </c>
      <c r="CB154" s="80">
        <v>29.5</v>
      </c>
      <c r="CC154" s="92">
        <f t="shared" si="152"/>
        <v>29.6</v>
      </c>
      <c r="CD154" s="82">
        <v>36.299999999999997</v>
      </c>
      <c r="CE154" s="83" t="s">
        <v>387</v>
      </c>
      <c r="CF154" s="261"/>
      <c r="CG154" s="53"/>
      <c r="CH154" s="53"/>
      <c r="CI154" s="53"/>
      <c r="CJ154" s="53"/>
      <c r="CK154" s="53"/>
      <c r="CL154" s="53"/>
      <c r="CN154" s="53"/>
      <c r="CO154" s="53"/>
      <c r="CP154" s="53"/>
      <c r="CQ154" s="53"/>
      <c r="CR154" s="53"/>
      <c r="CS154" s="53"/>
      <c r="CT154" s="261"/>
      <c r="CU154" s="261"/>
      <c r="CV154" s="255"/>
      <c r="CW154" s="255"/>
      <c r="CX154" s="261"/>
      <c r="CY154" s="255"/>
      <c r="DV154" s="119" t="s">
        <v>356</v>
      </c>
      <c r="DW154" s="120">
        <v>179</v>
      </c>
      <c r="DX154" s="121">
        <v>145</v>
      </c>
      <c r="DY154" s="145">
        <v>145.1</v>
      </c>
      <c r="DZ154" s="146">
        <v>152.80000000000001</v>
      </c>
      <c r="EA154" s="149">
        <v>152.9</v>
      </c>
      <c r="EB154" s="150">
        <v>184.1</v>
      </c>
      <c r="EC154" s="148">
        <v>184.2</v>
      </c>
      <c r="EE154" s="143" t="s">
        <v>356</v>
      </c>
      <c r="EF154" s="144">
        <v>179</v>
      </c>
      <c r="EG154" s="170">
        <v>140.80000000000001</v>
      </c>
      <c r="EH154" s="174">
        <v>140.9</v>
      </c>
      <c r="EI154" s="175">
        <v>147.69999999999999</v>
      </c>
      <c r="EJ154" s="180">
        <v>147.80000000000001</v>
      </c>
      <c r="EK154" s="181">
        <v>175.3</v>
      </c>
      <c r="EL154" s="173">
        <v>175.4</v>
      </c>
    </row>
    <row r="155" spans="1:142" ht="11.15" customHeight="1">
      <c r="A155" s="216"/>
      <c r="B155" s="217"/>
      <c r="C155" s="218"/>
      <c r="D155" s="219"/>
      <c r="E155" s="217"/>
      <c r="F155" s="217"/>
      <c r="G155" s="217"/>
      <c r="H155" s="220"/>
      <c r="I155" s="217"/>
      <c r="J155" s="217"/>
      <c r="K155" s="217"/>
      <c r="L155" s="217"/>
      <c r="M155" s="217"/>
      <c r="N155" s="217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BA155" s="5"/>
      <c r="BB155" s="5"/>
      <c r="BC155" s="5"/>
      <c r="BD155" s="5"/>
      <c r="BE155" s="63"/>
      <c r="BF155" s="63"/>
      <c r="BG155" s="63"/>
      <c r="BK155" s="71" t="s">
        <v>400</v>
      </c>
      <c r="BL155" s="70">
        <v>214</v>
      </c>
      <c r="BM155" s="5">
        <v>15.6</v>
      </c>
      <c r="BN155" s="77">
        <v>15.7</v>
      </c>
      <c r="BO155" s="78">
        <f t="shared" si="149"/>
        <v>17.100000000000001</v>
      </c>
      <c r="BP155" s="79">
        <v>17.2</v>
      </c>
      <c r="BQ155" s="80">
        <v>29.2</v>
      </c>
      <c r="BR155" s="81">
        <f t="shared" si="150"/>
        <v>29.3</v>
      </c>
      <c r="BS155" s="82">
        <v>35.4</v>
      </c>
      <c r="BT155" s="83">
        <v>35.5</v>
      </c>
      <c r="BU155" s="41"/>
      <c r="BV155" s="87" t="s">
        <v>400</v>
      </c>
      <c r="BW155" s="86">
        <v>214</v>
      </c>
      <c r="BX155" s="5">
        <v>14.6</v>
      </c>
      <c r="BY155" s="77">
        <v>14.7</v>
      </c>
      <c r="BZ155" s="78">
        <f t="shared" si="151"/>
        <v>16.3</v>
      </c>
      <c r="CA155" s="79">
        <v>16.399999999999999</v>
      </c>
      <c r="CB155" s="80">
        <v>29.5</v>
      </c>
      <c r="CC155" s="92">
        <f t="shared" si="152"/>
        <v>29.6</v>
      </c>
      <c r="CD155" s="82">
        <v>36.299999999999997</v>
      </c>
      <c r="CE155" s="83" t="s">
        <v>387</v>
      </c>
      <c r="CF155" s="261"/>
      <c r="CG155" s="53"/>
      <c r="CH155" s="53"/>
      <c r="CI155" s="53"/>
      <c r="CJ155" s="53"/>
      <c r="CK155" s="53"/>
      <c r="CL155" s="53"/>
      <c r="CN155" s="53"/>
      <c r="CO155" s="53"/>
      <c r="CP155" s="53"/>
      <c r="CQ155" s="53"/>
      <c r="CR155" s="53"/>
      <c r="CS155" s="53"/>
      <c r="CT155" s="261"/>
      <c r="CU155" s="261"/>
      <c r="CV155" s="261"/>
      <c r="CW155" s="255"/>
      <c r="CX155" s="261"/>
      <c r="CY155" s="255"/>
      <c r="DV155" s="119" t="s">
        <v>358</v>
      </c>
      <c r="DW155" s="120">
        <v>180</v>
      </c>
      <c r="DX155" s="121">
        <v>145.4</v>
      </c>
      <c r="DY155" s="145">
        <v>145.5</v>
      </c>
      <c r="DZ155" s="146">
        <v>153.30000000000001</v>
      </c>
      <c r="EA155" s="149">
        <v>153.4</v>
      </c>
      <c r="EB155" s="150">
        <v>184.6</v>
      </c>
      <c r="EC155" s="148">
        <v>184.7</v>
      </c>
      <c r="EE155" s="143" t="s">
        <v>358</v>
      </c>
      <c r="EF155" s="144">
        <v>180</v>
      </c>
      <c r="EG155" s="170">
        <v>140.9</v>
      </c>
      <c r="EH155" s="174">
        <v>141</v>
      </c>
      <c r="EI155" s="175">
        <v>147.80000000000001</v>
      </c>
      <c r="EJ155" s="180">
        <v>147.9</v>
      </c>
      <c r="EK155" s="181">
        <v>175.4</v>
      </c>
      <c r="EL155" s="173">
        <v>175.5</v>
      </c>
    </row>
    <row r="156" spans="1:142" ht="11.15" customHeight="1">
      <c r="A156" s="216"/>
      <c r="B156" s="217"/>
      <c r="C156" s="218"/>
      <c r="D156" s="219"/>
      <c r="E156" s="217"/>
      <c r="F156" s="217"/>
      <c r="G156" s="217"/>
      <c r="H156" s="220"/>
      <c r="I156" s="217"/>
      <c r="J156" s="217"/>
      <c r="K156" s="217"/>
      <c r="L156" s="217"/>
      <c r="M156" s="217"/>
      <c r="N156" s="217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BA156" s="5"/>
      <c r="BB156" s="5"/>
      <c r="BC156" s="5"/>
      <c r="BD156" s="5"/>
      <c r="BE156" s="63"/>
      <c r="BF156" s="63"/>
      <c r="BG156" s="63"/>
      <c r="BK156" s="71" t="s">
        <v>401</v>
      </c>
      <c r="BL156" s="70">
        <v>215</v>
      </c>
      <c r="BM156" s="5">
        <v>15.6</v>
      </c>
      <c r="BN156" s="77">
        <v>15.7</v>
      </c>
      <c r="BO156" s="78">
        <f t="shared" si="149"/>
        <v>17.2</v>
      </c>
      <c r="BP156" s="79">
        <v>17.3</v>
      </c>
      <c r="BQ156" s="80">
        <v>29.2</v>
      </c>
      <c r="BR156" s="81">
        <f t="shared" si="150"/>
        <v>29.3</v>
      </c>
      <c r="BS156" s="82">
        <v>35.4</v>
      </c>
      <c r="BT156" s="83">
        <v>35.5</v>
      </c>
      <c r="BU156" s="41"/>
      <c r="BV156" s="87" t="s">
        <v>401</v>
      </c>
      <c r="BW156" s="86">
        <v>215</v>
      </c>
      <c r="BX156" s="5">
        <v>14.6</v>
      </c>
      <c r="BY156" s="77">
        <v>14.7</v>
      </c>
      <c r="BZ156" s="78">
        <f t="shared" si="151"/>
        <v>16.3</v>
      </c>
      <c r="CA156" s="79">
        <v>16.399999999999999</v>
      </c>
      <c r="CB156" s="80">
        <v>29.5</v>
      </c>
      <c r="CC156" s="92">
        <f t="shared" si="152"/>
        <v>29.6</v>
      </c>
      <c r="CD156" s="82">
        <v>36.299999999999997</v>
      </c>
      <c r="CE156" s="83" t="s">
        <v>387</v>
      </c>
      <c r="CF156" s="261"/>
      <c r="CG156" s="53"/>
      <c r="CH156" s="53"/>
      <c r="CI156" s="53"/>
      <c r="CJ156" s="53"/>
      <c r="CK156" s="53"/>
      <c r="CL156" s="53"/>
      <c r="CN156" s="53"/>
      <c r="CO156" s="53"/>
      <c r="CP156" s="53"/>
      <c r="CQ156" s="53"/>
      <c r="CR156" s="53"/>
      <c r="CS156" s="53"/>
      <c r="CT156" s="261"/>
      <c r="CU156" s="261"/>
      <c r="CV156" s="255"/>
      <c r="CW156" s="255"/>
      <c r="CX156" s="261"/>
      <c r="CY156" s="255"/>
      <c r="DV156" s="119" t="s">
        <v>359</v>
      </c>
      <c r="DW156" s="120">
        <v>181</v>
      </c>
      <c r="DX156" s="121">
        <v>145.80000000000001</v>
      </c>
      <c r="DY156" s="145">
        <v>145.9</v>
      </c>
      <c r="DZ156" s="146">
        <v>153.6</v>
      </c>
      <c r="EA156" s="149">
        <v>153.69999999999999</v>
      </c>
      <c r="EB156" s="150">
        <v>185</v>
      </c>
      <c r="EC156" s="148">
        <v>185.1</v>
      </c>
      <c r="EE156" s="143" t="s">
        <v>359</v>
      </c>
      <c r="EF156" s="144">
        <v>181</v>
      </c>
      <c r="EG156" s="170">
        <v>141.1</v>
      </c>
      <c r="EH156" s="174">
        <v>141.19999999999999</v>
      </c>
      <c r="EI156" s="175">
        <v>147.9</v>
      </c>
      <c r="EJ156" s="180">
        <v>148</v>
      </c>
      <c r="EK156" s="181">
        <v>175.5</v>
      </c>
      <c r="EL156" s="173">
        <v>175.6</v>
      </c>
    </row>
    <row r="157" spans="1:142" ht="11.15" customHeight="1">
      <c r="A157" s="216"/>
      <c r="B157" s="217"/>
      <c r="C157" s="218"/>
      <c r="D157" s="219"/>
      <c r="E157" s="217"/>
      <c r="F157" s="217"/>
      <c r="G157" s="217"/>
      <c r="H157" s="220"/>
      <c r="I157" s="217"/>
      <c r="J157" s="217"/>
      <c r="K157" s="217"/>
      <c r="L157" s="217"/>
      <c r="M157" s="217"/>
      <c r="N157" s="217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BA157" s="5"/>
      <c r="BB157" s="5"/>
      <c r="BC157" s="5"/>
      <c r="BD157" s="5"/>
      <c r="BE157" s="63"/>
      <c r="BF157" s="63"/>
      <c r="BG157" s="63"/>
      <c r="BK157" s="71" t="s">
        <v>402</v>
      </c>
      <c r="BL157" s="70">
        <v>216</v>
      </c>
      <c r="BM157" s="5">
        <v>15.6</v>
      </c>
      <c r="BN157" s="77">
        <v>15.7</v>
      </c>
      <c r="BO157" s="78">
        <f t="shared" si="149"/>
        <v>17.2</v>
      </c>
      <c r="BP157" s="79">
        <v>17.3</v>
      </c>
      <c r="BQ157" s="80">
        <v>29.2</v>
      </c>
      <c r="BR157" s="81">
        <f t="shared" si="150"/>
        <v>29.3</v>
      </c>
      <c r="BS157" s="82">
        <v>35.4</v>
      </c>
      <c r="BT157" s="83">
        <v>35.5</v>
      </c>
      <c r="BU157" s="41"/>
      <c r="BV157" s="87" t="s">
        <v>402</v>
      </c>
      <c r="BW157" s="86">
        <v>216</v>
      </c>
      <c r="BX157" s="5">
        <v>14.6</v>
      </c>
      <c r="BY157" s="77">
        <v>14.7</v>
      </c>
      <c r="BZ157" s="78">
        <f t="shared" si="151"/>
        <v>16.3</v>
      </c>
      <c r="CA157" s="79">
        <v>16.399999999999999</v>
      </c>
      <c r="CB157" s="80">
        <v>29.5</v>
      </c>
      <c r="CC157" s="92">
        <f t="shared" si="152"/>
        <v>29.6</v>
      </c>
      <c r="CD157" s="82">
        <v>36.299999999999997</v>
      </c>
      <c r="CE157" s="83" t="s">
        <v>387</v>
      </c>
      <c r="CF157" s="261"/>
      <c r="CG157" s="53"/>
      <c r="CH157" s="53"/>
      <c r="CI157" s="53"/>
      <c r="CJ157" s="53"/>
      <c r="CK157" s="53"/>
      <c r="CL157" s="53"/>
      <c r="CN157" s="53"/>
      <c r="CO157" s="53"/>
      <c r="CP157" s="53"/>
      <c r="CQ157" s="53"/>
      <c r="CR157" s="53"/>
      <c r="CS157" s="53"/>
      <c r="CT157" s="261"/>
      <c r="CU157" s="261"/>
      <c r="CV157" s="261"/>
      <c r="CW157" s="261"/>
      <c r="CX157" s="261"/>
      <c r="CY157" s="255"/>
      <c r="DV157" s="119" t="s">
        <v>361</v>
      </c>
      <c r="DW157" s="120">
        <v>182</v>
      </c>
      <c r="DX157" s="121">
        <v>146.19999999999999</v>
      </c>
      <c r="DY157" s="145">
        <v>146.30000000000001</v>
      </c>
      <c r="DZ157" s="146">
        <v>154</v>
      </c>
      <c r="EA157" s="149">
        <v>154.1</v>
      </c>
      <c r="EB157" s="150">
        <v>185.4</v>
      </c>
      <c r="EC157" s="148">
        <v>185.5</v>
      </c>
      <c r="EE157" s="143" t="s">
        <v>361</v>
      </c>
      <c r="EF157" s="144">
        <v>182</v>
      </c>
      <c r="EG157" s="170">
        <v>141.19999999999999</v>
      </c>
      <c r="EH157" s="174">
        <v>141.30000000000001</v>
      </c>
      <c r="EI157" s="175">
        <v>148</v>
      </c>
      <c r="EJ157" s="180">
        <v>148.1</v>
      </c>
      <c r="EK157" s="181">
        <v>175.6</v>
      </c>
      <c r="EL157" s="173">
        <v>175.7</v>
      </c>
    </row>
    <row r="158" spans="1:142" ht="11.15" customHeight="1">
      <c r="A158" s="216"/>
      <c r="B158" s="217"/>
      <c r="C158" s="218"/>
      <c r="D158" s="219"/>
      <c r="E158" s="217"/>
      <c r="F158" s="217"/>
      <c r="G158" s="217"/>
      <c r="H158" s="220"/>
      <c r="I158" s="217"/>
      <c r="J158" s="217"/>
      <c r="K158" s="217"/>
      <c r="L158" s="217"/>
      <c r="M158" s="217"/>
      <c r="N158" s="217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BA158" s="5"/>
      <c r="BB158" s="5"/>
      <c r="BC158" s="5"/>
      <c r="BD158" s="5"/>
      <c r="BE158" s="63"/>
      <c r="BF158" s="63"/>
      <c r="BG158" s="63"/>
      <c r="BK158" s="71" t="s">
        <v>403</v>
      </c>
      <c r="BL158" s="70">
        <v>217</v>
      </c>
      <c r="BM158" s="5">
        <v>15.6</v>
      </c>
      <c r="BN158" s="77">
        <v>15.7</v>
      </c>
      <c r="BO158" s="78">
        <f t="shared" si="149"/>
        <v>17.2</v>
      </c>
      <c r="BP158" s="79">
        <v>17.3</v>
      </c>
      <c r="BQ158" s="80">
        <v>29.3</v>
      </c>
      <c r="BR158" s="81">
        <f t="shared" si="150"/>
        <v>29.4</v>
      </c>
      <c r="BS158" s="82">
        <v>35.4</v>
      </c>
      <c r="BT158" s="83">
        <v>35.5</v>
      </c>
      <c r="BU158" s="41"/>
      <c r="BV158" s="87" t="s">
        <v>403</v>
      </c>
      <c r="BW158" s="86">
        <v>217</v>
      </c>
      <c r="BX158" s="5">
        <v>14.6</v>
      </c>
      <c r="BY158" s="77">
        <v>14.7</v>
      </c>
      <c r="BZ158" s="78">
        <f t="shared" si="151"/>
        <v>16.399999999999999</v>
      </c>
      <c r="CA158" s="79">
        <v>16.5</v>
      </c>
      <c r="CB158" s="80">
        <v>29.5</v>
      </c>
      <c r="CC158" s="92">
        <f t="shared" si="152"/>
        <v>29.6</v>
      </c>
      <c r="CD158" s="82">
        <v>36.299999999999997</v>
      </c>
      <c r="CE158" s="83" t="s">
        <v>387</v>
      </c>
      <c r="CF158" s="261"/>
      <c r="CG158" s="53"/>
      <c r="CH158" s="53"/>
      <c r="CI158" s="53"/>
      <c r="CJ158" s="53"/>
      <c r="CK158" s="53"/>
      <c r="CL158" s="53"/>
      <c r="CN158" s="53"/>
      <c r="CO158" s="53"/>
      <c r="CP158" s="53"/>
      <c r="CQ158" s="53"/>
      <c r="CR158" s="53"/>
      <c r="CS158" s="53"/>
      <c r="CT158" s="261"/>
      <c r="CU158" s="261"/>
      <c r="CV158" s="261"/>
      <c r="CW158" s="261"/>
      <c r="CX158" s="261"/>
      <c r="CY158" s="255"/>
      <c r="DV158" s="119" t="s">
        <v>363</v>
      </c>
      <c r="DW158" s="120">
        <v>183</v>
      </c>
      <c r="DX158" s="121">
        <v>146.6</v>
      </c>
      <c r="DY158" s="145">
        <v>146.69999999999999</v>
      </c>
      <c r="DZ158" s="146">
        <v>154.4</v>
      </c>
      <c r="EA158" s="149">
        <v>154.5</v>
      </c>
      <c r="EB158" s="150">
        <v>185.7</v>
      </c>
      <c r="EC158" s="148">
        <v>185.8</v>
      </c>
      <c r="EE158" s="143" t="s">
        <v>363</v>
      </c>
      <c r="EF158" s="144">
        <v>183</v>
      </c>
      <c r="EG158" s="170">
        <v>141.30000000000001</v>
      </c>
      <c r="EH158" s="174">
        <v>141.4</v>
      </c>
      <c r="EI158" s="175">
        <v>148.1</v>
      </c>
      <c r="EJ158" s="180">
        <v>148.19999999999999</v>
      </c>
      <c r="EK158" s="181">
        <v>175.7</v>
      </c>
      <c r="EL158" s="173">
        <v>175.8</v>
      </c>
    </row>
    <row r="159" spans="1:142" ht="11.15" customHeight="1">
      <c r="A159" s="216"/>
      <c r="B159" s="217"/>
      <c r="C159" s="218"/>
      <c r="D159" s="219"/>
      <c r="E159" s="217"/>
      <c r="F159" s="217"/>
      <c r="G159" s="217"/>
      <c r="H159" s="220"/>
      <c r="I159" s="217"/>
      <c r="J159" s="217"/>
      <c r="K159" s="217"/>
      <c r="L159" s="217"/>
      <c r="M159" s="217"/>
      <c r="N159" s="217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BA159" s="5"/>
      <c r="BB159" s="5"/>
      <c r="BC159" s="5"/>
      <c r="BD159" s="5"/>
      <c r="BE159" s="63"/>
      <c r="BF159" s="63"/>
      <c r="BG159" s="63"/>
      <c r="BK159" s="71" t="s">
        <v>404</v>
      </c>
      <c r="BL159" s="70">
        <v>218</v>
      </c>
      <c r="BM159" s="5">
        <v>15.6</v>
      </c>
      <c r="BN159" s="77">
        <v>15.7</v>
      </c>
      <c r="BO159" s="78">
        <f t="shared" si="149"/>
        <v>17.2</v>
      </c>
      <c r="BP159" s="79">
        <v>17.3</v>
      </c>
      <c r="BQ159" s="80">
        <v>29.3</v>
      </c>
      <c r="BR159" s="81">
        <f t="shared" si="150"/>
        <v>29.4</v>
      </c>
      <c r="BS159" s="82">
        <v>35.5</v>
      </c>
      <c r="BT159" s="83">
        <v>35.6</v>
      </c>
      <c r="BU159" s="41"/>
      <c r="BV159" s="87" t="s">
        <v>404</v>
      </c>
      <c r="BW159" s="86">
        <v>218</v>
      </c>
      <c r="BX159" s="5">
        <v>14.6</v>
      </c>
      <c r="BY159" s="77">
        <v>14.7</v>
      </c>
      <c r="BZ159" s="78">
        <f t="shared" si="151"/>
        <v>16.399999999999999</v>
      </c>
      <c r="CA159" s="79">
        <v>16.5</v>
      </c>
      <c r="CB159" s="80">
        <v>29.6</v>
      </c>
      <c r="CC159" s="92">
        <f t="shared" si="152"/>
        <v>29.7</v>
      </c>
      <c r="CD159" s="82">
        <v>36.299999999999997</v>
      </c>
      <c r="CE159" s="83" t="s">
        <v>387</v>
      </c>
      <c r="CF159" s="261"/>
      <c r="CG159" s="53"/>
      <c r="CH159" s="53"/>
      <c r="CI159" s="53"/>
      <c r="CJ159" s="53"/>
      <c r="CK159" s="53"/>
      <c r="CL159" s="53"/>
      <c r="CN159" s="53"/>
      <c r="CO159" s="53"/>
      <c r="CP159" s="53"/>
      <c r="CQ159" s="53"/>
      <c r="CR159" s="53"/>
      <c r="CS159" s="53"/>
      <c r="CT159" s="261"/>
      <c r="CU159" s="261"/>
      <c r="CV159" s="261"/>
      <c r="CW159" s="261"/>
      <c r="CX159" s="261"/>
      <c r="CY159" s="255"/>
      <c r="DV159" s="119" t="s">
        <v>364</v>
      </c>
      <c r="DW159" s="120">
        <v>184</v>
      </c>
      <c r="DX159" s="121">
        <v>147</v>
      </c>
      <c r="DY159" s="145">
        <v>147.1</v>
      </c>
      <c r="DZ159" s="146">
        <v>154.80000000000001</v>
      </c>
      <c r="EA159" s="149">
        <v>154.9</v>
      </c>
      <c r="EB159" s="150">
        <v>186.1</v>
      </c>
      <c r="EC159" s="148">
        <v>186.2</v>
      </c>
      <c r="EE159" s="143" t="s">
        <v>364</v>
      </c>
      <c r="EF159" s="144">
        <v>184</v>
      </c>
      <c r="EG159" s="170">
        <v>141.4</v>
      </c>
      <c r="EH159" s="174">
        <v>141.5</v>
      </c>
      <c r="EI159" s="175">
        <v>148.19999999999999</v>
      </c>
      <c r="EJ159" s="180">
        <v>148.30000000000001</v>
      </c>
      <c r="EK159" s="181">
        <v>175.7</v>
      </c>
      <c r="EL159" s="173">
        <v>175.8</v>
      </c>
    </row>
    <row r="160" spans="1:142" ht="11.15" customHeight="1">
      <c r="A160" s="216"/>
      <c r="B160" s="217"/>
      <c r="C160" s="218"/>
      <c r="D160" s="219"/>
      <c r="E160" s="217"/>
      <c r="F160" s="217"/>
      <c r="G160" s="217"/>
      <c r="H160" s="220"/>
      <c r="I160" s="217"/>
      <c r="J160" s="217"/>
      <c r="K160" s="217"/>
      <c r="L160" s="217"/>
      <c r="M160" s="217"/>
      <c r="N160" s="217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BA160" s="5"/>
      <c r="BB160" s="5"/>
      <c r="BC160" s="5"/>
      <c r="BD160" s="5"/>
      <c r="BE160" s="63"/>
      <c r="BF160" s="63"/>
      <c r="BG160" s="63"/>
      <c r="BK160" s="71" t="s">
        <v>405</v>
      </c>
      <c r="BL160" s="70">
        <v>219</v>
      </c>
      <c r="BM160" s="5">
        <v>15.6</v>
      </c>
      <c r="BN160" s="77">
        <v>15.7</v>
      </c>
      <c r="BO160" s="78">
        <f t="shared" si="149"/>
        <v>17.3</v>
      </c>
      <c r="BP160" s="79">
        <v>17.399999999999999</v>
      </c>
      <c r="BQ160" s="80">
        <v>29.4</v>
      </c>
      <c r="BR160" s="81">
        <f t="shared" si="150"/>
        <v>29.5</v>
      </c>
      <c r="BS160" s="82">
        <v>35.5</v>
      </c>
      <c r="BT160" s="83">
        <v>35.6</v>
      </c>
      <c r="BU160" s="41"/>
      <c r="BV160" s="87" t="s">
        <v>405</v>
      </c>
      <c r="BW160" s="86">
        <v>219</v>
      </c>
      <c r="BX160" s="5">
        <v>14.6</v>
      </c>
      <c r="BY160" s="77">
        <v>14.7</v>
      </c>
      <c r="BZ160" s="78">
        <f t="shared" si="151"/>
        <v>16.399999999999999</v>
      </c>
      <c r="CA160" s="79">
        <v>16.5</v>
      </c>
      <c r="CB160" s="80">
        <v>29.6</v>
      </c>
      <c r="CC160" s="92">
        <f t="shared" si="152"/>
        <v>29.7</v>
      </c>
      <c r="CD160" s="82">
        <v>36.299999999999997</v>
      </c>
      <c r="CE160" s="83" t="s">
        <v>387</v>
      </c>
      <c r="CF160" s="261"/>
      <c r="CG160" s="53"/>
      <c r="CH160" s="53"/>
      <c r="CI160" s="53"/>
      <c r="CJ160" s="53"/>
      <c r="CK160" s="53"/>
      <c r="CL160" s="53"/>
      <c r="CN160" s="53"/>
      <c r="CO160" s="53"/>
      <c r="CP160" s="53"/>
      <c r="CQ160" s="53"/>
      <c r="CR160" s="53"/>
      <c r="CS160" s="53"/>
      <c r="CT160" s="261"/>
      <c r="CU160" s="261"/>
      <c r="CV160" s="261"/>
      <c r="CW160" s="261"/>
      <c r="CX160" s="261"/>
      <c r="CY160" s="255"/>
      <c r="DV160" s="119" t="s">
        <v>366</v>
      </c>
      <c r="DW160" s="120">
        <v>185</v>
      </c>
      <c r="DX160" s="121">
        <v>147.30000000000001</v>
      </c>
      <c r="DY160" s="145">
        <v>147.4</v>
      </c>
      <c r="DZ160" s="146">
        <v>155.1</v>
      </c>
      <c r="EA160" s="149">
        <v>155.19999999999999</v>
      </c>
      <c r="EB160" s="150">
        <v>186.4</v>
      </c>
      <c r="EC160" s="148">
        <v>186.5</v>
      </c>
      <c r="EE160" s="143" t="s">
        <v>366</v>
      </c>
      <c r="EF160" s="144">
        <v>185</v>
      </c>
      <c r="EG160" s="170">
        <v>141.5</v>
      </c>
      <c r="EH160" s="174">
        <v>141.6</v>
      </c>
      <c r="EI160" s="175">
        <v>148.30000000000001</v>
      </c>
      <c r="EJ160" s="180">
        <v>148.4</v>
      </c>
      <c r="EK160" s="181">
        <v>175.8</v>
      </c>
      <c r="EL160" s="173">
        <v>175.9</v>
      </c>
    </row>
    <row r="161" spans="1:142" ht="11.15" customHeight="1">
      <c r="A161" s="216"/>
      <c r="B161" s="217"/>
      <c r="C161" s="218"/>
      <c r="D161" s="219"/>
      <c r="E161" s="217"/>
      <c r="F161" s="217"/>
      <c r="G161" s="217"/>
      <c r="H161" s="220"/>
      <c r="I161" s="217"/>
      <c r="J161" s="217"/>
      <c r="K161" s="217"/>
      <c r="L161" s="217"/>
      <c r="M161" s="217"/>
      <c r="N161" s="217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BA161" s="5"/>
      <c r="BB161" s="5"/>
      <c r="BC161" s="5"/>
      <c r="BD161" s="5"/>
      <c r="BE161" s="63"/>
      <c r="BF161" s="63"/>
      <c r="BG161" s="63"/>
      <c r="BK161" s="71" t="s">
        <v>406</v>
      </c>
      <c r="BL161" s="70">
        <v>220</v>
      </c>
      <c r="BM161" s="5">
        <v>15.7</v>
      </c>
      <c r="BN161" s="77">
        <v>15.8</v>
      </c>
      <c r="BO161" s="78">
        <f t="shared" si="149"/>
        <v>17.3</v>
      </c>
      <c r="BP161" s="79">
        <v>17.399999999999999</v>
      </c>
      <c r="BQ161" s="80">
        <v>29.4</v>
      </c>
      <c r="BR161" s="81">
        <f t="shared" si="150"/>
        <v>29.5</v>
      </c>
      <c r="BS161" s="82">
        <v>35.5</v>
      </c>
      <c r="BT161" s="83">
        <v>35.6</v>
      </c>
      <c r="BU161" s="41"/>
      <c r="BV161" s="87" t="s">
        <v>406</v>
      </c>
      <c r="BW161" s="86">
        <v>220</v>
      </c>
      <c r="BX161" s="5">
        <v>14.6</v>
      </c>
      <c r="BY161" s="77">
        <v>14.7</v>
      </c>
      <c r="BZ161" s="78">
        <f t="shared" si="151"/>
        <v>16.399999999999999</v>
      </c>
      <c r="CA161" s="79">
        <v>16.5</v>
      </c>
      <c r="CB161" s="80">
        <v>29.6</v>
      </c>
      <c r="CC161" s="92">
        <f t="shared" si="152"/>
        <v>29.7</v>
      </c>
      <c r="CD161" s="82">
        <v>36.299999999999997</v>
      </c>
      <c r="CE161" s="83" t="s">
        <v>387</v>
      </c>
      <c r="CF161" s="261"/>
      <c r="CG161" s="53"/>
      <c r="CH161" s="53"/>
      <c r="CI161" s="53"/>
      <c r="CJ161" s="53"/>
      <c r="CK161" s="53"/>
      <c r="CL161" s="53"/>
      <c r="CN161" s="53"/>
      <c r="CO161" s="53"/>
      <c r="CP161" s="53"/>
      <c r="CQ161" s="53"/>
      <c r="CR161" s="53"/>
      <c r="CS161" s="53"/>
      <c r="CT161" s="261"/>
      <c r="CU161" s="261"/>
      <c r="CV161" s="261"/>
      <c r="CW161" s="261"/>
      <c r="CX161" s="261"/>
      <c r="CY161" s="255"/>
      <c r="DV161" s="119" t="s">
        <v>367</v>
      </c>
      <c r="DW161" s="120">
        <v>186</v>
      </c>
      <c r="DX161" s="121">
        <v>147.6</v>
      </c>
      <c r="DY161" s="145">
        <v>147.69999999999999</v>
      </c>
      <c r="DZ161" s="146">
        <v>155.4</v>
      </c>
      <c r="EA161" s="149">
        <v>155.5</v>
      </c>
      <c r="EB161" s="150">
        <v>186.8</v>
      </c>
      <c r="EC161" s="148">
        <v>186.9</v>
      </c>
      <c r="EE161" s="143" t="s">
        <v>367</v>
      </c>
      <c r="EF161" s="144">
        <v>186</v>
      </c>
      <c r="EG161" s="170">
        <v>141.6</v>
      </c>
      <c r="EH161" s="174">
        <v>141.69999999999999</v>
      </c>
      <c r="EI161" s="175">
        <v>148.4</v>
      </c>
      <c r="EJ161" s="180">
        <v>148.5</v>
      </c>
      <c r="EK161" s="181">
        <v>175.9</v>
      </c>
      <c r="EL161" s="173">
        <v>176</v>
      </c>
    </row>
    <row r="162" spans="1:142" ht="11.15" customHeight="1">
      <c r="A162" s="216"/>
      <c r="B162" s="217"/>
      <c r="C162" s="218"/>
      <c r="D162" s="219"/>
      <c r="E162" s="217"/>
      <c r="F162" s="217"/>
      <c r="G162" s="217"/>
      <c r="H162" s="220"/>
      <c r="I162" s="217"/>
      <c r="J162" s="217"/>
      <c r="K162" s="217"/>
      <c r="L162" s="217"/>
      <c r="M162" s="217"/>
      <c r="N162" s="217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BA162" s="5"/>
      <c r="BB162" s="5"/>
      <c r="BC162" s="5"/>
      <c r="BD162" s="5"/>
      <c r="BE162" s="63"/>
      <c r="BF162" s="63"/>
      <c r="BG162" s="63"/>
      <c r="BK162" s="71" t="s">
        <v>407</v>
      </c>
      <c r="BL162" s="70">
        <v>221</v>
      </c>
      <c r="BM162" s="5">
        <v>15.7</v>
      </c>
      <c r="BN162" s="77">
        <v>15.8</v>
      </c>
      <c r="BO162" s="78">
        <f t="shared" si="149"/>
        <v>17.3</v>
      </c>
      <c r="BP162" s="79">
        <v>17.399999999999999</v>
      </c>
      <c r="BQ162" s="80">
        <v>29.5</v>
      </c>
      <c r="BR162" s="81">
        <f t="shared" si="150"/>
        <v>29.6</v>
      </c>
      <c r="BS162" s="82">
        <v>35.5</v>
      </c>
      <c r="BT162" s="83">
        <v>35.6</v>
      </c>
      <c r="BU162" s="41"/>
      <c r="BV162" s="87" t="s">
        <v>407</v>
      </c>
      <c r="BW162" s="86">
        <v>221</v>
      </c>
      <c r="BX162" s="5">
        <v>14.6</v>
      </c>
      <c r="BY162" s="77">
        <v>14.7</v>
      </c>
      <c r="BZ162" s="78">
        <f t="shared" si="151"/>
        <v>16.399999999999999</v>
      </c>
      <c r="CA162" s="79">
        <v>16.5</v>
      </c>
      <c r="CB162" s="80">
        <v>29.6</v>
      </c>
      <c r="CC162" s="92">
        <f t="shared" si="152"/>
        <v>29.7</v>
      </c>
      <c r="CD162" s="82">
        <v>36.200000000000003</v>
      </c>
      <c r="CE162" s="83" t="s">
        <v>381</v>
      </c>
      <c r="CF162" s="261"/>
      <c r="CG162" s="53"/>
      <c r="CH162" s="53"/>
      <c r="CI162" s="53"/>
      <c r="CJ162" s="53"/>
      <c r="CK162" s="53"/>
      <c r="CL162" s="53"/>
      <c r="CN162" s="53"/>
      <c r="CO162" s="53"/>
      <c r="CP162" s="53"/>
      <c r="CQ162" s="53"/>
      <c r="CR162" s="53"/>
      <c r="CS162" s="53"/>
      <c r="CT162" s="261"/>
      <c r="CU162" s="261"/>
      <c r="CV162" s="261"/>
      <c r="CW162" s="261"/>
      <c r="CX162" s="261"/>
      <c r="CY162" s="255"/>
      <c r="DV162" s="119" t="s">
        <v>368</v>
      </c>
      <c r="DW162" s="120">
        <v>187</v>
      </c>
      <c r="DX162" s="121">
        <v>148</v>
      </c>
      <c r="DY162" s="145">
        <v>148.1</v>
      </c>
      <c r="DZ162" s="146">
        <v>155.80000000000001</v>
      </c>
      <c r="EA162" s="149">
        <v>155.9</v>
      </c>
      <c r="EB162" s="150">
        <v>187.1</v>
      </c>
      <c r="EC162" s="148">
        <v>187.2</v>
      </c>
      <c r="EE162" s="143" t="s">
        <v>368</v>
      </c>
      <c r="EF162" s="144">
        <v>187</v>
      </c>
      <c r="EG162" s="170">
        <v>141.69999999999999</v>
      </c>
      <c r="EH162" s="174">
        <v>141.80000000000001</v>
      </c>
      <c r="EI162" s="175">
        <v>148.5</v>
      </c>
      <c r="EJ162" s="180">
        <v>148.6</v>
      </c>
      <c r="EK162" s="181">
        <v>175.9</v>
      </c>
      <c r="EL162" s="173">
        <v>176</v>
      </c>
    </row>
    <row r="163" spans="1:142" ht="11.15" customHeight="1">
      <c r="A163" s="371"/>
      <c r="B163" s="371"/>
      <c r="C163" s="371"/>
      <c r="D163" s="269"/>
      <c r="L163" s="269"/>
      <c r="M163" s="269"/>
      <c r="N163" s="269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BK163" s="71" t="s">
        <v>408</v>
      </c>
      <c r="BL163" s="70">
        <v>222</v>
      </c>
      <c r="BM163" s="5">
        <v>15.7</v>
      </c>
      <c r="BN163" s="77">
        <v>15.8</v>
      </c>
      <c r="BO163" s="78">
        <f t="shared" si="149"/>
        <v>17.3</v>
      </c>
      <c r="BP163" s="79">
        <v>17.399999999999999</v>
      </c>
      <c r="BQ163" s="80">
        <v>29.5</v>
      </c>
      <c r="BR163" s="81">
        <f t="shared" si="150"/>
        <v>29.6</v>
      </c>
      <c r="BS163" s="82">
        <v>35.5</v>
      </c>
      <c r="BT163" s="83">
        <v>35.6</v>
      </c>
      <c r="BU163" s="41"/>
      <c r="BV163" s="87" t="s">
        <v>408</v>
      </c>
      <c r="BW163" s="86">
        <v>222</v>
      </c>
      <c r="BX163" s="5">
        <v>14.6</v>
      </c>
      <c r="BY163" s="77">
        <v>14.7</v>
      </c>
      <c r="BZ163" s="78">
        <f t="shared" si="151"/>
        <v>16.399999999999999</v>
      </c>
      <c r="CA163" s="79">
        <v>16.5</v>
      </c>
      <c r="CB163" s="80">
        <v>29.6</v>
      </c>
      <c r="CC163" s="92">
        <f t="shared" si="152"/>
        <v>29.7</v>
      </c>
      <c r="CD163" s="82">
        <v>36.200000000000003</v>
      </c>
      <c r="CE163" s="83" t="s">
        <v>381</v>
      </c>
      <c r="CF163" s="261"/>
      <c r="CG163" s="261"/>
      <c r="CH163" s="261"/>
      <c r="CI163" s="261"/>
      <c r="CJ163" s="261"/>
      <c r="CK163" s="261"/>
      <c r="CL163" s="255"/>
      <c r="CN163" s="256"/>
      <c r="CO163" s="256"/>
      <c r="CP163" s="261"/>
      <c r="CQ163" s="261"/>
      <c r="CR163" s="255"/>
      <c r="CS163" s="261"/>
      <c r="CT163" s="261"/>
      <c r="CU163" s="261"/>
      <c r="CV163" s="261"/>
      <c r="CW163" s="261"/>
      <c r="CX163" s="261"/>
      <c r="CY163" s="255"/>
      <c r="DV163" s="119" t="s">
        <v>370</v>
      </c>
      <c r="DW163" s="120">
        <v>188</v>
      </c>
      <c r="DX163" s="121">
        <v>148.30000000000001</v>
      </c>
      <c r="DY163" s="145">
        <v>148.4</v>
      </c>
      <c r="DZ163" s="146">
        <v>156.1</v>
      </c>
      <c r="EA163" s="149">
        <v>156.19999999999999</v>
      </c>
      <c r="EB163" s="150">
        <v>187.4</v>
      </c>
      <c r="EC163" s="148">
        <v>187.5</v>
      </c>
      <c r="EE163" s="143" t="s">
        <v>370</v>
      </c>
      <c r="EF163" s="144">
        <v>188</v>
      </c>
      <c r="EG163" s="170">
        <v>141.80000000000001</v>
      </c>
      <c r="EH163" s="174">
        <v>141.9</v>
      </c>
      <c r="EI163" s="175">
        <v>148.6</v>
      </c>
      <c r="EJ163" s="180">
        <v>148.69999999999999</v>
      </c>
      <c r="EK163" s="181">
        <v>176</v>
      </c>
      <c r="EL163" s="173">
        <v>176.1</v>
      </c>
    </row>
    <row r="164" spans="1:142" ht="11.15" customHeight="1">
      <c r="A164" s="270"/>
      <c r="C164" s="271"/>
      <c r="D164" s="372"/>
      <c r="E164" s="372"/>
      <c r="F164" s="272"/>
      <c r="G164" s="272"/>
      <c r="H164" s="273"/>
      <c r="L164" s="269"/>
      <c r="M164" s="269"/>
      <c r="N164" s="269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Q164" s="63"/>
      <c r="BK164" s="71" t="s">
        <v>409</v>
      </c>
      <c r="BL164" s="70">
        <v>223</v>
      </c>
      <c r="BM164" s="5">
        <v>15.7</v>
      </c>
      <c r="BN164" s="77">
        <v>15.8</v>
      </c>
      <c r="BO164" s="78">
        <f t="shared" si="149"/>
        <v>17.399999999999999</v>
      </c>
      <c r="BP164" s="79">
        <v>17.5</v>
      </c>
      <c r="BQ164" s="80">
        <v>29.5</v>
      </c>
      <c r="BR164" s="81">
        <f t="shared" si="150"/>
        <v>29.6</v>
      </c>
      <c r="BS164" s="82">
        <v>35.5</v>
      </c>
      <c r="BT164" s="83">
        <v>35.6</v>
      </c>
      <c r="BU164" s="41"/>
      <c r="BV164" s="87" t="s">
        <v>409</v>
      </c>
      <c r="BW164" s="86">
        <v>223</v>
      </c>
      <c r="BX164" s="5">
        <v>14.6</v>
      </c>
      <c r="BY164" s="77">
        <v>14.7</v>
      </c>
      <c r="BZ164" s="78">
        <f t="shared" si="151"/>
        <v>16.399999999999999</v>
      </c>
      <c r="CA164" s="79">
        <v>16.5</v>
      </c>
      <c r="CB164" s="80">
        <v>29.6</v>
      </c>
      <c r="CC164" s="92">
        <f t="shared" si="152"/>
        <v>29.7</v>
      </c>
      <c r="CD164" s="82">
        <v>36.200000000000003</v>
      </c>
      <c r="CE164" s="83" t="s">
        <v>381</v>
      </c>
      <c r="CF164" s="261"/>
      <c r="CG164" s="261"/>
      <c r="CH164" s="261"/>
      <c r="CI164" s="261"/>
      <c r="CJ164" s="261"/>
      <c r="CK164" s="255"/>
      <c r="CL164" s="255"/>
      <c r="CN164" s="256"/>
      <c r="CO164" s="256"/>
      <c r="CP164" s="261"/>
      <c r="CQ164" s="261"/>
      <c r="CR164" s="255"/>
      <c r="CS164" s="261"/>
      <c r="CT164" s="261"/>
      <c r="CU164" s="261"/>
      <c r="CV164" s="261"/>
      <c r="CW164" s="261"/>
      <c r="CX164" s="255"/>
      <c r="CY164" s="255"/>
      <c r="DV164" s="119" t="s">
        <v>371</v>
      </c>
      <c r="DW164" s="120">
        <v>189</v>
      </c>
      <c r="DX164" s="121">
        <v>148.6</v>
      </c>
      <c r="DY164" s="145">
        <v>148.69999999999999</v>
      </c>
      <c r="DZ164" s="146">
        <v>156.4</v>
      </c>
      <c r="EA164" s="149">
        <v>156.5</v>
      </c>
      <c r="EB164" s="150">
        <v>187.7</v>
      </c>
      <c r="EC164" s="148">
        <v>187.8</v>
      </c>
      <c r="EE164" s="143" t="s">
        <v>371</v>
      </c>
      <c r="EF164" s="144">
        <v>189</v>
      </c>
      <c r="EG164" s="170">
        <v>141.80000000000001</v>
      </c>
      <c r="EH164" s="174">
        <v>141.9</v>
      </c>
      <c r="EI164" s="175">
        <v>148.6</v>
      </c>
      <c r="EJ164" s="180">
        <v>148.69999999999999</v>
      </c>
      <c r="EK164" s="181">
        <v>176</v>
      </c>
      <c r="EL164" s="173">
        <v>176.1</v>
      </c>
    </row>
    <row r="165" spans="1:142" ht="11.15" customHeight="1">
      <c r="A165" s="270"/>
      <c r="D165" s="372"/>
      <c r="E165" s="372"/>
      <c r="F165" s="272"/>
      <c r="G165" s="272"/>
      <c r="H165" s="273"/>
      <c r="L165" s="269"/>
      <c r="M165" s="269"/>
      <c r="N165" s="269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Q165" s="63"/>
      <c r="BK165" s="71" t="s">
        <v>410</v>
      </c>
      <c r="BL165" s="70">
        <v>224</v>
      </c>
      <c r="BM165" s="5">
        <v>15.7</v>
      </c>
      <c r="BN165" s="77">
        <v>15.8</v>
      </c>
      <c r="BO165" s="78">
        <f t="shared" si="149"/>
        <v>17.399999999999999</v>
      </c>
      <c r="BP165" s="79">
        <v>17.5</v>
      </c>
      <c r="BQ165" s="80">
        <v>29.6</v>
      </c>
      <c r="BR165" s="81">
        <f t="shared" si="150"/>
        <v>29.7</v>
      </c>
      <c r="BS165" s="82">
        <v>35.5</v>
      </c>
      <c r="BT165" s="83">
        <v>35.6</v>
      </c>
      <c r="BU165" s="41"/>
      <c r="BV165" s="87" t="s">
        <v>410</v>
      </c>
      <c r="BW165" s="86">
        <v>224</v>
      </c>
      <c r="BX165" s="5">
        <v>14.6</v>
      </c>
      <c r="BY165" s="77">
        <v>14.7</v>
      </c>
      <c r="BZ165" s="78">
        <f t="shared" si="151"/>
        <v>16.399999999999999</v>
      </c>
      <c r="CA165" s="79">
        <v>16.5</v>
      </c>
      <c r="CB165" s="80">
        <v>29.6</v>
      </c>
      <c r="CC165" s="92">
        <f t="shared" si="152"/>
        <v>29.7</v>
      </c>
      <c r="CD165" s="82">
        <v>36.200000000000003</v>
      </c>
      <c r="CE165" s="83" t="s">
        <v>381</v>
      </c>
      <c r="CF165" s="261"/>
      <c r="CG165" s="261"/>
      <c r="CH165" s="261"/>
      <c r="CI165" s="261"/>
      <c r="CJ165" s="261"/>
      <c r="CK165" s="261"/>
      <c r="CL165" s="255"/>
      <c r="CN165" s="256"/>
      <c r="CO165" s="256"/>
      <c r="CP165" s="261"/>
      <c r="CQ165" s="261"/>
      <c r="CR165" s="255"/>
      <c r="CS165" s="261"/>
      <c r="CT165" s="261"/>
      <c r="CU165" s="261"/>
      <c r="CV165" s="261"/>
      <c r="CW165" s="261"/>
      <c r="CX165" s="261"/>
      <c r="CY165" s="255"/>
      <c r="DV165" s="119" t="s">
        <v>373</v>
      </c>
      <c r="DW165" s="120">
        <v>190</v>
      </c>
      <c r="DX165" s="121">
        <v>148.9</v>
      </c>
      <c r="DY165" s="145">
        <v>149</v>
      </c>
      <c r="DZ165" s="146">
        <v>156.69999999999999</v>
      </c>
      <c r="EA165" s="149">
        <v>156.80000000000001</v>
      </c>
      <c r="EB165" s="150">
        <v>187.9</v>
      </c>
      <c r="EC165" s="148">
        <v>188</v>
      </c>
      <c r="EE165" s="143" t="s">
        <v>373</v>
      </c>
      <c r="EF165" s="144">
        <v>190</v>
      </c>
      <c r="EG165" s="170">
        <v>141.9</v>
      </c>
      <c r="EH165" s="174">
        <v>142</v>
      </c>
      <c r="EI165" s="175">
        <v>148.69999999999999</v>
      </c>
      <c r="EJ165" s="180">
        <v>148.80000000000001</v>
      </c>
      <c r="EK165" s="181">
        <v>176</v>
      </c>
      <c r="EL165" s="173">
        <v>176.1</v>
      </c>
    </row>
    <row r="166" spans="1:142" ht="11.15" customHeight="1">
      <c r="C166" s="270"/>
      <c r="D166" s="274"/>
      <c r="E166" s="214"/>
      <c r="F166" s="272"/>
      <c r="G166" s="272"/>
      <c r="H166" s="272"/>
      <c r="I166" s="273"/>
      <c r="J166" s="273"/>
      <c r="K166" s="273"/>
      <c r="L166" s="275"/>
      <c r="M166" s="269"/>
      <c r="N166" s="269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BK166" s="71" t="s">
        <v>411</v>
      </c>
      <c r="BL166" s="70">
        <v>225</v>
      </c>
      <c r="BM166" s="5">
        <v>15.7</v>
      </c>
      <c r="BN166" s="77">
        <v>15.8</v>
      </c>
      <c r="BO166" s="78">
        <f t="shared" si="149"/>
        <v>17.399999999999999</v>
      </c>
      <c r="BP166" s="79">
        <v>17.5</v>
      </c>
      <c r="BQ166" s="80">
        <v>29.6</v>
      </c>
      <c r="BR166" s="81">
        <f t="shared" si="150"/>
        <v>29.7</v>
      </c>
      <c r="BS166" s="82">
        <v>35.5</v>
      </c>
      <c r="BT166" s="83">
        <v>35.6</v>
      </c>
      <c r="BU166" s="41"/>
      <c r="BV166" s="87" t="s">
        <v>411</v>
      </c>
      <c r="BW166" s="86">
        <v>225</v>
      </c>
      <c r="BX166" s="5">
        <v>14.6</v>
      </c>
      <c r="BY166" s="77">
        <v>14.7</v>
      </c>
      <c r="BZ166" s="78">
        <f t="shared" si="151"/>
        <v>16.399999999999999</v>
      </c>
      <c r="CA166" s="79">
        <v>16.5</v>
      </c>
      <c r="CB166" s="80">
        <v>29.6</v>
      </c>
      <c r="CC166" s="92">
        <f t="shared" si="152"/>
        <v>29.7</v>
      </c>
      <c r="CD166" s="82">
        <v>36.200000000000003</v>
      </c>
      <c r="CE166" s="83" t="s">
        <v>381</v>
      </c>
      <c r="CF166" s="261"/>
      <c r="CG166" s="261"/>
      <c r="CH166" s="261"/>
      <c r="CI166" s="261"/>
      <c r="CJ166" s="261"/>
      <c r="CK166" s="261"/>
      <c r="CL166" s="255"/>
      <c r="CN166" s="256"/>
      <c r="CO166" s="256"/>
      <c r="CP166" s="261"/>
      <c r="CQ166" s="261"/>
      <c r="CR166" s="255"/>
      <c r="CS166" s="261"/>
      <c r="CT166" s="261"/>
      <c r="CU166" s="261"/>
      <c r="CV166" s="261"/>
      <c r="CW166" s="261"/>
      <c r="CX166" s="261"/>
      <c r="CY166" s="255"/>
      <c r="DV166" s="119" t="s">
        <v>374</v>
      </c>
      <c r="DW166" s="120">
        <v>191</v>
      </c>
      <c r="DX166" s="121">
        <v>149.19999999999999</v>
      </c>
      <c r="DY166" s="145">
        <v>149.30000000000001</v>
      </c>
      <c r="DZ166" s="146">
        <v>157</v>
      </c>
      <c r="EA166" s="149">
        <v>157.1</v>
      </c>
      <c r="EB166" s="150">
        <v>188.2</v>
      </c>
      <c r="EC166" s="148">
        <v>188.3</v>
      </c>
      <c r="EE166" s="143" t="s">
        <v>374</v>
      </c>
      <c r="EF166" s="144">
        <v>191</v>
      </c>
      <c r="EG166" s="170">
        <v>142</v>
      </c>
      <c r="EH166" s="174">
        <v>142.1</v>
      </c>
      <c r="EI166" s="175">
        <v>148.80000000000001</v>
      </c>
      <c r="EJ166" s="180">
        <v>148.9</v>
      </c>
      <c r="EK166" s="181">
        <v>176.1</v>
      </c>
      <c r="EL166" s="173">
        <v>176.2</v>
      </c>
    </row>
    <row r="167" spans="1:142" ht="11.15" customHeight="1">
      <c r="A167" s="270"/>
      <c r="D167" s="372"/>
      <c r="E167" s="372"/>
      <c r="F167" s="272"/>
      <c r="G167" s="272"/>
      <c r="H167" s="272"/>
      <c r="I167" s="273"/>
      <c r="J167" s="273"/>
      <c r="K167" s="273"/>
      <c r="L167" s="275"/>
      <c r="M167" s="269"/>
      <c r="N167" s="269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Q167" s="63"/>
      <c r="BK167" s="71" t="s">
        <v>412</v>
      </c>
      <c r="BL167" s="70">
        <v>226</v>
      </c>
      <c r="BM167" s="5">
        <v>15.7</v>
      </c>
      <c r="BN167" s="77">
        <v>15.8</v>
      </c>
      <c r="BO167" s="78">
        <f t="shared" si="149"/>
        <v>17.399999999999999</v>
      </c>
      <c r="BP167" s="79">
        <v>17.5</v>
      </c>
      <c r="BQ167" s="80">
        <v>29.6</v>
      </c>
      <c r="BR167" s="81">
        <f t="shared" si="150"/>
        <v>29.7</v>
      </c>
      <c r="BS167" s="82">
        <v>35.5</v>
      </c>
      <c r="BT167" s="83">
        <v>35.6</v>
      </c>
      <c r="BU167" s="41"/>
      <c r="BV167" s="87" t="s">
        <v>412</v>
      </c>
      <c r="BW167" s="86">
        <v>226</v>
      </c>
      <c r="BX167" s="5">
        <v>14.6</v>
      </c>
      <c r="BY167" s="77">
        <v>14.7</v>
      </c>
      <c r="BZ167" s="78">
        <f t="shared" si="151"/>
        <v>16.399999999999999</v>
      </c>
      <c r="CA167" s="79">
        <v>16.5</v>
      </c>
      <c r="CB167" s="80">
        <v>29.6</v>
      </c>
      <c r="CC167" s="92">
        <f t="shared" si="152"/>
        <v>29.7</v>
      </c>
      <c r="CD167" s="82">
        <v>36.200000000000003</v>
      </c>
      <c r="CE167" s="83" t="s">
        <v>381</v>
      </c>
      <c r="CF167" s="261"/>
      <c r="CG167" s="261"/>
      <c r="CH167" s="261"/>
      <c r="CI167" s="255"/>
      <c r="CJ167" s="255"/>
      <c r="CK167" s="261"/>
      <c r="CL167" s="255"/>
      <c r="CN167" s="256"/>
      <c r="CO167" s="256"/>
      <c r="CP167" s="261"/>
      <c r="CQ167" s="261"/>
      <c r="CR167" s="255"/>
      <c r="CS167" s="261"/>
      <c r="CT167" s="261"/>
      <c r="CU167" s="261"/>
      <c r="CV167" s="261"/>
      <c r="CW167" s="255"/>
      <c r="CX167" s="261"/>
      <c r="CY167" s="255"/>
      <c r="DV167" s="119" t="s">
        <v>375</v>
      </c>
      <c r="DW167" s="120">
        <v>192</v>
      </c>
      <c r="DX167" s="121">
        <v>149.5</v>
      </c>
      <c r="DY167" s="145">
        <v>149.6</v>
      </c>
      <c r="DZ167" s="146">
        <v>157.30000000000001</v>
      </c>
      <c r="EA167" s="149">
        <v>157.4</v>
      </c>
      <c r="EB167" s="150">
        <v>188.4</v>
      </c>
      <c r="EC167" s="148">
        <v>188.5</v>
      </c>
      <c r="EE167" s="143" t="s">
        <v>375</v>
      </c>
      <c r="EF167" s="144">
        <v>192</v>
      </c>
      <c r="EG167" s="170">
        <v>142.1</v>
      </c>
      <c r="EH167" s="174">
        <v>142.19999999999999</v>
      </c>
      <c r="EI167" s="175">
        <v>148.80000000000001</v>
      </c>
      <c r="EJ167" s="180">
        <v>148.9</v>
      </c>
      <c r="EK167" s="181">
        <v>176.1</v>
      </c>
      <c r="EL167" s="173">
        <v>176.2</v>
      </c>
    </row>
    <row r="168" spans="1:142" ht="11.15" customHeight="1">
      <c r="A168" s="270"/>
      <c r="D168" s="372"/>
      <c r="E168" s="372"/>
      <c r="F168" s="272"/>
      <c r="G168" s="272"/>
      <c r="H168" s="272"/>
      <c r="I168" s="273"/>
      <c r="J168" s="273"/>
      <c r="K168" s="273"/>
      <c r="L168" s="275"/>
      <c r="M168" s="269"/>
      <c r="N168" s="269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Q168" s="63"/>
      <c r="BK168" s="71" t="s">
        <v>413</v>
      </c>
      <c r="BL168" s="70">
        <v>227</v>
      </c>
      <c r="BM168" s="5">
        <v>15.7</v>
      </c>
      <c r="BN168" s="77">
        <v>15.8</v>
      </c>
      <c r="BO168" s="78">
        <f t="shared" si="149"/>
        <v>17.399999999999999</v>
      </c>
      <c r="BP168" s="79">
        <v>17.5</v>
      </c>
      <c r="BQ168" s="80">
        <v>29.7</v>
      </c>
      <c r="BR168" s="81">
        <f t="shared" si="150"/>
        <v>29.8</v>
      </c>
      <c r="BS168" s="82">
        <v>35.5</v>
      </c>
      <c r="BT168" s="83">
        <v>35.6</v>
      </c>
      <c r="BU168" s="41"/>
      <c r="BV168" s="87" t="s">
        <v>413</v>
      </c>
      <c r="BW168" s="86">
        <v>227</v>
      </c>
      <c r="BX168" s="5">
        <v>14.6</v>
      </c>
      <c r="BY168" s="77">
        <v>14.7</v>
      </c>
      <c r="BZ168" s="78">
        <f t="shared" si="151"/>
        <v>16.399999999999999</v>
      </c>
      <c r="CA168" s="79">
        <v>16.5</v>
      </c>
      <c r="CB168" s="80">
        <v>29.7</v>
      </c>
      <c r="CC168" s="92">
        <f t="shared" si="152"/>
        <v>29.8</v>
      </c>
      <c r="CD168" s="82">
        <v>36.200000000000003</v>
      </c>
      <c r="CE168" s="83" t="s">
        <v>381</v>
      </c>
      <c r="CF168" s="261"/>
      <c r="CG168" s="255"/>
      <c r="CH168" s="255"/>
      <c r="CI168" s="261"/>
      <c r="CJ168" s="261"/>
      <c r="CK168" s="261"/>
      <c r="CL168" s="255"/>
      <c r="CN168" s="256"/>
      <c r="CO168" s="256"/>
      <c r="CP168" s="261"/>
      <c r="CQ168" s="261"/>
      <c r="CR168" s="255"/>
      <c r="CS168" s="261"/>
      <c r="CT168" s="261"/>
      <c r="CU168" s="261"/>
      <c r="CV168" s="255"/>
      <c r="CW168" s="261"/>
      <c r="CX168" s="261"/>
      <c r="CY168" s="255"/>
      <c r="DV168" s="119" t="s">
        <v>377</v>
      </c>
      <c r="DW168" s="120">
        <v>193</v>
      </c>
      <c r="DX168" s="121">
        <v>149.80000000000001</v>
      </c>
      <c r="DY168" s="145">
        <v>149.9</v>
      </c>
      <c r="DZ168" s="146">
        <v>157.5</v>
      </c>
      <c r="EA168" s="149">
        <v>157.6</v>
      </c>
      <c r="EB168" s="150">
        <v>188.7</v>
      </c>
      <c r="EC168" s="148">
        <v>188.8</v>
      </c>
      <c r="EE168" s="143" t="s">
        <v>377</v>
      </c>
      <c r="EF168" s="144">
        <v>193</v>
      </c>
      <c r="EG168" s="170">
        <v>142.1</v>
      </c>
      <c r="EH168" s="174">
        <v>142.19999999999999</v>
      </c>
      <c r="EI168" s="175">
        <v>148.9</v>
      </c>
      <c r="EJ168" s="180">
        <v>149</v>
      </c>
      <c r="EK168" s="181">
        <v>176.1</v>
      </c>
      <c r="EL168" s="173">
        <v>176.2</v>
      </c>
    </row>
    <row r="169" spans="1:142" ht="11.15" customHeight="1">
      <c r="A169" s="270"/>
      <c r="D169" s="372"/>
      <c r="E169" s="372"/>
      <c r="F169" s="272"/>
      <c r="G169" s="272"/>
      <c r="H169" s="272"/>
      <c r="I169" s="273"/>
      <c r="J169" s="273"/>
      <c r="K169" s="273"/>
      <c r="L169" s="275"/>
      <c r="M169" s="269"/>
      <c r="N169" s="269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Q169" s="63"/>
      <c r="BK169" s="281" t="s">
        <v>414</v>
      </c>
      <c r="BL169" s="282">
        <v>228</v>
      </c>
      <c r="BM169" s="5">
        <v>15.8</v>
      </c>
      <c r="BN169" s="285">
        <v>15.9</v>
      </c>
      <c r="BO169" s="286">
        <f t="shared" si="149"/>
        <v>17.5</v>
      </c>
      <c r="BP169" s="287">
        <v>17.600000000000001</v>
      </c>
      <c r="BQ169" s="288">
        <v>29.7</v>
      </c>
      <c r="BR169" s="289">
        <f t="shared" si="150"/>
        <v>29.8</v>
      </c>
      <c r="BS169" s="290">
        <v>35.5</v>
      </c>
      <c r="BT169" s="291">
        <v>35.6</v>
      </c>
      <c r="BU169" s="41"/>
      <c r="BV169" s="293" t="s">
        <v>414</v>
      </c>
      <c r="BW169" s="294">
        <v>228</v>
      </c>
      <c r="BX169" s="5">
        <v>14.6</v>
      </c>
      <c r="BY169" s="285">
        <v>14.7</v>
      </c>
      <c r="BZ169" s="286">
        <f t="shared" si="151"/>
        <v>16.399999999999999</v>
      </c>
      <c r="CA169" s="287">
        <v>16.5</v>
      </c>
      <c r="CB169" s="288">
        <v>29.7</v>
      </c>
      <c r="CC169" s="295">
        <f t="shared" si="152"/>
        <v>29.8</v>
      </c>
      <c r="CD169" s="290">
        <v>36.200000000000003</v>
      </c>
      <c r="CE169" s="291" t="s">
        <v>381</v>
      </c>
      <c r="CF169" s="261"/>
      <c r="CG169" s="255"/>
      <c r="CH169" s="255"/>
      <c r="CI169" s="261"/>
      <c r="CJ169" s="261"/>
      <c r="CK169" s="261"/>
      <c r="CL169" s="255"/>
      <c r="CN169" s="256"/>
      <c r="CO169" s="256"/>
      <c r="CP169" s="261"/>
      <c r="CQ169" s="261"/>
      <c r="CR169" s="255"/>
      <c r="CS169" s="261"/>
      <c r="CT169" s="261"/>
      <c r="CU169" s="261"/>
      <c r="CV169" s="255"/>
      <c r="CW169" s="261"/>
      <c r="CX169" s="261"/>
      <c r="CY169" s="255"/>
      <c r="DV169" s="119" t="s">
        <v>378</v>
      </c>
      <c r="DW169" s="120">
        <v>194</v>
      </c>
      <c r="DX169" s="121">
        <v>150</v>
      </c>
      <c r="DY169" s="145">
        <v>150.1</v>
      </c>
      <c r="DZ169" s="146">
        <v>157.80000000000001</v>
      </c>
      <c r="EA169" s="149">
        <v>157.9</v>
      </c>
      <c r="EB169" s="150">
        <v>188.9</v>
      </c>
      <c r="EC169" s="148">
        <v>189</v>
      </c>
      <c r="EE169" s="143" t="s">
        <v>378</v>
      </c>
      <c r="EF169" s="144">
        <v>194</v>
      </c>
      <c r="EG169" s="170">
        <v>142.19999999999999</v>
      </c>
      <c r="EH169" s="174">
        <v>142.30000000000001</v>
      </c>
      <c r="EI169" s="175">
        <v>149</v>
      </c>
      <c r="EJ169" s="180">
        <v>149.1</v>
      </c>
      <c r="EK169" s="181">
        <v>176.1</v>
      </c>
      <c r="EL169" s="173">
        <v>176.2</v>
      </c>
    </row>
    <row r="170" spans="1:142" ht="11.15" customHeight="1">
      <c r="A170" s="270"/>
      <c r="D170" s="372"/>
      <c r="E170" s="372"/>
      <c r="F170" s="272"/>
      <c r="G170" s="272"/>
      <c r="H170" s="272"/>
      <c r="I170" s="375"/>
      <c r="J170" s="375"/>
      <c r="K170" s="375"/>
      <c r="L170" s="375"/>
      <c r="M170" s="269"/>
      <c r="N170" s="269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BK170" s="256"/>
      <c r="BL170" s="70">
        <v>229</v>
      </c>
      <c r="BM170" s="262"/>
      <c r="BN170" s="262"/>
      <c r="BO170" s="262">
        <v>18.399999999999999</v>
      </c>
      <c r="BP170" s="262">
        <v>18.5</v>
      </c>
      <c r="BQ170" s="262">
        <v>24.9</v>
      </c>
      <c r="BR170" s="262">
        <f t="shared" si="150"/>
        <v>25</v>
      </c>
      <c r="BS170" s="262">
        <v>29.9</v>
      </c>
      <c r="BT170" s="262">
        <v>30</v>
      </c>
      <c r="BU170" s="41"/>
      <c r="BV170" s="256"/>
      <c r="BW170" s="261">
        <v>229</v>
      </c>
      <c r="BX170" s="262"/>
      <c r="BY170" s="262"/>
      <c r="BZ170" s="262">
        <v>18.399999999999999</v>
      </c>
      <c r="CA170" s="262">
        <v>18.5</v>
      </c>
      <c r="CB170" s="262">
        <v>24.9</v>
      </c>
      <c r="CC170" s="262">
        <v>25</v>
      </c>
      <c r="CD170" s="262">
        <v>29.9</v>
      </c>
      <c r="CE170" s="262">
        <v>30</v>
      </c>
      <c r="CF170" s="261"/>
      <c r="CG170" s="261"/>
      <c r="CH170" s="261"/>
      <c r="CI170" s="261"/>
      <c r="CJ170" s="261"/>
      <c r="CK170" s="261"/>
      <c r="CL170" s="255"/>
      <c r="CN170" s="256"/>
      <c r="CO170" s="256"/>
      <c r="CP170" s="261"/>
      <c r="CQ170" s="261"/>
      <c r="CR170" s="255"/>
      <c r="CS170" s="261"/>
      <c r="CT170" s="261"/>
      <c r="CU170" s="261"/>
      <c r="CV170" s="261"/>
      <c r="CW170" s="261"/>
      <c r="CX170" s="261"/>
      <c r="CY170" s="255"/>
      <c r="DV170" s="119" t="s">
        <v>379</v>
      </c>
      <c r="DW170" s="120">
        <v>195</v>
      </c>
      <c r="DX170" s="121">
        <v>150.30000000000001</v>
      </c>
      <c r="DY170" s="145">
        <v>150.4</v>
      </c>
      <c r="DZ170" s="146">
        <v>158</v>
      </c>
      <c r="EA170" s="149">
        <v>158.1</v>
      </c>
      <c r="EB170" s="150">
        <v>189.1</v>
      </c>
      <c r="EC170" s="148">
        <v>189.2</v>
      </c>
      <c r="EE170" s="143" t="s">
        <v>379</v>
      </c>
      <c r="EF170" s="144">
        <v>195</v>
      </c>
      <c r="EG170" s="170">
        <v>142.19999999999999</v>
      </c>
      <c r="EH170" s="174">
        <v>142.30000000000001</v>
      </c>
      <c r="EI170" s="175">
        <v>149</v>
      </c>
      <c r="EJ170" s="180">
        <v>149.1</v>
      </c>
      <c r="EK170" s="181">
        <v>176.2</v>
      </c>
      <c r="EL170" s="173">
        <v>176.3</v>
      </c>
    </row>
    <row r="171" spans="1:142" ht="11.15" customHeight="1">
      <c r="A171" s="270"/>
      <c r="D171" s="372"/>
      <c r="E171" s="372"/>
      <c r="H171" s="209"/>
      <c r="I171" s="213"/>
      <c r="J171" s="213"/>
      <c r="K171" s="213"/>
      <c r="L171" s="213"/>
      <c r="M171" s="213"/>
      <c r="N171" s="213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BK171" s="256"/>
      <c r="BL171" s="261"/>
      <c r="BM171" s="262"/>
      <c r="BN171" s="262"/>
      <c r="BO171" s="262"/>
      <c r="BP171" s="262"/>
      <c r="BQ171" s="262"/>
      <c r="BR171" s="262"/>
      <c r="BS171" s="262"/>
      <c r="BT171" s="262"/>
      <c r="BU171" s="41"/>
      <c r="BV171" s="256"/>
      <c r="BW171" s="261"/>
      <c r="BX171" s="262"/>
      <c r="BY171" s="262"/>
      <c r="BZ171" s="262"/>
      <c r="CA171" s="262"/>
      <c r="CB171" s="262"/>
      <c r="CC171" s="262"/>
      <c r="CD171" s="262"/>
      <c r="CE171" s="262"/>
      <c r="CF171" s="261"/>
      <c r="CG171" s="261"/>
      <c r="CH171" s="261"/>
      <c r="CI171" s="261"/>
      <c r="CJ171" s="261"/>
      <c r="CK171" s="261"/>
      <c r="CL171" s="255"/>
      <c r="CN171" s="256"/>
      <c r="CO171" s="256"/>
      <c r="CP171" s="261"/>
      <c r="CQ171" s="261"/>
      <c r="CR171" s="255"/>
      <c r="CS171" s="261"/>
      <c r="CT171" s="261"/>
      <c r="CU171" s="261"/>
      <c r="CV171" s="261"/>
      <c r="CW171" s="261"/>
      <c r="CX171" s="261"/>
      <c r="CY171" s="255"/>
      <c r="DV171" s="119" t="s">
        <v>380</v>
      </c>
      <c r="DW171" s="120">
        <v>196</v>
      </c>
      <c r="DX171" s="121">
        <v>150.5</v>
      </c>
      <c r="DY171" s="145">
        <v>150.6</v>
      </c>
      <c r="DZ171" s="146">
        <v>158.30000000000001</v>
      </c>
      <c r="EA171" s="149">
        <v>158.4</v>
      </c>
      <c r="EB171" s="150">
        <v>189.3</v>
      </c>
      <c r="EC171" s="148">
        <v>189.4</v>
      </c>
      <c r="EE171" s="143" t="s">
        <v>380</v>
      </c>
      <c r="EF171" s="144">
        <v>196</v>
      </c>
      <c r="EG171" s="170">
        <v>142.30000000000001</v>
      </c>
      <c r="EH171" s="174">
        <v>142.4</v>
      </c>
      <c r="EI171" s="175">
        <v>149.1</v>
      </c>
      <c r="EJ171" s="180">
        <v>149.19999999999999</v>
      </c>
      <c r="EK171" s="181">
        <v>176.2</v>
      </c>
      <c r="EL171" s="173">
        <v>176.3</v>
      </c>
    </row>
    <row r="172" spans="1:142" ht="11.15" customHeight="1">
      <c r="A172" s="270"/>
      <c r="C172" s="269"/>
      <c r="D172" s="275"/>
      <c r="E172" s="275"/>
      <c r="F172" s="209"/>
      <c r="G172" s="209"/>
      <c r="H172" s="209"/>
      <c r="I172" s="209"/>
      <c r="J172" s="209"/>
      <c r="K172" s="209"/>
      <c r="L172" s="376"/>
      <c r="M172" s="376"/>
      <c r="N172" s="279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51"/>
      <c r="AQ172" s="51"/>
      <c r="BK172" s="256"/>
      <c r="BL172" s="261"/>
      <c r="BM172" s="262"/>
      <c r="BN172" s="262"/>
      <c r="BO172" s="262"/>
      <c r="BP172" s="262"/>
      <c r="BQ172" s="262"/>
      <c r="BR172" s="262"/>
      <c r="BS172" s="262"/>
      <c r="BT172" s="262"/>
      <c r="BU172" s="41"/>
      <c r="BV172" s="256"/>
      <c r="BW172" s="261"/>
      <c r="BX172" s="262"/>
      <c r="BY172" s="262"/>
      <c r="BZ172" s="262"/>
      <c r="CA172" s="262"/>
      <c r="CB172" s="262"/>
      <c r="CC172" s="262"/>
      <c r="CD172" s="262"/>
      <c r="CE172" s="262"/>
      <c r="CF172" s="261"/>
      <c r="CG172" s="261"/>
      <c r="CH172" s="261"/>
      <c r="CI172" s="261"/>
      <c r="CJ172" s="261"/>
      <c r="CK172" s="261"/>
      <c r="CL172" s="255"/>
      <c r="CN172" s="256"/>
      <c r="CO172" s="256"/>
      <c r="CP172" s="261"/>
      <c r="CQ172" s="261"/>
      <c r="CR172" s="255"/>
      <c r="CS172" s="261"/>
      <c r="CT172" s="261"/>
      <c r="CU172" s="261"/>
      <c r="CV172" s="261"/>
      <c r="CW172" s="261"/>
      <c r="CX172" s="261"/>
      <c r="CY172" s="255"/>
      <c r="DV172" s="119" t="s">
        <v>382</v>
      </c>
      <c r="DW172" s="120">
        <v>197</v>
      </c>
      <c r="DX172" s="121">
        <v>150.80000000000001</v>
      </c>
      <c r="DY172" s="145">
        <v>150.9</v>
      </c>
      <c r="DZ172" s="146">
        <v>158.5</v>
      </c>
      <c r="EA172" s="149">
        <v>158.6</v>
      </c>
      <c r="EB172" s="150">
        <v>189.5</v>
      </c>
      <c r="EC172" s="148">
        <v>189.6</v>
      </c>
      <c r="EE172" s="143" t="s">
        <v>382</v>
      </c>
      <c r="EF172" s="144">
        <v>197</v>
      </c>
      <c r="EG172" s="170">
        <v>142.30000000000001</v>
      </c>
      <c r="EH172" s="174">
        <v>142.4</v>
      </c>
      <c r="EI172" s="175">
        <v>149.1</v>
      </c>
      <c r="EJ172" s="180">
        <v>149.19999999999999</v>
      </c>
      <c r="EK172" s="181">
        <v>176.2</v>
      </c>
      <c r="EL172" s="173">
        <v>176.3</v>
      </c>
    </row>
    <row r="173" spans="1:142" ht="11.15" customHeight="1">
      <c r="A173" s="270"/>
      <c r="C173" s="269"/>
      <c r="D173" s="269"/>
      <c r="F173" s="209"/>
      <c r="G173" s="209"/>
      <c r="H173" s="276"/>
      <c r="I173" s="276"/>
      <c r="J173" s="276"/>
      <c r="K173" s="276"/>
      <c r="L173" s="374"/>
      <c r="M173" s="374"/>
      <c r="N173" s="213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BK173" s="256"/>
      <c r="BL173" s="261"/>
      <c r="BM173" s="262"/>
      <c r="BN173" s="262"/>
      <c r="BO173" s="262"/>
      <c r="BP173" s="262"/>
      <c r="BQ173" s="262"/>
      <c r="BR173" s="262"/>
      <c r="BS173" s="262"/>
      <c r="BT173" s="262"/>
      <c r="BU173" s="41"/>
      <c r="BV173" s="256"/>
      <c r="BW173" s="261"/>
      <c r="BX173" s="262"/>
      <c r="BY173" s="262"/>
      <c r="BZ173" s="262"/>
      <c r="CA173" s="262"/>
      <c r="CB173" s="262"/>
      <c r="CC173" s="262"/>
      <c r="CD173" s="262"/>
      <c r="CE173" s="262"/>
      <c r="CF173" s="261"/>
      <c r="CG173" s="261"/>
      <c r="CH173" s="261"/>
      <c r="CI173" s="261"/>
      <c r="CJ173" s="261"/>
      <c r="CK173" s="261"/>
      <c r="CL173" s="255"/>
      <c r="CN173" s="256"/>
      <c r="CO173" s="256"/>
      <c r="CP173" s="261"/>
      <c r="CQ173" s="261"/>
      <c r="CR173" s="255"/>
      <c r="CS173" s="261"/>
      <c r="CT173" s="261"/>
      <c r="CU173" s="261"/>
      <c r="CV173" s="261"/>
      <c r="CW173" s="261"/>
      <c r="CX173" s="261"/>
      <c r="CY173" s="255"/>
      <c r="DV173" s="119" t="s">
        <v>383</v>
      </c>
      <c r="DW173" s="120">
        <v>198</v>
      </c>
      <c r="DX173" s="121">
        <v>151</v>
      </c>
      <c r="DY173" s="145">
        <v>151.1</v>
      </c>
      <c r="DZ173" s="146">
        <v>158.69999999999999</v>
      </c>
      <c r="EA173" s="149">
        <v>158.80000000000001</v>
      </c>
      <c r="EB173" s="150">
        <v>189.7</v>
      </c>
      <c r="EC173" s="148">
        <v>189.8</v>
      </c>
      <c r="EE173" s="143" t="s">
        <v>383</v>
      </c>
      <c r="EF173" s="144">
        <v>198</v>
      </c>
      <c r="EG173" s="170">
        <v>142.4</v>
      </c>
      <c r="EH173" s="174">
        <v>142.5</v>
      </c>
      <c r="EI173" s="175">
        <v>149.1</v>
      </c>
      <c r="EJ173" s="180">
        <v>149.19999999999999</v>
      </c>
      <c r="EK173" s="181">
        <v>176.2</v>
      </c>
      <c r="EL173" s="173">
        <v>176.3</v>
      </c>
    </row>
    <row r="174" spans="1:142" ht="11.15" customHeight="1">
      <c r="A174" s="270"/>
      <c r="D174" s="269"/>
      <c r="F174" s="208"/>
      <c r="G174" s="208"/>
      <c r="H174" s="277"/>
      <c r="I174" s="277"/>
      <c r="J174" s="277"/>
      <c r="K174" s="277"/>
      <c r="L174" s="372"/>
      <c r="M174" s="372"/>
      <c r="N174" s="214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BK174" s="256"/>
      <c r="BL174" s="261"/>
      <c r="BM174" s="262"/>
      <c r="BN174" s="262"/>
      <c r="BO174" s="262"/>
      <c r="BP174" s="262"/>
      <c r="BQ174" s="262"/>
      <c r="BR174" s="262"/>
      <c r="BS174" s="262"/>
      <c r="BT174" s="262"/>
      <c r="BU174" s="41"/>
      <c r="BV174" s="256"/>
      <c r="BW174" s="261"/>
      <c r="BX174" s="262"/>
      <c r="BY174" s="262"/>
      <c r="BZ174" s="262"/>
      <c r="CA174" s="262"/>
      <c r="CB174" s="262"/>
      <c r="CC174" s="262"/>
      <c r="CD174" s="262"/>
      <c r="CE174" s="262"/>
      <c r="CF174" s="261"/>
      <c r="CG174" s="261"/>
      <c r="CH174" s="261"/>
      <c r="CI174" s="261"/>
      <c r="CJ174" s="261"/>
      <c r="CK174" s="261"/>
      <c r="CL174" s="255"/>
      <c r="CN174" s="256"/>
      <c r="CO174" s="256"/>
      <c r="CP174" s="261"/>
      <c r="CQ174" s="261"/>
      <c r="CR174" s="255"/>
      <c r="CS174" s="261"/>
      <c r="CT174" s="261"/>
      <c r="CU174" s="261"/>
      <c r="CV174" s="261"/>
      <c r="CW174" s="261"/>
      <c r="CX174" s="261"/>
      <c r="CY174" s="255"/>
      <c r="DV174" s="119" t="s">
        <v>384</v>
      </c>
      <c r="DW174" s="120">
        <v>199</v>
      </c>
      <c r="DX174" s="121">
        <v>151.19999999999999</v>
      </c>
      <c r="DY174" s="145">
        <v>151.30000000000001</v>
      </c>
      <c r="DZ174" s="146">
        <v>158.9</v>
      </c>
      <c r="EA174" s="149">
        <v>159</v>
      </c>
      <c r="EB174" s="150">
        <v>189.8</v>
      </c>
      <c r="EC174" s="148">
        <v>189.9</v>
      </c>
      <c r="EE174" s="143" t="s">
        <v>384</v>
      </c>
      <c r="EF174" s="144">
        <v>199</v>
      </c>
      <c r="EG174" s="170">
        <v>142.4</v>
      </c>
      <c r="EH174" s="174">
        <v>142.5</v>
      </c>
      <c r="EI174" s="175">
        <v>149.19999999999999</v>
      </c>
      <c r="EJ174" s="180">
        <v>149.30000000000001</v>
      </c>
      <c r="EK174" s="181">
        <v>176.2</v>
      </c>
      <c r="EL174" s="173">
        <v>176.3</v>
      </c>
    </row>
    <row r="175" spans="1:142" ht="11.15" customHeight="1">
      <c r="BK175" s="256"/>
      <c r="BL175" s="261"/>
      <c r="BM175" s="262"/>
      <c r="BN175" s="262"/>
      <c r="BO175" s="262"/>
      <c r="BP175" s="262"/>
      <c r="BQ175" s="262"/>
      <c r="BR175" s="262"/>
      <c r="BS175" s="262"/>
      <c r="BT175" s="262"/>
      <c r="BU175" s="41"/>
      <c r="BV175" s="256"/>
      <c r="BW175" s="261"/>
      <c r="BX175" s="262"/>
      <c r="BY175" s="262"/>
      <c r="BZ175" s="262"/>
      <c r="CA175" s="262"/>
      <c r="CB175" s="262"/>
      <c r="CC175" s="262"/>
      <c r="CD175" s="262"/>
      <c r="CE175" s="262"/>
      <c r="CF175" s="255"/>
      <c r="CG175" s="261"/>
      <c r="CH175" s="261"/>
      <c r="CI175" s="261"/>
      <c r="CJ175" s="261"/>
      <c r="CK175" s="261"/>
      <c r="CL175" s="255"/>
      <c r="CN175" s="256"/>
      <c r="CO175" s="256"/>
      <c r="CP175" s="261"/>
      <c r="CQ175" s="261"/>
      <c r="CR175" s="255"/>
      <c r="CS175" s="261"/>
      <c r="CT175" s="261"/>
      <c r="CU175" s="255"/>
      <c r="CV175" s="261"/>
      <c r="CW175" s="261"/>
      <c r="CX175" s="261"/>
      <c r="CY175" s="255"/>
      <c r="DV175" s="119" t="s">
        <v>385</v>
      </c>
      <c r="DW175" s="120">
        <v>200</v>
      </c>
      <c r="DX175" s="121">
        <v>151.4</v>
      </c>
      <c r="DY175" s="145">
        <v>151.5</v>
      </c>
      <c r="DZ175" s="146">
        <v>159.1</v>
      </c>
      <c r="EA175" s="149">
        <v>159.19999999999999</v>
      </c>
      <c r="EB175" s="150">
        <v>190</v>
      </c>
      <c r="EC175" s="148">
        <v>190.1</v>
      </c>
      <c r="EE175" s="143" t="s">
        <v>385</v>
      </c>
      <c r="EF175" s="144">
        <v>200</v>
      </c>
      <c r="EG175" s="170">
        <v>142.5</v>
      </c>
      <c r="EH175" s="174">
        <v>142.6</v>
      </c>
      <c r="EI175" s="175">
        <v>149.19999999999999</v>
      </c>
      <c r="EJ175" s="180">
        <v>149.30000000000001</v>
      </c>
      <c r="EK175" s="181">
        <v>176.2</v>
      </c>
      <c r="EL175" s="173">
        <v>176.3</v>
      </c>
    </row>
    <row r="176" spans="1:142" ht="11.15" customHeight="1">
      <c r="C176" s="278"/>
      <c r="BK176" s="256"/>
      <c r="BL176" s="261"/>
      <c r="BM176" s="262"/>
      <c r="BN176" s="262"/>
      <c r="BO176" s="262"/>
      <c r="BP176" s="262"/>
      <c r="BQ176" s="262"/>
      <c r="BR176" s="262"/>
      <c r="BS176" s="262"/>
      <c r="BT176" s="262"/>
      <c r="BU176" s="41"/>
      <c r="BV176" s="256"/>
      <c r="BW176" s="261"/>
      <c r="BX176" s="262"/>
      <c r="BY176" s="262"/>
      <c r="BZ176" s="262"/>
      <c r="CA176" s="262"/>
      <c r="CB176" s="262"/>
      <c r="CC176" s="262"/>
      <c r="CD176" s="262"/>
      <c r="CE176" s="262"/>
      <c r="CF176" s="255"/>
      <c r="CG176" s="261"/>
      <c r="CH176" s="261"/>
      <c r="CI176" s="261"/>
      <c r="CJ176" s="261"/>
      <c r="CK176" s="261"/>
      <c r="CL176" s="255"/>
      <c r="CN176" s="256"/>
      <c r="CO176" s="256"/>
      <c r="CP176" s="261"/>
      <c r="CQ176" s="261"/>
      <c r="CR176" s="255"/>
      <c r="CS176" s="261"/>
      <c r="CT176" s="261"/>
      <c r="CU176" s="255"/>
      <c r="CV176" s="261"/>
      <c r="CW176" s="261"/>
      <c r="CX176" s="261"/>
      <c r="CY176" s="255"/>
      <c r="DV176" s="119" t="s">
        <v>386</v>
      </c>
      <c r="DW176" s="120">
        <v>201</v>
      </c>
      <c r="DX176" s="121">
        <v>151.6</v>
      </c>
      <c r="DY176" s="145">
        <v>151.69999999999999</v>
      </c>
      <c r="DZ176" s="146">
        <v>159.30000000000001</v>
      </c>
      <c r="EA176" s="149">
        <v>159.4</v>
      </c>
      <c r="EB176" s="150">
        <v>190.1</v>
      </c>
      <c r="EC176" s="148">
        <v>190.2</v>
      </c>
      <c r="EE176" s="143" t="s">
        <v>386</v>
      </c>
      <c r="EF176" s="144">
        <v>201</v>
      </c>
      <c r="EG176" s="170">
        <v>142.5</v>
      </c>
      <c r="EH176" s="174">
        <v>142.6</v>
      </c>
      <c r="EI176" s="175">
        <v>149.30000000000001</v>
      </c>
      <c r="EJ176" s="180">
        <v>149.4</v>
      </c>
      <c r="EK176" s="181">
        <v>176.2</v>
      </c>
      <c r="EL176" s="173">
        <v>176.3</v>
      </c>
    </row>
    <row r="177" spans="1:142" ht="11.15" customHeight="1">
      <c r="C177" s="278"/>
      <c r="F177" s="377"/>
      <c r="G177" s="377"/>
      <c r="H177" s="377"/>
      <c r="I177" s="377"/>
      <c r="J177" s="377"/>
      <c r="K177" s="377"/>
      <c r="L177" s="377"/>
      <c r="M177" s="377"/>
      <c r="N177" s="269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BK177" s="256"/>
      <c r="BL177" s="261"/>
      <c r="BM177" s="262"/>
      <c r="BN177" s="262"/>
      <c r="BO177" s="262"/>
      <c r="BP177" s="262"/>
      <c r="BQ177" s="262"/>
      <c r="BR177" s="262"/>
      <c r="BS177" s="262"/>
      <c r="BT177" s="262"/>
      <c r="BU177" s="41"/>
      <c r="BV177" s="256"/>
      <c r="BW177" s="261"/>
      <c r="BX177" s="262"/>
      <c r="BY177" s="262"/>
      <c r="BZ177" s="262"/>
      <c r="CA177" s="262"/>
      <c r="CB177" s="262"/>
      <c r="CC177" s="262"/>
      <c r="CD177" s="262"/>
      <c r="CE177" s="262"/>
      <c r="CF177" s="255"/>
      <c r="CG177" s="261"/>
      <c r="CH177" s="261"/>
      <c r="CI177" s="261"/>
      <c r="CJ177" s="261"/>
      <c r="CK177" s="261"/>
      <c r="CL177" s="255"/>
      <c r="CN177" s="256"/>
      <c r="CO177" s="256"/>
      <c r="CP177" s="261"/>
      <c r="CQ177" s="261"/>
      <c r="CR177" s="255"/>
      <c r="CS177" s="261"/>
      <c r="CT177" s="261"/>
      <c r="CU177" s="255"/>
      <c r="CV177" s="261"/>
      <c r="CW177" s="261"/>
      <c r="CX177" s="261"/>
      <c r="CY177" s="255"/>
      <c r="DV177" s="119" t="s">
        <v>388</v>
      </c>
      <c r="DW177" s="120">
        <v>202</v>
      </c>
      <c r="DX177" s="121">
        <v>151.80000000000001</v>
      </c>
      <c r="DY177" s="145">
        <v>151.9</v>
      </c>
      <c r="DZ177" s="146">
        <v>159.5</v>
      </c>
      <c r="EA177" s="149">
        <v>159.6</v>
      </c>
      <c r="EB177" s="150">
        <v>190.2</v>
      </c>
      <c r="EC177" s="148">
        <v>190.3</v>
      </c>
      <c r="EE177" s="143" t="s">
        <v>388</v>
      </c>
      <c r="EF177" s="144">
        <v>202</v>
      </c>
      <c r="EG177" s="170">
        <v>142.6</v>
      </c>
      <c r="EH177" s="174">
        <v>142.69999999999999</v>
      </c>
      <c r="EI177" s="175">
        <v>149.30000000000001</v>
      </c>
      <c r="EJ177" s="180">
        <v>149.4</v>
      </c>
      <c r="EK177" s="181">
        <v>176.2</v>
      </c>
      <c r="EL177" s="173">
        <v>176.3</v>
      </c>
    </row>
    <row r="178" spans="1:142" ht="11.15" customHeight="1">
      <c r="C178" s="278"/>
      <c r="F178" s="377"/>
      <c r="G178" s="377"/>
      <c r="H178" s="377"/>
      <c r="I178" s="377"/>
      <c r="J178" s="377"/>
      <c r="K178" s="377"/>
      <c r="L178" s="377"/>
      <c r="M178" s="377"/>
      <c r="N178" s="269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S178" s="236"/>
      <c r="BE178" s="63"/>
      <c r="BF178" s="63"/>
      <c r="BG178" s="63"/>
      <c r="BK178" s="256"/>
      <c r="BL178" s="261"/>
      <c r="BM178" s="262"/>
      <c r="BN178" s="262"/>
      <c r="BO178" s="262"/>
      <c r="BP178" s="262"/>
      <c r="BQ178" s="262"/>
      <c r="BR178" s="262"/>
      <c r="BS178" s="262"/>
      <c r="BT178" s="262"/>
      <c r="BU178" s="41"/>
      <c r="BV178" s="256"/>
      <c r="BW178" s="261"/>
      <c r="BX178" s="262"/>
      <c r="BY178" s="262"/>
      <c r="BZ178" s="262"/>
      <c r="CA178" s="262"/>
      <c r="CB178" s="262"/>
      <c r="CC178" s="262"/>
      <c r="CD178" s="262"/>
      <c r="CE178" s="262"/>
      <c r="CF178" s="5"/>
      <c r="CG178" s="5"/>
      <c r="CH178" s="5"/>
      <c r="CI178" s="5"/>
      <c r="CJ178" s="5"/>
      <c r="CK178" s="5"/>
      <c r="CL178" s="5"/>
      <c r="DV178" s="119" t="s">
        <v>389</v>
      </c>
      <c r="DW178" s="120">
        <v>203</v>
      </c>
      <c r="DX178" s="121">
        <v>152</v>
      </c>
      <c r="DY178" s="145">
        <v>152.1</v>
      </c>
      <c r="DZ178" s="146">
        <v>159.6</v>
      </c>
      <c r="EA178" s="149">
        <v>159.69999999999999</v>
      </c>
      <c r="EB178" s="150">
        <v>190.3</v>
      </c>
      <c r="EC178" s="148">
        <v>190.4</v>
      </c>
      <c r="EE178" s="143" t="s">
        <v>389</v>
      </c>
      <c r="EF178" s="144">
        <v>203</v>
      </c>
      <c r="EG178" s="170">
        <v>142.6</v>
      </c>
      <c r="EH178" s="174">
        <v>142.69999999999999</v>
      </c>
      <c r="EI178" s="175">
        <v>149.30000000000001</v>
      </c>
      <c r="EJ178" s="180">
        <v>149.4</v>
      </c>
      <c r="EK178" s="181">
        <v>176.2</v>
      </c>
      <c r="EL178" s="173">
        <v>176.3</v>
      </c>
    </row>
    <row r="179" spans="1:142" ht="11.15" customHeight="1">
      <c r="A179" s="377"/>
      <c r="B179" s="377"/>
      <c r="C179" s="377"/>
      <c r="D179" s="377"/>
      <c r="E179" s="377"/>
      <c r="F179" s="377"/>
      <c r="G179" s="377"/>
      <c r="H179" s="377"/>
      <c r="I179" s="377"/>
      <c r="J179" s="377"/>
      <c r="K179" s="377"/>
      <c r="L179" s="377"/>
      <c r="M179" s="377"/>
      <c r="N179" s="269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Q179" s="63"/>
      <c r="BE179" s="63"/>
      <c r="BF179" s="63"/>
      <c r="BG179" s="63"/>
      <c r="BK179" s="256"/>
      <c r="BL179" s="261"/>
      <c r="BM179" s="262"/>
      <c r="BN179" s="262"/>
      <c r="BO179" s="262"/>
      <c r="BP179" s="262"/>
      <c r="BQ179" s="262"/>
      <c r="BR179" s="262"/>
      <c r="BS179" s="262"/>
      <c r="BT179" s="262"/>
      <c r="BU179" s="41"/>
      <c r="BV179" s="256"/>
      <c r="BW179" s="261"/>
      <c r="BX179" s="262"/>
      <c r="BY179" s="262"/>
      <c r="BZ179" s="262"/>
      <c r="CA179" s="262"/>
      <c r="CB179" s="262"/>
      <c r="CC179" s="262"/>
      <c r="CD179" s="262"/>
      <c r="CE179" s="262"/>
      <c r="CF179" s="5"/>
      <c r="CG179" s="5"/>
      <c r="CH179" s="5"/>
      <c r="CI179" s="5"/>
      <c r="CJ179" s="5"/>
      <c r="CK179" s="5"/>
      <c r="CL179" s="5"/>
      <c r="DV179" s="119" t="s">
        <v>390</v>
      </c>
      <c r="DW179" s="120">
        <v>204</v>
      </c>
      <c r="DX179" s="121">
        <v>152.1</v>
      </c>
      <c r="DY179" s="145">
        <v>152.19999999999999</v>
      </c>
      <c r="DZ179" s="146">
        <v>159.80000000000001</v>
      </c>
      <c r="EA179" s="149">
        <v>159.9</v>
      </c>
      <c r="EB179" s="150">
        <v>190.4</v>
      </c>
      <c r="EC179" s="148">
        <v>190.5</v>
      </c>
      <c r="EE179" s="143" t="s">
        <v>390</v>
      </c>
      <c r="EF179" s="144">
        <v>204</v>
      </c>
      <c r="EG179" s="170">
        <v>142.69999999999999</v>
      </c>
      <c r="EH179" s="174">
        <v>142.80000000000001</v>
      </c>
      <c r="EI179" s="175">
        <v>149.4</v>
      </c>
      <c r="EJ179" s="180">
        <v>149.5</v>
      </c>
      <c r="EK179" s="181">
        <v>176.2</v>
      </c>
      <c r="EL179" s="173">
        <v>176.3</v>
      </c>
    </row>
    <row r="180" spans="1:142" ht="11.15" customHeight="1">
      <c r="A180" s="376"/>
      <c r="B180" s="376"/>
      <c r="C180" s="376"/>
      <c r="D180" s="376"/>
      <c r="E180" s="376"/>
      <c r="F180" s="376"/>
      <c r="G180" s="376"/>
      <c r="H180" s="376"/>
      <c r="I180" s="376"/>
      <c r="J180" s="376"/>
      <c r="K180" s="376"/>
      <c r="L180" s="376"/>
      <c r="M180" s="376"/>
      <c r="N180" s="279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51"/>
      <c r="AQ180" s="51"/>
      <c r="BE180" s="63"/>
      <c r="BF180" s="63"/>
      <c r="BG180" s="63"/>
      <c r="BK180" s="256"/>
      <c r="BL180" s="261"/>
      <c r="BM180" s="262"/>
      <c r="BN180" s="262"/>
      <c r="BO180" s="262"/>
      <c r="BP180" s="262"/>
      <c r="BQ180" s="262"/>
      <c r="BR180" s="262"/>
      <c r="BS180" s="262"/>
      <c r="BT180" s="262"/>
      <c r="BU180" s="41"/>
      <c r="BV180" s="256"/>
      <c r="BW180" s="261"/>
      <c r="BX180" s="262"/>
      <c r="BY180" s="262"/>
      <c r="BZ180" s="262"/>
      <c r="CA180" s="262"/>
      <c r="CB180" s="262"/>
      <c r="CC180" s="262"/>
      <c r="CD180" s="262"/>
      <c r="CE180" s="262"/>
      <c r="CF180" s="5"/>
      <c r="CG180" s="5"/>
      <c r="CH180" s="5"/>
      <c r="CI180" s="5"/>
      <c r="CJ180" s="5"/>
      <c r="CK180" s="5"/>
      <c r="CL180" s="5"/>
      <c r="DV180" s="119" t="s">
        <v>391</v>
      </c>
      <c r="DW180" s="120">
        <v>205</v>
      </c>
      <c r="DX180" s="121">
        <v>152.30000000000001</v>
      </c>
      <c r="DY180" s="145">
        <v>152.4</v>
      </c>
      <c r="DZ180" s="146">
        <v>159.9</v>
      </c>
      <c r="EA180" s="149">
        <v>160</v>
      </c>
      <c r="EB180" s="150">
        <v>190.5</v>
      </c>
      <c r="EC180" s="148">
        <v>190.6</v>
      </c>
      <c r="EE180" s="143" t="s">
        <v>391</v>
      </c>
      <c r="EF180" s="144">
        <v>205</v>
      </c>
      <c r="EG180" s="170">
        <v>142.69999999999999</v>
      </c>
      <c r="EH180" s="174">
        <v>142.80000000000001</v>
      </c>
      <c r="EI180" s="175">
        <v>149.4</v>
      </c>
      <c r="EJ180" s="180">
        <v>149.5</v>
      </c>
      <c r="EK180" s="181">
        <v>176.2</v>
      </c>
      <c r="EL180" s="173">
        <v>176.3</v>
      </c>
    </row>
    <row r="181" spans="1:142" ht="11.15" customHeight="1">
      <c r="A181" s="374"/>
      <c r="B181" s="374"/>
      <c r="C181" s="374"/>
      <c r="D181" s="374"/>
      <c r="E181" s="374"/>
      <c r="F181" s="374"/>
      <c r="G181" s="374"/>
      <c r="H181" s="374"/>
      <c r="I181" s="374"/>
      <c r="J181" s="374"/>
      <c r="K181" s="374"/>
      <c r="L181" s="374"/>
      <c r="M181" s="374"/>
      <c r="N181" s="213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BE181" s="63"/>
      <c r="BF181" s="63"/>
      <c r="BG181" s="63"/>
      <c r="BK181" s="256"/>
      <c r="BL181" s="261"/>
      <c r="BM181" s="262"/>
      <c r="BN181" s="262"/>
      <c r="BO181" s="262"/>
      <c r="BP181" s="262"/>
      <c r="BQ181" s="262"/>
      <c r="BR181" s="262"/>
      <c r="BS181" s="262"/>
      <c r="BT181" s="262"/>
      <c r="BU181" s="41"/>
      <c r="BV181" s="256"/>
      <c r="BW181" s="261"/>
      <c r="BX181" s="262"/>
      <c r="BY181" s="262"/>
      <c r="BZ181" s="262"/>
      <c r="CA181" s="262"/>
      <c r="CB181" s="262"/>
      <c r="CC181" s="262"/>
      <c r="CD181" s="262"/>
      <c r="CE181" s="262"/>
      <c r="CF181" s="5"/>
      <c r="CG181" s="5"/>
      <c r="CH181" s="5"/>
      <c r="CI181" s="5"/>
      <c r="CJ181" s="5"/>
      <c r="CK181" s="5"/>
      <c r="CL181" s="5"/>
      <c r="DV181" s="119" t="s">
        <v>392</v>
      </c>
      <c r="DW181" s="120">
        <v>206</v>
      </c>
      <c r="DX181" s="121">
        <v>152.4</v>
      </c>
      <c r="DY181" s="145">
        <v>152.5</v>
      </c>
      <c r="DZ181" s="146">
        <v>160.1</v>
      </c>
      <c r="EA181" s="149">
        <v>160.19999999999999</v>
      </c>
      <c r="EB181" s="150">
        <v>190.6</v>
      </c>
      <c r="EC181" s="148">
        <v>190.7</v>
      </c>
      <c r="EE181" s="143" t="s">
        <v>392</v>
      </c>
      <c r="EF181" s="144">
        <v>206</v>
      </c>
      <c r="EG181" s="170">
        <v>142.80000000000001</v>
      </c>
      <c r="EH181" s="174">
        <v>142.9</v>
      </c>
      <c r="EI181" s="175">
        <v>149.4</v>
      </c>
      <c r="EJ181" s="180">
        <v>149.5</v>
      </c>
      <c r="EK181" s="181">
        <v>176.2</v>
      </c>
      <c r="EL181" s="173">
        <v>176.3</v>
      </c>
    </row>
    <row r="182" spans="1:142" ht="11.15" customHeight="1">
      <c r="A182" s="208"/>
      <c r="B182" s="209"/>
      <c r="C182" s="209"/>
      <c r="D182" s="209"/>
      <c r="E182" s="209"/>
      <c r="F182" s="280"/>
      <c r="G182" s="280"/>
      <c r="H182" s="280"/>
      <c r="I182" s="280"/>
      <c r="J182" s="280"/>
      <c r="K182" s="280"/>
      <c r="L182" s="280"/>
      <c r="M182" s="280"/>
      <c r="N182" s="280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BK182" s="256"/>
      <c r="BL182" s="261"/>
      <c r="BM182" s="262"/>
      <c r="BN182" s="262"/>
      <c r="BO182" s="262"/>
      <c r="BP182" s="262"/>
      <c r="BQ182" s="262"/>
      <c r="BR182" s="262"/>
      <c r="BS182" s="262"/>
      <c r="BT182" s="262"/>
      <c r="BU182" s="41"/>
      <c r="BV182" s="256"/>
      <c r="BW182" s="261"/>
      <c r="BX182" s="262"/>
      <c r="BY182" s="262"/>
      <c r="BZ182" s="262"/>
      <c r="CA182" s="262"/>
      <c r="CB182" s="262"/>
      <c r="CC182" s="262"/>
      <c r="CD182" s="262"/>
      <c r="CE182" s="262"/>
      <c r="CF182" s="5"/>
      <c r="CG182" s="5"/>
      <c r="CH182" s="5"/>
      <c r="CI182" s="5"/>
      <c r="CJ182" s="5"/>
      <c r="CK182" s="5"/>
      <c r="CL182" s="5"/>
      <c r="DV182" s="119" t="s">
        <v>393</v>
      </c>
      <c r="DW182" s="120">
        <v>207</v>
      </c>
      <c r="DX182" s="121">
        <v>152.6</v>
      </c>
      <c r="DY182" s="145">
        <v>152.69999999999999</v>
      </c>
      <c r="DZ182" s="146">
        <v>160.19999999999999</v>
      </c>
      <c r="EA182" s="149">
        <v>160.30000000000001</v>
      </c>
      <c r="EB182" s="150">
        <v>190.7</v>
      </c>
      <c r="EC182" s="148">
        <v>190.8</v>
      </c>
      <c r="EE182" s="143" t="s">
        <v>393</v>
      </c>
      <c r="EF182" s="144">
        <v>207</v>
      </c>
      <c r="EG182" s="170">
        <v>142.80000000000001</v>
      </c>
      <c r="EH182" s="174">
        <v>142.9</v>
      </c>
      <c r="EI182" s="175">
        <v>149.5</v>
      </c>
      <c r="EJ182" s="180">
        <v>149.6</v>
      </c>
      <c r="EK182" s="181">
        <v>176.3</v>
      </c>
      <c r="EL182" s="173">
        <v>176.4</v>
      </c>
    </row>
    <row r="183" spans="1:142" ht="11.15" customHeight="1">
      <c r="A183" s="208"/>
      <c r="B183" s="209"/>
      <c r="C183" s="209"/>
      <c r="D183" s="210"/>
      <c r="E183" s="211"/>
      <c r="F183" s="369"/>
      <c r="G183" s="369"/>
      <c r="H183" s="369"/>
      <c r="I183" s="369"/>
      <c r="J183" s="369"/>
      <c r="K183" s="369"/>
      <c r="L183" s="369"/>
      <c r="M183" s="230"/>
      <c r="N183" s="230"/>
      <c r="O183" s="235"/>
      <c r="P183" s="235"/>
      <c r="Q183" s="235"/>
      <c r="R183" s="235"/>
      <c r="S183" s="235"/>
      <c r="T183" s="235"/>
      <c r="U183" s="235"/>
      <c r="V183" s="235"/>
      <c r="W183" s="235"/>
      <c r="X183" s="235"/>
      <c r="Y183" s="235"/>
      <c r="Z183" s="235"/>
      <c r="AA183" s="235"/>
      <c r="AB183" s="235"/>
      <c r="AC183" s="235"/>
      <c r="AD183" s="235"/>
      <c r="AE183" s="235"/>
      <c r="AF183" s="235"/>
      <c r="AG183" s="235"/>
      <c r="AH183" s="235"/>
      <c r="AI183" s="235"/>
      <c r="AJ183" s="235"/>
      <c r="AK183" s="235"/>
      <c r="AL183" s="235"/>
      <c r="AM183" s="235"/>
      <c r="AN183" s="235"/>
      <c r="AO183" s="235"/>
      <c r="AP183" s="235"/>
      <c r="AQ183" s="235"/>
      <c r="BK183" s="256"/>
      <c r="BL183" s="261"/>
      <c r="BM183" s="262"/>
      <c r="BN183" s="262"/>
      <c r="BO183" s="262"/>
      <c r="BP183" s="262"/>
      <c r="BQ183" s="262"/>
      <c r="BR183" s="262"/>
      <c r="BS183" s="262"/>
      <c r="BT183" s="262"/>
      <c r="BU183" s="41"/>
      <c r="BV183" s="256"/>
      <c r="BW183" s="261"/>
      <c r="BX183" s="262"/>
      <c r="BY183" s="262"/>
      <c r="BZ183" s="262"/>
      <c r="CA183" s="262"/>
      <c r="CB183" s="262"/>
      <c r="CC183" s="262"/>
      <c r="CD183" s="262"/>
      <c r="CE183" s="262"/>
      <c r="CF183" s="5"/>
      <c r="CG183" s="5"/>
      <c r="CH183" s="5"/>
      <c r="CI183" s="5"/>
      <c r="CJ183" s="5"/>
      <c r="CK183" s="5"/>
      <c r="CL183" s="5"/>
      <c r="DV183" s="119" t="s">
        <v>394</v>
      </c>
      <c r="DW183" s="120">
        <v>208</v>
      </c>
      <c r="DX183" s="121">
        <v>152.69999999999999</v>
      </c>
      <c r="DY183" s="145">
        <v>152.80000000000001</v>
      </c>
      <c r="DZ183" s="146">
        <v>160.30000000000001</v>
      </c>
      <c r="EA183" s="149">
        <v>160.4</v>
      </c>
      <c r="EB183" s="150">
        <v>190.8</v>
      </c>
      <c r="EC183" s="148">
        <v>190.9</v>
      </c>
      <c r="EE183" s="143" t="s">
        <v>394</v>
      </c>
      <c r="EF183" s="144">
        <v>208</v>
      </c>
      <c r="EG183" s="170">
        <v>142.80000000000001</v>
      </c>
      <c r="EH183" s="174">
        <v>142.9</v>
      </c>
      <c r="EI183" s="175">
        <v>149.5</v>
      </c>
      <c r="EJ183" s="180">
        <v>149.6</v>
      </c>
      <c r="EK183" s="181">
        <v>176.3</v>
      </c>
      <c r="EL183" s="173">
        <v>176.4</v>
      </c>
    </row>
    <row r="184" spans="1:142" ht="11.15" customHeight="1">
      <c r="A184" s="209"/>
      <c r="B184" s="209"/>
      <c r="C184" s="212"/>
      <c r="D184" s="213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BK184" s="256"/>
      <c r="BL184" s="261"/>
      <c r="BM184" s="262"/>
      <c r="BN184" s="262"/>
      <c r="BO184" s="262"/>
      <c r="BP184" s="262"/>
      <c r="BQ184" s="262"/>
      <c r="BR184" s="262"/>
      <c r="BS184" s="262"/>
      <c r="BT184" s="262"/>
      <c r="BU184" s="41"/>
      <c r="BV184" s="256"/>
      <c r="BW184" s="261"/>
      <c r="BX184" s="262"/>
      <c r="BY184" s="262"/>
      <c r="BZ184" s="262"/>
      <c r="CA184" s="262"/>
      <c r="CB184" s="262"/>
      <c r="CC184" s="262"/>
      <c r="CD184" s="262"/>
      <c r="CE184" s="262"/>
      <c r="CF184" s="5"/>
      <c r="CG184" s="5"/>
      <c r="CH184" s="5"/>
      <c r="CI184" s="5"/>
      <c r="CJ184" s="5"/>
      <c r="CK184" s="5"/>
      <c r="CL184" s="5"/>
      <c r="DV184" s="119" t="s">
        <v>395</v>
      </c>
      <c r="DW184" s="120">
        <v>209</v>
      </c>
      <c r="DX184" s="121">
        <v>152.9</v>
      </c>
      <c r="DY184" s="145">
        <v>153</v>
      </c>
      <c r="DZ184" s="146">
        <v>160.4</v>
      </c>
      <c r="EA184" s="149">
        <v>160.5</v>
      </c>
      <c r="EB184" s="150">
        <v>190.8</v>
      </c>
      <c r="EC184" s="148">
        <v>190.9</v>
      </c>
      <c r="EE184" s="143" t="s">
        <v>395</v>
      </c>
      <c r="EF184" s="144">
        <v>209</v>
      </c>
      <c r="EG184" s="170">
        <v>142.9</v>
      </c>
      <c r="EH184" s="174">
        <v>143</v>
      </c>
      <c r="EI184" s="175">
        <v>149.5</v>
      </c>
      <c r="EJ184" s="180">
        <v>149.6</v>
      </c>
      <c r="EK184" s="181">
        <v>176.3</v>
      </c>
      <c r="EL184" s="173">
        <v>176.4</v>
      </c>
    </row>
    <row r="185" spans="1:142" ht="11.15" customHeight="1">
      <c r="A185" s="374"/>
      <c r="B185" s="374"/>
      <c r="C185" s="374"/>
      <c r="D185" s="372"/>
      <c r="E185" s="373"/>
      <c r="F185" s="370"/>
      <c r="G185" s="215"/>
      <c r="H185" s="373"/>
      <c r="I185" s="370"/>
      <c r="J185" s="370"/>
      <c r="K185" s="370"/>
      <c r="L185" s="373"/>
      <c r="M185" s="374"/>
      <c r="N185" s="213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BK185" s="283"/>
      <c r="BL185" s="284"/>
      <c r="BM185" s="292"/>
      <c r="BN185" s="292"/>
      <c r="BO185" s="292"/>
      <c r="BP185" s="292"/>
      <c r="BQ185" s="292"/>
      <c r="BR185" s="292"/>
      <c r="BS185" s="292"/>
      <c r="BT185" s="292"/>
      <c r="BV185" s="256"/>
      <c r="BW185" s="261"/>
      <c r="BX185" s="255"/>
      <c r="BY185" s="261"/>
      <c r="BZ185" s="261"/>
      <c r="CA185" s="261"/>
      <c r="CB185" s="261"/>
      <c r="CC185" s="261"/>
      <c r="CD185" s="261"/>
      <c r="CE185" s="255"/>
      <c r="CF185" s="5"/>
      <c r="CG185" s="5"/>
      <c r="CH185" s="5"/>
      <c r="CI185" s="5"/>
      <c r="CJ185" s="5"/>
      <c r="CK185" s="5"/>
      <c r="CL185" s="5"/>
      <c r="DV185" s="119" t="s">
        <v>396</v>
      </c>
      <c r="DW185" s="120">
        <v>210</v>
      </c>
      <c r="DX185" s="121">
        <v>153</v>
      </c>
      <c r="DY185" s="145">
        <v>153.1</v>
      </c>
      <c r="DZ185" s="146">
        <v>160.5</v>
      </c>
      <c r="EA185" s="149">
        <v>160.6</v>
      </c>
      <c r="EB185" s="150">
        <v>190.9</v>
      </c>
      <c r="EC185" s="148">
        <v>191</v>
      </c>
      <c r="EE185" s="143" t="s">
        <v>396</v>
      </c>
      <c r="EF185" s="144">
        <v>210</v>
      </c>
      <c r="EG185" s="170">
        <v>142.9</v>
      </c>
      <c r="EH185" s="174">
        <v>143</v>
      </c>
      <c r="EI185" s="175">
        <v>149.6</v>
      </c>
      <c r="EJ185" s="180">
        <v>149.69999999999999</v>
      </c>
      <c r="EK185" s="181">
        <v>176.3</v>
      </c>
      <c r="EL185" s="173">
        <v>176.4</v>
      </c>
    </row>
    <row r="186" spans="1:142" ht="11.15" customHeight="1">
      <c r="A186" s="374"/>
      <c r="B186" s="374"/>
      <c r="C186" s="374"/>
      <c r="D186" s="372"/>
      <c r="E186" s="373"/>
      <c r="F186" s="370"/>
      <c r="G186" s="215"/>
      <c r="H186" s="373"/>
      <c r="I186" s="233"/>
      <c r="J186" s="233"/>
      <c r="K186" s="233"/>
      <c r="L186" s="373"/>
      <c r="M186" s="374"/>
      <c r="N186" s="213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BK186" s="283"/>
      <c r="BL186" s="284"/>
      <c r="BM186" s="292"/>
      <c r="BN186" s="292"/>
      <c r="BO186" s="292"/>
      <c r="BP186" s="292"/>
      <c r="BQ186" s="292"/>
      <c r="BR186" s="292"/>
      <c r="BS186" s="292"/>
      <c r="BT186" s="292"/>
      <c r="BV186" s="256"/>
      <c r="BW186" s="261"/>
      <c r="BX186" s="255"/>
      <c r="BY186" s="261"/>
      <c r="BZ186" s="261"/>
      <c r="CA186" s="261"/>
      <c r="CB186" s="261"/>
      <c r="CC186" s="261"/>
      <c r="CD186" s="261"/>
      <c r="CE186" s="255"/>
      <c r="CF186" s="5"/>
      <c r="CG186" s="5"/>
      <c r="CH186" s="5"/>
      <c r="CI186" s="5"/>
      <c r="CJ186" s="5"/>
      <c r="CK186" s="5"/>
      <c r="CL186" s="5"/>
      <c r="DV186" s="119" t="s">
        <v>397</v>
      </c>
      <c r="DW186" s="120">
        <v>211</v>
      </c>
      <c r="DX186" s="121">
        <v>153.1</v>
      </c>
      <c r="DY186" s="145">
        <v>153.19999999999999</v>
      </c>
      <c r="DZ186" s="146">
        <v>160.69999999999999</v>
      </c>
      <c r="EA186" s="149">
        <v>160.80000000000001</v>
      </c>
      <c r="EB186" s="150">
        <v>190.9</v>
      </c>
      <c r="EC186" s="148">
        <v>191</v>
      </c>
      <c r="EE186" s="143" t="s">
        <v>397</v>
      </c>
      <c r="EF186" s="144">
        <v>211</v>
      </c>
      <c r="EG186" s="170">
        <v>143</v>
      </c>
      <c r="EH186" s="174">
        <v>143.1</v>
      </c>
      <c r="EI186" s="175">
        <v>149.6</v>
      </c>
      <c r="EJ186" s="180">
        <v>149.69999999999999</v>
      </c>
      <c r="EK186" s="181">
        <v>176.3</v>
      </c>
      <c r="EL186" s="173">
        <v>176.4</v>
      </c>
    </row>
    <row r="187" spans="1:142" ht="11.15" customHeight="1">
      <c r="A187" s="216"/>
      <c r="B187" s="217"/>
      <c r="C187" s="218"/>
      <c r="D187" s="219"/>
      <c r="E187" s="217"/>
      <c r="F187" s="217"/>
      <c r="G187" s="217"/>
      <c r="H187" s="220"/>
      <c r="I187" s="217"/>
      <c r="J187" s="217"/>
      <c r="K187" s="217"/>
      <c r="L187" s="217"/>
      <c r="M187" s="217"/>
      <c r="N187" s="217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BA187" s="5"/>
      <c r="BB187" s="5"/>
      <c r="BC187" s="5"/>
      <c r="BD187" s="5"/>
      <c r="BE187" s="63"/>
      <c r="BF187" s="63"/>
      <c r="BG187" s="63"/>
      <c r="BK187" s="283"/>
      <c r="BL187" s="284"/>
      <c r="BM187" s="292"/>
      <c r="BN187" s="292"/>
      <c r="BO187" s="292"/>
      <c r="BP187" s="292"/>
      <c r="BQ187" s="292"/>
      <c r="BR187" s="292"/>
      <c r="BS187" s="292"/>
      <c r="BT187" s="292"/>
      <c r="BV187" s="256"/>
      <c r="BW187" s="261"/>
      <c r="BX187" s="255"/>
      <c r="BY187" s="261"/>
      <c r="BZ187" s="261"/>
      <c r="CA187" s="261"/>
      <c r="CB187" s="261"/>
      <c r="CC187" s="261"/>
      <c r="CD187" s="261"/>
      <c r="CE187" s="255"/>
      <c r="CF187" s="5"/>
      <c r="CG187" s="53"/>
      <c r="CH187" s="53"/>
      <c r="CI187" s="53"/>
      <c r="CJ187" s="53"/>
      <c r="CK187" s="53"/>
      <c r="CL187" s="53"/>
      <c r="CN187" s="53"/>
      <c r="CO187" s="53"/>
      <c r="CP187" s="53"/>
      <c r="CQ187" s="53"/>
      <c r="CR187" s="53"/>
      <c r="CS187" s="53"/>
      <c r="DV187" s="119" t="s">
        <v>398</v>
      </c>
      <c r="DW187" s="120">
        <v>212</v>
      </c>
      <c r="DX187" s="121">
        <v>153.19999999999999</v>
      </c>
      <c r="DY187" s="145">
        <v>153.30000000000001</v>
      </c>
      <c r="DZ187" s="146">
        <v>160.80000000000001</v>
      </c>
      <c r="EA187" s="149">
        <v>160.9</v>
      </c>
      <c r="EB187" s="150">
        <v>191</v>
      </c>
      <c r="EC187" s="148">
        <v>191.1</v>
      </c>
      <c r="EE187" s="143" t="s">
        <v>398</v>
      </c>
      <c r="EF187" s="144">
        <v>212</v>
      </c>
      <c r="EG187" s="170">
        <v>143</v>
      </c>
      <c r="EH187" s="174">
        <v>143.1</v>
      </c>
      <c r="EI187" s="175">
        <v>149.6</v>
      </c>
      <c r="EJ187" s="180">
        <v>149.69999999999999</v>
      </c>
      <c r="EK187" s="181">
        <v>176.3</v>
      </c>
      <c r="EL187" s="173">
        <v>176.4</v>
      </c>
    </row>
    <row r="188" spans="1:142" ht="11.15" customHeight="1">
      <c r="A188" s="216"/>
      <c r="B188" s="217"/>
      <c r="C188" s="218"/>
      <c r="D188" s="219"/>
      <c r="E188" s="217"/>
      <c r="F188" s="217"/>
      <c r="G188" s="217"/>
      <c r="H188" s="220"/>
      <c r="I188" s="217"/>
      <c r="J188" s="217"/>
      <c r="K188" s="217"/>
      <c r="L188" s="217"/>
      <c r="M188" s="217"/>
      <c r="N188" s="217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BA188" s="5"/>
      <c r="BB188" s="5"/>
      <c r="BC188" s="5"/>
      <c r="BD188" s="5"/>
      <c r="BE188" s="63"/>
      <c r="BF188" s="63"/>
      <c r="BG188" s="63"/>
      <c r="BK188" s="283"/>
      <c r="BL188" s="284"/>
      <c r="BM188" s="292"/>
      <c r="BN188" s="292"/>
      <c r="BO188" s="292"/>
      <c r="BP188" s="292"/>
      <c r="BQ188" s="292"/>
      <c r="BR188" s="292"/>
      <c r="BS188" s="292"/>
      <c r="BT188" s="292"/>
      <c r="BV188" s="256"/>
      <c r="BW188" s="261"/>
      <c r="BX188" s="255"/>
      <c r="BY188" s="261"/>
      <c r="BZ188" s="261"/>
      <c r="CA188" s="261"/>
      <c r="CB188" s="261"/>
      <c r="CC188" s="261"/>
      <c r="CD188" s="261"/>
      <c r="CE188" s="255"/>
      <c r="CF188" s="5"/>
      <c r="CG188" s="53"/>
      <c r="CH188" s="53"/>
      <c r="CI188" s="53"/>
      <c r="CJ188" s="53"/>
      <c r="CK188" s="53"/>
      <c r="CL188" s="53"/>
      <c r="CN188" s="53"/>
      <c r="CO188" s="53"/>
      <c r="CP188" s="53"/>
      <c r="CQ188" s="53"/>
      <c r="CR188" s="53"/>
      <c r="CS188" s="53"/>
      <c r="DV188" s="119" t="s">
        <v>399</v>
      </c>
      <c r="DW188" s="120">
        <v>213</v>
      </c>
      <c r="DX188" s="121">
        <v>153.30000000000001</v>
      </c>
      <c r="DY188" s="145">
        <v>153.4</v>
      </c>
      <c r="DZ188" s="146">
        <v>160.80000000000001</v>
      </c>
      <c r="EA188" s="149">
        <v>160.9</v>
      </c>
      <c r="EB188" s="150">
        <v>191</v>
      </c>
      <c r="EC188" s="148">
        <v>191.1</v>
      </c>
      <c r="EE188" s="143" t="s">
        <v>399</v>
      </c>
      <c r="EF188" s="144">
        <v>213</v>
      </c>
      <c r="EG188" s="170">
        <v>143</v>
      </c>
      <c r="EH188" s="174">
        <v>143.1</v>
      </c>
      <c r="EI188" s="175">
        <v>149.69999999999999</v>
      </c>
      <c r="EJ188" s="180">
        <v>149.80000000000001</v>
      </c>
      <c r="EK188" s="181">
        <v>176.3</v>
      </c>
      <c r="EL188" s="173">
        <v>176.4</v>
      </c>
    </row>
    <row r="189" spans="1:142" ht="11.15" customHeight="1">
      <c r="A189" s="216"/>
      <c r="B189" s="217"/>
      <c r="C189" s="218"/>
      <c r="D189" s="219"/>
      <c r="E189" s="217"/>
      <c r="F189" s="217"/>
      <c r="G189" s="217"/>
      <c r="H189" s="220"/>
      <c r="I189" s="217"/>
      <c r="J189" s="217"/>
      <c r="K189" s="217"/>
      <c r="L189" s="217"/>
      <c r="M189" s="217"/>
      <c r="N189" s="217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BA189" s="5"/>
      <c r="BB189" s="5"/>
      <c r="BC189" s="5"/>
      <c r="BD189" s="5"/>
      <c r="BE189" s="63"/>
      <c r="BF189" s="63"/>
      <c r="BG189" s="63"/>
      <c r="BK189" s="283"/>
      <c r="BL189" s="284"/>
      <c r="BM189" s="292"/>
      <c r="BN189" s="292"/>
      <c r="BO189" s="292"/>
      <c r="BP189" s="292"/>
      <c r="BQ189" s="292"/>
      <c r="BR189" s="292"/>
      <c r="BS189" s="292"/>
      <c r="BT189" s="292"/>
      <c r="BV189" s="256"/>
      <c r="BW189" s="261"/>
      <c r="BX189" s="255"/>
      <c r="BY189" s="261"/>
      <c r="BZ189" s="261"/>
      <c r="CA189" s="261"/>
      <c r="CB189" s="261"/>
      <c r="CC189" s="261"/>
      <c r="CD189" s="261"/>
      <c r="CE189" s="255"/>
      <c r="CF189" s="5"/>
      <c r="CG189" s="53"/>
      <c r="CH189" s="53"/>
      <c r="CI189" s="53"/>
      <c r="CJ189" s="53"/>
      <c r="CK189" s="53"/>
      <c r="CL189" s="53"/>
      <c r="CN189" s="53"/>
      <c r="CO189" s="53"/>
      <c r="CP189" s="53"/>
      <c r="CQ189" s="53"/>
      <c r="CR189" s="53"/>
      <c r="CS189" s="53"/>
      <c r="DV189" s="119" t="s">
        <v>400</v>
      </c>
      <c r="DW189" s="120">
        <v>214</v>
      </c>
      <c r="DX189" s="121">
        <v>153.4</v>
      </c>
      <c r="DY189" s="145">
        <v>153.5</v>
      </c>
      <c r="DZ189" s="146">
        <v>160.9</v>
      </c>
      <c r="EA189" s="149">
        <v>161</v>
      </c>
      <c r="EB189" s="150">
        <v>191</v>
      </c>
      <c r="EC189" s="148">
        <v>191.1</v>
      </c>
      <c r="EE189" s="143" t="s">
        <v>400</v>
      </c>
      <c r="EF189" s="144">
        <v>214</v>
      </c>
      <c r="EG189" s="170">
        <v>143.1</v>
      </c>
      <c r="EH189" s="174">
        <v>143.19999999999999</v>
      </c>
      <c r="EI189" s="175">
        <v>149.69999999999999</v>
      </c>
      <c r="EJ189" s="180">
        <v>149.80000000000001</v>
      </c>
      <c r="EK189" s="181">
        <v>176.3</v>
      </c>
      <c r="EL189" s="173">
        <v>176.4</v>
      </c>
    </row>
    <row r="190" spans="1:142" ht="11.15" customHeight="1">
      <c r="A190" s="216"/>
      <c r="B190" s="217"/>
      <c r="C190" s="218"/>
      <c r="D190" s="219"/>
      <c r="E190" s="217"/>
      <c r="F190" s="217"/>
      <c r="G190" s="217"/>
      <c r="H190" s="220"/>
      <c r="I190" s="217"/>
      <c r="J190" s="217"/>
      <c r="K190" s="217"/>
      <c r="L190" s="217"/>
      <c r="M190" s="217"/>
      <c r="N190" s="217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BA190" s="5"/>
      <c r="BB190" s="5"/>
      <c r="BC190" s="5"/>
      <c r="BD190" s="5"/>
      <c r="BE190" s="63"/>
      <c r="BF190" s="63"/>
      <c r="BG190" s="63"/>
      <c r="BK190" s="283"/>
      <c r="BL190" s="284"/>
      <c r="BM190" s="292"/>
      <c r="BN190" s="292"/>
      <c r="BO190" s="292"/>
      <c r="BP190" s="292"/>
      <c r="BQ190" s="292"/>
      <c r="BR190" s="292"/>
      <c r="BS190" s="292"/>
      <c r="BT190" s="292"/>
      <c r="BV190" s="256"/>
      <c r="BW190" s="261"/>
      <c r="BX190" s="255"/>
      <c r="BY190" s="261"/>
      <c r="BZ190" s="261"/>
      <c r="CA190" s="261"/>
      <c r="CB190" s="261"/>
      <c r="CC190" s="261"/>
      <c r="CD190" s="261"/>
      <c r="CE190" s="255"/>
      <c r="CF190" s="5"/>
      <c r="CG190" s="53"/>
      <c r="CH190" s="53"/>
      <c r="CI190" s="53"/>
      <c r="CJ190" s="53"/>
      <c r="CK190" s="53"/>
      <c r="CL190" s="53"/>
      <c r="CN190" s="53"/>
      <c r="CO190" s="53"/>
      <c r="CP190" s="53"/>
      <c r="CQ190" s="53"/>
      <c r="CR190" s="53"/>
      <c r="CS190" s="53"/>
      <c r="DV190" s="119" t="s">
        <v>401</v>
      </c>
      <c r="DW190" s="120">
        <v>215</v>
      </c>
      <c r="DX190" s="121">
        <v>153.5</v>
      </c>
      <c r="DY190" s="145">
        <v>153.6</v>
      </c>
      <c r="DZ190" s="146">
        <v>161</v>
      </c>
      <c r="EA190" s="149">
        <v>161.1</v>
      </c>
      <c r="EB190" s="150">
        <v>191.1</v>
      </c>
      <c r="EC190" s="148">
        <v>191.2</v>
      </c>
      <c r="EE190" s="143" t="s">
        <v>401</v>
      </c>
      <c r="EF190" s="144">
        <v>215</v>
      </c>
      <c r="EG190" s="170">
        <v>143.1</v>
      </c>
      <c r="EH190" s="174">
        <v>143.19999999999999</v>
      </c>
      <c r="EI190" s="175">
        <v>149.69999999999999</v>
      </c>
      <c r="EJ190" s="180">
        <v>149.80000000000001</v>
      </c>
      <c r="EK190" s="181">
        <v>176.3</v>
      </c>
      <c r="EL190" s="173">
        <v>176.4</v>
      </c>
    </row>
    <row r="191" spans="1:142" ht="11.15" customHeight="1">
      <c r="A191" s="216"/>
      <c r="B191" s="217"/>
      <c r="C191" s="218"/>
      <c r="D191" s="219"/>
      <c r="E191" s="217"/>
      <c r="F191" s="217"/>
      <c r="G191" s="217"/>
      <c r="H191" s="220"/>
      <c r="I191" s="217"/>
      <c r="J191" s="217"/>
      <c r="K191" s="217"/>
      <c r="L191" s="217"/>
      <c r="M191" s="217"/>
      <c r="N191" s="217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BA191" s="5"/>
      <c r="BB191" s="5"/>
      <c r="BC191" s="5"/>
      <c r="BD191" s="5"/>
      <c r="BE191" s="63"/>
      <c r="BF191" s="63"/>
      <c r="BG191" s="63"/>
      <c r="BK191" s="283"/>
      <c r="BL191" s="284"/>
      <c r="BM191" s="292"/>
      <c r="BN191" s="292"/>
      <c r="BO191" s="292"/>
      <c r="BP191" s="292"/>
      <c r="BQ191" s="292"/>
      <c r="BR191" s="292"/>
      <c r="BS191" s="292"/>
      <c r="BT191" s="292"/>
      <c r="BV191" s="256"/>
      <c r="BW191" s="261"/>
      <c r="BX191" s="255"/>
      <c r="BY191" s="261"/>
      <c r="BZ191" s="261"/>
      <c r="CA191" s="261"/>
      <c r="CB191" s="261"/>
      <c r="CC191" s="261"/>
      <c r="CD191" s="261"/>
      <c r="CE191" s="255"/>
      <c r="CF191" s="5"/>
      <c r="CG191" s="53"/>
      <c r="CH191" s="53"/>
      <c r="CI191" s="53"/>
      <c r="CJ191" s="53"/>
      <c r="CK191" s="53"/>
      <c r="CL191" s="53"/>
      <c r="CN191" s="53"/>
      <c r="CO191" s="53"/>
      <c r="CP191" s="53"/>
      <c r="CQ191" s="53"/>
      <c r="CR191" s="53"/>
      <c r="CS191" s="53"/>
      <c r="DV191" s="119" t="s">
        <v>402</v>
      </c>
      <c r="DW191" s="120">
        <v>216</v>
      </c>
      <c r="DX191" s="121">
        <v>153.6</v>
      </c>
      <c r="DY191" s="145">
        <v>153.69999999999999</v>
      </c>
      <c r="DZ191" s="146">
        <v>161.1</v>
      </c>
      <c r="EA191" s="149">
        <v>161.19999999999999</v>
      </c>
      <c r="EB191" s="150">
        <v>191.1</v>
      </c>
      <c r="EC191" s="148">
        <v>191.2</v>
      </c>
      <c r="EE191" s="143" t="s">
        <v>402</v>
      </c>
      <c r="EF191" s="144">
        <v>216</v>
      </c>
      <c r="EG191" s="170">
        <v>143.1</v>
      </c>
      <c r="EH191" s="174">
        <v>143.19999999999999</v>
      </c>
      <c r="EI191" s="175">
        <v>149.69999999999999</v>
      </c>
      <c r="EJ191" s="180">
        <v>149.80000000000001</v>
      </c>
      <c r="EK191" s="181">
        <v>176.3</v>
      </c>
      <c r="EL191" s="173">
        <v>176.4</v>
      </c>
    </row>
    <row r="192" spans="1:142" ht="11.15" customHeight="1">
      <c r="A192" s="216"/>
      <c r="B192" s="217"/>
      <c r="C192" s="218"/>
      <c r="D192" s="219"/>
      <c r="E192" s="217"/>
      <c r="F192" s="217"/>
      <c r="G192" s="217"/>
      <c r="H192" s="220"/>
      <c r="I192" s="217"/>
      <c r="J192" s="217"/>
      <c r="K192" s="217"/>
      <c r="L192" s="217"/>
      <c r="M192" s="217"/>
      <c r="N192" s="217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BA192" s="5"/>
      <c r="BB192" s="5"/>
      <c r="BC192" s="5"/>
      <c r="BD192" s="5"/>
      <c r="BE192" s="63"/>
      <c r="BF192" s="63"/>
      <c r="BG192" s="63"/>
      <c r="BK192" s="283"/>
      <c r="BL192" s="284"/>
      <c r="BM192" s="292"/>
      <c r="BN192" s="292"/>
      <c r="BO192" s="292"/>
      <c r="BP192" s="292"/>
      <c r="BQ192" s="292"/>
      <c r="BR192" s="292"/>
      <c r="BS192" s="292"/>
      <c r="BT192" s="292"/>
      <c r="BV192" s="256"/>
      <c r="BW192" s="261"/>
      <c r="BX192" s="255"/>
      <c r="BY192" s="261"/>
      <c r="BZ192" s="261"/>
      <c r="CA192" s="261"/>
      <c r="CB192" s="261"/>
      <c r="CC192" s="261"/>
      <c r="CD192" s="261"/>
      <c r="CE192" s="255"/>
      <c r="CF192" s="5"/>
      <c r="CG192" s="53"/>
      <c r="CH192" s="53"/>
      <c r="CI192" s="53"/>
      <c r="CJ192" s="53"/>
      <c r="CK192" s="53"/>
      <c r="CL192" s="53"/>
      <c r="CN192" s="53"/>
      <c r="CO192" s="53"/>
      <c r="CP192" s="53"/>
      <c r="CQ192" s="53"/>
      <c r="CR192" s="53"/>
      <c r="CS192" s="53"/>
      <c r="DV192" s="119" t="s">
        <v>403</v>
      </c>
      <c r="DW192" s="120">
        <v>217</v>
      </c>
      <c r="DX192" s="121">
        <v>153.69999999999999</v>
      </c>
      <c r="DY192" s="145">
        <v>153.80000000000001</v>
      </c>
      <c r="DZ192" s="146">
        <v>161.19999999999999</v>
      </c>
      <c r="EA192" s="149">
        <v>161.30000000000001</v>
      </c>
      <c r="EB192" s="150">
        <v>191.1</v>
      </c>
      <c r="EC192" s="148">
        <v>191.2</v>
      </c>
      <c r="EE192" s="143" t="s">
        <v>403</v>
      </c>
      <c r="EF192" s="144">
        <v>217</v>
      </c>
      <c r="EG192" s="170">
        <v>143.19999999999999</v>
      </c>
      <c r="EH192" s="174">
        <v>143.30000000000001</v>
      </c>
      <c r="EI192" s="175">
        <v>149.80000000000001</v>
      </c>
      <c r="EJ192" s="180">
        <v>149.9</v>
      </c>
      <c r="EK192" s="181">
        <v>176.3</v>
      </c>
      <c r="EL192" s="173">
        <v>176.4</v>
      </c>
    </row>
    <row r="193" spans="1:142" ht="11.15" customHeight="1">
      <c r="A193" s="216"/>
      <c r="B193" s="217"/>
      <c r="C193" s="218"/>
      <c r="D193" s="219"/>
      <c r="E193" s="217"/>
      <c r="F193" s="217"/>
      <c r="G193" s="217"/>
      <c r="H193" s="220"/>
      <c r="I193" s="217"/>
      <c r="J193" s="217"/>
      <c r="K193" s="217"/>
      <c r="L193" s="217"/>
      <c r="M193" s="217"/>
      <c r="N193" s="217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BA193" s="5"/>
      <c r="BB193" s="5"/>
      <c r="BC193" s="5"/>
      <c r="BD193" s="5"/>
      <c r="BE193" s="63"/>
      <c r="BF193" s="63"/>
      <c r="BG193" s="63"/>
      <c r="BK193" s="283"/>
      <c r="BL193" s="284"/>
      <c r="BM193" s="292"/>
      <c r="BN193" s="292"/>
      <c r="BO193" s="292"/>
      <c r="BP193" s="292"/>
      <c r="BQ193" s="292"/>
      <c r="BR193" s="292"/>
      <c r="BS193" s="292"/>
      <c r="BT193" s="292"/>
      <c r="BV193" s="256"/>
      <c r="BW193" s="261"/>
      <c r="BX193" s="255"/>
      <c r="BY193" s="261"/>
      <c r="BZ193" s="261"/>
      <c r="CA193" s="261"/>
      <c r="CB193" s="261"/>
      <c r="CC193" s="261"/>
      <c r="CD193" s="261"/>
      <c r="CE193" s="255"/>
      <c r="CF193" s="5"/>
      <c r="CG193" s="53"/>
      <c r="CH193" s="53"/>
      <c r="CI193" s="53"/>
      <c r="CJ193" s="53"/>
      <c r="CK193" s="53"/>
      <c r="CL193" s="53"/>
      <c r="CN193" s="53"/>
      <c r="CO193" s="53"/>
      <c r="CP193" s="53"/>
      <c r="CQ193" s="53"/>
      <c r="CR193" s="53"/>
      <c r="CS193" s="53"/>
      <c r="DV193" s="119" t="s">
        <v>404</v>
      </c>
      <c r="DW193" s="120">
        <v>218</v>
      </c>
      <c r="DX193" s="121">
        <v>153.80000000000001</v>
      </c>
      <c r="DY193" s="145">
        <v>153.9</v>
      </c>
      <c r="DZ193" s="146">
        <v>161.30000000000001</v>
      </c>
      <c r="EA193" s="149">
        <v>161.4</v>
      </c>
      <c r="EB193" s="150">
        <v>191.1</v>
      </c>
      <c r="EC193" s="148">
        <v>191.2</v>
      </c>
      <c r="EE193" s="143" t="s">
        <v>404</v>
      </c>
      <c r="EF193" s="144">
        <v>218</v>
      </c>
      <c r="EG193" s="170">
        <v>143.19999999999999</v>
      </c>
      <c r="EH193" s="174">
        <v>143.30000000000001</v>
      </c>
      <c r="EI193" s="175">
        <v>149.80000000000001</v>
      </c>
      <c r="EJ193" s="180">
        <v>149.9</v>
      </c>
      <c r="EK193" s="181">
        <v>176.3</v>
      </c>
      <c r="EL193" s="173">
        <v>176.4</v>
      </c>
    </row>
    <row r="194" spans="1:142" ht="11.15" customHeight="1">
      <c r="A194" s="216"/>
      <c r="B194" s="217"/>
      <c r="C194" s="218"/>
      <c r="D194" s="219"/>
      <c r="E194" s="217"/>
      <c r="F194" s="217"/>
      <c r="G194" s="217"/>
      <c r="H194" s="220"/>
      <c r="I194" s="217"/>
      <c r="J194" s="217"/>
      <c r="K194" s="217"/>
      <c r="L194" s="217"/>
      <c r="M194" s="217"/>
      <c r="N194" s="217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W194" s="63"/>
      <c r="AX194" s="63"/>
      <c r="AY194" s="63"/>
      <c r="AZ194" s="63"/>
      <c r="BA194" s="5"/>
      <c r="BB194" s="5"/>
      <c r="BC194" s="5"/>
      <c r="BD194" s="5"/>
      <c r="BE194" s="63"/>
      <c r="BF194" s="63"/>
      <c r="BG194" s="63"/>
      <c r="BK194" s="283"/>
      <c r="BL194" s="284"/>
      <c r="BM194" s="292"/>
      <c r="BN194" s="292"/>
      <c r="BO194" s="292"/>
      <c r="BP194" s="292"/>
      <c r="BQ194" s="292"/>
      <c r="BR194" s="292"/>
      <c r="BS194" s="292"/>
      <c r="BT194" s="292"/>
      <c r="BV194" s="256"/>
      <c r="BW194" s="261"/>
      <c r="BX194" s="255"/>
      <c r="BY194" s="261"/>
      <c r="BZ194" s="261"/>
      <c r="CA194" s="261"/>
      <c r="CB194" s="261"/>
      <c r="CC194" s="261"/>
      <c r="CD194" s="261"/>
      <c r="CE194" s="255"/>
      <c r="CF194" s="5"/>
      <c r="CG194" s="53"/>
      <c r="CH194" s="53"/>
      <c r="CI194" s="53"/>
      <c r="CJ194" s="53"/>
      <c r="CK194" s="53"/>
      <c r="CL194" s="53"/>
      <c r="CN194" s="53"/>
      <c r="CO194" s="53"/>
      <c r="CP194" s="53"/>
      <c r="CQ194" s="53"/>
      <c r="CR194" s="53"/>
      <c r="CS194" s="53"/>
      <c r="DV194" s="119" t="s">
        <v>405</v>
      </c>
      <c r="DW194" s="120">
        <v>219</v>
      </c>
      <c r="DX194" s="121">
        <v>153.9</v>
      </c>
      <c r="DY194" s="145">
        <v>154</v>
      </c>
      <c r="DZ194" s="146">
        <v>161.30000000000001</v>
      </c>
      <c r="EA194" s="149">
        <v>161.4</v>
      </c>
      <c r="EB194" s="150">
        <v>191.1</v>
      </c>
      <c r="EC194" s="148">
        <v>191.2</v>
      </c>
      <c r="EE194" s="143" t="s">
        <v>405</v>
      </c>
      <c r="EF194" s="144">
        <v>219</v>
      </c>
      <c r="EG194" s="170">
        <v>143.19999999999999</v>
      </c>
      <c r="EH194" s="174">
        <v>143.30000000000001</v>
      </c>
      <c r="EI194" s="175">
        <v>149.80000000000001</v>
      </c>
      <c r="EJ194" s="180">
        <v>149.9</v>
      </c>
      <c r="EK194" s="181">
        <v>176.3</v>
      </c>
      <c r="EL194" s="173">
        <v>176.4</v>
      </c>
    </row>
    <row r="195" spans="1:142" ht="11.15" customHeight="1">
      <c r="A195" s="216"/>
      <c r="B195" s="217"/>
      <c r="C195" s="218"/>
      <c r="D195" s="219"/>
      <c r="E195" s="217"/>
      <c r="F195" s="217"/>
      <c r="G195" s="217"/>
      <c r="H195" s="220"/>
      <c r="I195" s="217"/>
      <c r="J195" s="217"/>
      <c r="K195" s="217"/>
      <c r="L195" s="217"/>
      <c r="M195" s="217"/>
      <c r="N195" s="217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W195" s="63"/>
      <c r="AX195" s="63"/>
      <c r="AY195" s="63"/>
      <c r="AZ195" s="63"/>
      <c r="BA195" s="5"/>
      <c r="BB195" s="5"/>
      <c r="BC195" s="5"/>
      <c r="BD195" s="5"/>
      <c r="BE195" s="63"/>
      <c r="BF195" s="63"/>
      <c r="BG195" s="63"/>
      <c r="BK195" s="283"/>
      <c r="BL195" s="284"/>
      <c r="BM195" s="292"/>
      <c r="BN195" s="292"/>
      <c r="BO195" s="292"/>
      <c r="BP195" s="292"/>
      <c r="BQ195" s="292"/>
      <c r="BR195" s="292"/>
      <c r="BS195" s="292"/>
      <c r="BT195" s="292"/>
      <c r="BV195" s="256"/>
      <c r="BW195" s="261"/>
      <c r="BX195" s="255"/>
      <c r="BY195" s="261"/>
      <c r="BZ195" s="261"/>
      <c r="CA195" s="261"/>
      <c r="CB195" s="261"/>
      <c r="CC195" s="261"/>
      <c r="CD195" s="261"/>
      <c r="CE195" s="255"/>
      <c r="CF195" s="5"/>
      <c r="CG195" s="53"/>
      <c r="CH195" s="53"/>
      <c r="CI195" s="53"/>
      <c r="CJ195" s="53"/>
      <c r="CK195" s="53"/>
      <c r="CL195" s="53"/>
      <c r="CN195" s="53"/>
      <c r="CO195" s="53"/>
      <c r="CP195" s="53"/>
      <c r="CQ195" s="53"/>
      <c r="CR195" s="53"/>
      <c r="CS195" s="53"/>
      <c r="DV195" s="119" t="s">
        <v>406</v>
      </c>
      <c r="DW195" s="120">
        <v>220</v>
      </c>
      <c r="DX195" s="121">
        <v>154</v>
      </c>
      <c r="DY195" s="145">
        <v>154.1</v>
      </c>
      <c r="DZ195" s="146">
        <v>161.4</v>
      </c>
      <c r="EA195" s="149">
        <v>161.5</v>
      </c>
      <c r="EB195" s="150">
        <v>191.1</v>
      </c>
      <c r="EC195" s="148">
        <v>191.2</v>
      </c>
      <c r="EE195" s="143" t="s">
        <v>406</v>
      </c>
      <c r="EF195" s="144">
        <v>220</v>
      </c>
      <c r="EG195" s="170">
        <v>143.30000000000001</v>
      </c>
      <c r="EH195" s="174">
        <v>143.4</v>
      </c>
      <c r="EI195" s="175">
        <v>149.80000000000001</v>
      </c>
      <c r="EJ195" s="180">
        <v>149.9</v>
      </c>
      <c r="EK195" s="181">
        <v>176.3</v>
      </c>
      <c r="EL195" s="173">
        <v>176.4</v>
      </c>
    </row>
    <row r="196" spans="1:142" ht="11.15" customHeight="1">
      <c r="A196" s="216"/>
      <c r="B196" s="217"/>
      <c r="C196" s="218"/>
      <c r="D196" s="219"/>
      <c r="E196" s="217"/>
      <c r="F196" s="217"/>
      <c r="G196" s="217"/>
      <c r="H196" s="220"/>
      <c r="I196" s="217"/>
      <c r="J196" s="217"/>
      <c r="K196" s="217"/>
      <c r="L196" s="217"/>
      <c r="M196" s="217"/>
      <c r="N196" s="217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W196" s="63"/>
      <c r="AX196" s="63"/>
      <c r="AY196" s="63"/>
      <c r="AZ196" s="63"/>
      <c r="BA196" s="5"/>
      <c r="BB196" s="5"/>
      <c r="BC196" s="5"/>
      <c r="BD196" s="5"/>
      <c r="BE196" s="63"/>
      <c r="BF196" s="63"/>
      <c r="BG196" s="63"/>
      <c r="BK196" s="283"/>
      <c r="BL196" s="284"/>
      <c r="BM196" s="292"/>
      <c r="BN196" s="292"/>
      <c r="BO196" s="292"/>
      <c r="BP196" s="292"/>
      <c r="BQ196" s="292"/>
      <c r="BR196" s="292"/>
      <c r="BS196" s="292"/>
      <c r="BT196" s="292"/>
      <c r="BV196" s="256"/>
      <c r="BW196" s="261"/>
      <c r="BX196" s="255"/>
      <c r="BY196" s="261"/>
      <c r="BZ196" s="261"/>
      <c r="CA196" s="261"/>
      <c r="CB196" s="261"/>
      <c r="CC196" s="261"/>
      <c r="CD196" s="261"/>
      <c r="CE196" s="255"/>
      <c r="CF196" s="5"/>
      <c r="CG196" s="53"/>
      <c r="CH196" s="53"/>
      <c r="CI196" s="53"/>
      <c r="CJ196" s="53"/>
      <c r="CK196" s="53"/>
      <c r="CL196" s="53"/>
      <c r="CN196" s="53"/>
      <c r="CO196" s="53"/>
      <c r="CP196" s="53"/>
      <c r="CQ196" s="53"/>
      <c r="CR196" s="53"/>
      <c r="CS196" s="53"/>
      <c r="CT196" s="5"/>
      <c r="CU196" s="5"/>
      <c r="CV196" s="5"/>
      <c r="CW196" s="5"/>
      <c r="CX196" s="5"/>
      <c r="CY196" s="5"/>
      <c r="DV196" s="119" t="s">
        <v>407</v>
      </c>
      <c r="DW196" s="120">
        <v>221</v>
      </c>
      <c r="DX196" s="121">
        <v>154.1</v>
      </c>
      <c r="DY196" s="145">
        <v>154.19999999999999</v>
      </c>
      <c r="DZ196" s="146">
        <v>161.5</v>
      </c>
      <c r="EA196" s="149">
        <v>161.6</v>
      </c>
      <c r="EB196" s="150">
        <v>191.1</v>
      </c>
      <c r="EC196" s="148">
        <v>191.2</v>
      </c>
      <c r="EE196" s="143" t="s">
        <v>407</v>
      </c>
      <c r="EF196" s="144">
        <v>221</v>
      </c>
      <c r="EG196" s="170">
        <v>143.30000000000001</v>
      </c>
      <c r="EH196" s="174">
        <v>143.4</v>
      </c>
      <c r="EI196" s="175">
        <v>149.9</v>
      </c>
      <c r="EJ196" s="180">
        <v>150</v>
      </c>
      <c r="EK196" s="181">
        <v>176.3</v>
      </c>
      <c r="EL196" s="173">
        <v>176.4</v>
      </c>
    </row>
    <row r="197" spans="1:142" ht="11.15" customHeight="1">
      <c r="A197" s="216"/>
      <c r="B197" s="217"/>
      <c r="C197" s="218"/>
      <c r="D197" s="219"/>
      <c r="E197" s="217"/>
      <c r="F197" s="217"/>
      <c r="G197" s="217"/>
      <c r="H197" s="220"/>
      <c r="I197" s="217"/>
      <c r="J197" s="217"/>
      <c r="K197" s="217"/>
      <c r="L197" s="217"/>
      <c r="M197" s="217"/>
      <c r="N197" s="217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W197" s="63"/>
      <c r="AX197" s="63"/>
      <c r="AY197" s="63"/>
      <c r="AZ197" s="63"/>
      <c r="BA197" s="5"/>
      <c r="BB197" s="5"/>
      <c r="BC197" s="5"/>
      <c r="BD197" s="5"/>
      <c r="BE197" s="63"/>
      <c r="BF197" s="63"/>
      <c r="BG197" s="63"/>
      <c r="BK197" s="283"/>
      <c r="BL197" s="284"/>
      <c r="BM197" s="292"/>
      <c r="BN197" s="292"/>
      <c r="BO197" s="292"/>
      <c r="BP197" s="292"/>
      <c r="BQ197" s="292"/>
      <c r="BR197" s="292"/>
      <c r="BS197" s="292"/>
      <c r="BT197" s="292"/>
      <c r="BV197" s="256"/>
      <c r="BW197" s="261"/>
      <c r="BX197" s="255"/>
      <c r="BY197" s="261"/>
      <c r="BZ197" s="261"/>
      <c r="CA197" s="261"/>
      <c r="CB197" s="261"/>
      <c r="CC197" s="261"/>
      <c r="CD197" s="261"/>
      <c r="CE197" s="255"/>
      <c r="CF197" s="5"/>
      <c r="CG197" s="53"/>
      <c r="CH197" s="53"/>
      <c r="CI197" s="53"/>
      <c r="CJ197" s="53"/>
      <c r="CK197" s="53"/>
      <c r="CL197" s="53"/>
      <c r="CN197" s="53"/>
      <c r="CO197" s="53"/>
      <c r="CP197" s="53"/>
      <c r="CQ197" s="53"/>
      <c r="CR197" s="53"/>
      <c r="CS197" s="53"/>
      <c r="CT197" s="5"/>
      <c r="CU197" s="5"/>
      <c r="CV197" s="5"/>
      <c r="CW197" s="5"/>
      <c r="CX197" s="5"/>
      <c r="CY197" s="5"/>
      <c r="DV197" s="119" t="s">
        <v>408</v>
      </c>
      <c r="DW197" s="120">
        <v>222</v>
      </c>
      <c r="DX197" s="121">
        <v>154.1</v>
      </c>
      <c r="DY197" s="145">
        <v>154.19999999999999</v>
      </c>
      <c r="DZ197" s="146">
        <v>161.5</v>
      </c>
      <c r="EA197" s="149">
        <v>161.6</v>
      </c>
      <c r="EB197" s="150">
        <v>191.1</v>
      </c>
      <c r="EC197" s="148">
        <v>191.2</v>
      </c>
      <c r="EE197" s="143" t="s">
        <v>408</v>
      </c>
      <c r="EF197" s="144">
        <v>222</v>
      </c>
      <c r="EG197" s="170">
        <v>143.30000000000001</v>
      </c>
      <c r="EH197" s="174">
        <v>143.4</v>
      </c>
      <c r="EI197" s="175">
        <v>149.9</v>
      </c>
      <c r="EJ197" s="180">
        <v>150</v>
      </c>
      <c r="EK197" s="181">
        <v>176.3</v>
      </c>
      <c r="EL197" s="173">
        <v>176.4</v>
      </c>
    </row>
    <row r="198" spans="1:142" ht="11.15" customHeight="1">
      <c r="A198" s="216"/>
      <c r="B198" s="217"/>
      <c r="C198" s="218"/>
      <c r="D198" s="219"/>
      <c r="E198" s="217"/>
      <c r="F198" s="217"/>
      <c r="G198" s="217"/>
      <c r="H198" s="220"/>
      <c r="I198" s="217"/>
      <c r="J198" s="217"/>
      <c r="K198" s="217"/>
      <c r="L198" s="217"/>
      <c r="M198" s="217"/>
      <c r="N198" s="217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W198" s="63"/>
      <c r="AX198" s="63"/>
      <c r="AY198" s="63"/>
      <c r="AZ198" s="63"/>
      <c r="BA198" s="5"/>
      <c r="BB198" s="5"/>
      <c r="BC198" s="5"/>
      <c r="BD198" s="5"/>
      <c r="BE198" s="63"/>
      <c r="BF198" s="63"/>
      <c r="BG198" s="63"/>
      <c r="BK198" s="283"/>
      <c r="BL198" s="284"/>
      <c r="BM198" s="292"/>
      <c r="BN198" s="292"/>
      <c r="BO198" s="292"/>
      <c r="BP198" s="292"/>
      <c r="BQ198" s="292"/>
      <c r="BR198" s="292"/>
      <c r="BS198" s="292"/>
      <c r="BT198" s="292"/>
      <c r="BV198" s="256"/>
      <c r="BW198" s="261"/>
      <c r="BX198" s="255"/>
      <c r="BY198" s="261"/>
      <c r="BZ198" s="261"/>
      <c r="CA198" s="261"/>
      <c r="CB198" s="261"/>
      <c r="CC198" s="261"/>
      <c r="CD198" s="261"/>
      <c r="CE198" s="255"/>
      <c r="CF198" s="5"/>
      <c r="CG198" s="53"/>
      <c r="CH198" s="53"/>
      <c r="CI198" s="53"/>
      <c r="CJ198" s="53"/>
      <c r="CK198" s="53"/>
      <c r="CL198" s="53"/>
      <c r="CN198" s="53"/>
      <c r="CO198" s="53"/>
      <c r="CP198" s="53"/>
      <c r="CQ198" s="53"/>
      <c r="CR198" s="53"/>
      <c r="CS198" s="53"/>
      <c r="CT198" s="5"/>
      <c r="CU198" s="5"/>
      <c r="CV198" s="5"/>
      <c r="CW198" s="5"/>
      <c r="CX198" s="5"/>
      <c r="CY198" s="5"/>
      <c r="DV198" s="119" t="s">
        <v>409</v>
      </c>
      <c r="DW198" s="120">
        <v>223</v>
      </c>
      <c r="DX198" s="121">
        <v>154.19999999999999</v>
      </c>
      <c r="DY198" s="145">
        <v>154.30000000000001</v>
      </c>
      <c r="DZ198" s="146">
        <v>161.6</v>
      </c>
      <c r="EA198" s="149">
        <v>161.69999999999999</v>
      </c>
      <c r="EB198" s="150">
        <v>191.2</v>
      </c>
      <c r="EC198" s="148">
        <v>191.3</v>
      </c>
      <c r="EE198" s="143" t="s">
        <v>409</v>
      </c>
      <c r="EF198" s="144">
        <v>223</v>
      </c>
      <c r="EG198" s="170">
        <v>143.30000000000001</v>
      </c>
      <c r="EH198" s="174">
        <v>143.4</v>
      </c>
      <c r="EI198" s="175">
        <v>149.9</v>
      </c>
      <c r="EJ198" s="180">
        <v>150</v>
      </c>
      <c r="EK198" s="181">
        <v>176.3</v>
      </c>
      <c r="EL198" s="173">
        <v>176.4</v>
      </c>
    </row>
    <row r="199" spans="1:142" ht="11.15" customHeight="1">
      <c r="A199" s="216"/>
      <c r="B199" s="217"/>
      <c r="C199" s="218"/>
      <c r="D199" s="219"/>
      <c r="E199" s="217"/>
      <c r="F199" s="217"/>
      <c r="G199" s="217"/>
      <c r="H199" s="220"/>
      <c r="I199" s="217"/>
      <c r="J199" s="217"/>
      <c r="K199" s="217"/>
      <c r="L199" s="217"/>
      <c r="M199" s="217"/>
      <c r="N199" s="217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BA199" s="5"/>
      <c r="BB199" s="5"/>
      <c r="BC199" s="5"/>
      <c r="BD199" s="5"/>
      <c r="BE199" s="63"/>
      <c r="BF199" s="63"/>
      <c r="BG199" s="63"/>
      <c r="BK199" s="283"/>
      <c r="BL199" s="284"/>
      <c r="BM199" s="292"/>
      <c r="BN199" s="292"/>
      <c r="BO199" s="292"/>
      <c r="BP199" s="292"/>
      <c r="BQ199" s="292"/>
      <c r="BR199" s="292"/>
      <c r="BS199" s="292"/>
      <c r="BT199" s="292"/>
      <c r="BV199" s="256"/>
      <c r="BW199" s="261"/>
      <c r="BX199" s="255"/>
      <c r="BY199" s="261"/>
      <c r="BZ199" s="261"/>
      <c r="CA199" s="261"/>
      <c r="CB199" s="261"/>
      <c r="CC199" s="261"/>
      <c r="CD199" s="261"/>
      <c r="CE199" s="255"/>
      <c r="CF199" s="5"/>
      <c r="CG199" s="53"/>
      <c r="CH199" s="53"/>
      <c r="CI199" s="53"/>
      <c r="CJ199" s="53"/>
      <c r="CK199" s="53"/>
      <c r="CL199" s="53"/>
      <c r="CN199" s="53"/>
      <c r="CO199" s="53"/>
      <c r="CP199" s="53"/>
      <c r="CQ199" s="53"/>
      <c r="CR199" s="53"/>
      <c r="CS199" s="53"/>
      <c r="CT199" s="5"/>
      <c r="CU199" s="5"/>
      <c r="CV199" s="5"/>
      <c r="CW199" s="5"/>
      <c r="CX199" s="5"/>
      <c r="CY199" s="5"/>
      <c r="DV199" s="119" t="s">
        <v>410</v>
      </c>
      <c r="DW199" s="120">
        <v>224</v>
      </c>
      <c r="DX199" s="121">
        <v>154.30000000000001</v>
      </c>
      <c r="DY199" s="145">
        <v>154.4</v>
      </c>
      <c r="DZ199" s="146">
        <v>161.6</v>
      </c>
      <c r="EA199" s="149">
        <v>161.69999999999999</v>
      </c>
      <c r="EB199" s="150">
        <v>191.2</v>
      </c>
      <c r="EC199" s="148">
        <v>191.3</v>
      </c>
      <c r="EE199" s="143" t="s">
        <v>410</v>
      </c>
      <c r="EF199" s="144">
        <v>224</v>
      </c>
      <c r="EG199" s="170">
        <v>143.4</v>
      </c>
      <c r="EH199" s="174">
        <v>143.5</v>
      </c>
      <c r="EI199" s="175">
        <v>149.9</v>
      </c>
      <c r="EJ199" s="180">
        <v>150</v>
      </c>
      <c r="EK199" s="181">
        <v>176.3</v>
      </c>
      <c r="EL199" s="173">
        <v>176.4</v>
      </c>
    </row>
    <row r="200" spans="1:142" ht="11.15" customHeight="1">
      <c r="A200" s="216"/>
      <c r="B200" s="217"/>
      <c r="C200" s="218"/>
      <c r="D200" s="219"/>
      <c r="E200" s="217"/>
      <c r="F200" s="217"/>
      <c r="G200" s="217"/>
      <c r="H200" s="220"/>
      <c r="I200" s="217"/>
      <c r="J200" s="217"/>
      <c r="K200" s="217"/>
      <c r="L200" s="217"/>
      <c r="M200" s="217"/>
      <c r="N200" s="217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BA200" s="5"/>
      <c r="BB200" s="5"/>
      <c r="BC200" s="5"/>
      <c r="BD200" s="5"/>
      <c r="BE200" s="63"/>
      <c r="BF200" s="63"/>
      <c r="BG200" s="63"/>
      <c r="BK200" s="283"/>
      <c r="BL200" s="284"/>
      <c r="BM200" s="292"/>
      <c r="BN200" s="292"/>
      <c r="BO200" s="292"/>
      <c r="BP200" s="292"/>
      <c r="BQ200" s="292"/>
      <c r="BR200" s="292"/>
      <c r="BS200" s="292"/>
      <c r="BT200" s="292"/>
      <c r="BV200" s="256"/>
      <c r="BW200" s="261"/>
      <c r="BX200" s="255"/>
      <c r="BY200" s="261"/>
      <c r="BZ200" s="261"/>
      <c r="CA200" s="261"/>
      <c r="CB200" s="261"/>
      <c r="CC200" s="261"/>
      <c r="CD200" s="261"/>
      <c r="CE200" s="255"/>
      <c r="CF200" s="5"/>
      <c r="CG200" s="53"/>
      <c r="CH200" s="53"/>
      <c r="CI200" s="53"/>
      <c r="CJ200" s="53"/>
      <c r="CK200" s="53"/>
      <c r="CL200" s="53"/>
      <c r="CN200" s="53"/>
      <c r="CO200" s="53"/>
      <c r="CP200" s="53"/>
      <c r="CQ200" s="53"/>
      <c r="CR200" s="53"/>
      <c r="CS200" s="53"/>
      <c r="CT200" s="5"/>
      <c r="CU200" s="5"/>
      <c r="CV200" s="5"/>
      <c r="CW200" s="5"/>
      <c r="CX200" s="5"/>
      <c r="CY200" s="5"/>
      <c r="DV200" s="119" t="s">
        <v>411</v>
      </c>
      <c r="DW200" s="120">
        <v>225</v>
      </c>
      <c r="DX200" s="121">
        <v>154.4</v>
      </c>
      <c r="DY200" s="145">
        <v>154.5</v>
      </c>
      <c r="DZ200" s="146">
        <v>161.69999999999999</v>
      </c>
      <c r="EA200" s="149">
        <v>161.80000000000001</v>
      </c>
      <c r="EB200" s="150">
        <v>191.2</v>
      </c>
      <c r="EC200" s="148">
        <v>191.3</v>
      </c>
      <c r="EE200" s="143" t="s">
        <v>411</v>
      </c>
      <c r="EF200" s="144">
        <v>225</v>
      </c>
      <c r="EG200" s="170">
        <v>143.4</v>
      </c>
      <c r="EH200" s="174">
        <v>143.5</v>
      </c>
      <c r="EI200" s="175">
        <v>149.9</v>
      </c>
      <c r="EJ200" s="180">
        <v>150</v>
      </c>
      <c r="EK200" s="181">
        <v>176.3</v>
      </c>
      <c r="EL200" s="173">
        <v>176.4</v>
      </c>
    </row>
    <row r="201" spans="1:142" ht="11.15" customHeight="1">
      <c r="A201" s="216"/>
      <c r="B201" s="217"/>
      <c r="C201" s="218"/>
      <c r="D201" s="219"/>
      <c r="E201" s="217"/>
      <c r="F201" s="217"/>
      <c r="G201" s="217"/>
      <c r="H201" s="220"/>
      <c r="I201" s="217"/>
      <c r="J201" s="217"/>
      <c r="K201" s="217"/>
      <c r="L201" s="217"/>
      <c r="M201" s="217"/>
      <c r="N201" s="217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BA201" s="5"/>
      <c r="BB201" s="5"/>
      <c r="BC201" s="5"/>
      <c r="BD201" s="5"/>
      <c r="BE201" s="63"/>
      <c r="BF201" s="63"/>
      <c r="BG201" s="63"/>
      <c r="BK201" s="283"/>
      <c r="BL201" s="284"/>
      <c r="BM201" s="292"/>
      <c r="BN201" s="292"/>
      <c r="BO201" s="292"/>
      <c r="BP201" s="292"/>
      <c r="BQ201" s="292"/>
      <c r="BR201" s="292"/>
      <c r="BS201" s="292"/>
      <c r="BT201" s="292"/>
      <c r="BV201" s="256"/>
      <c r="BW201" s="261"/>
      <c r="BX201" s="255"/>
      <c r="BY201" s="261"/>
      <c r="BZ201" s="261"/>
      <c r="CA201" s="261"/>
      <c r="CB201" s="261"/>
      <c r="CC201" s="261"/>
      <c r="CD201" s="261"/>
      <c r="CE201" s="255"/>
      <c r="CF201" s="5"/>
      <c r="CG201" s="53"/>
      <c r="CH201" s="53"/>
      <c r="CI201" s="53"/>
      <c r="CJ201" s="53"/>
      <c r="CK201" s="53"/>
      <c r="CL201" s="53"/>
      <c r="CN201" s="53"/>
      <c r="CO201" s="53"/>
      <c r="CP201" s="53"/>
      <c r="CQ201" s="53"/>
      <c r="CR201" s="53"/>
      <c r="CS201" s="53"/>
      <c r="CT201" s="5"/>
      <c r="CU201" s="5"/>
      <c r="CV201" s="5"/>
      <c r="CW201" s="5"/>
      <c r="CX201" s="5"/>
      <c r="CY201" s="5"/>
      <c r="DV201" s="119" t="s">
        <v>412</v>
      </c>
      <c r="DW201" s="120">
        <v>226</v>
      </c>
      <c r="DX201" s="121">
        <v>154.4</v>
      </c>
      <c r="DY201" s="145">
        <v>154.5</v>
      </c>
      <c r="DZ201" s="146">
        <v>161.69999999999999</v>
      </c>
      <c r="EA201" s="149">
        <v>161.80000000000001</v>
      </c>
      <c r="EB201" s="150">
        <v>191.1</v>
      </c>
      <c r="EC201" s="148">
        <v>191.2</v>
      </c>
      <c r="EE201" s="143" t="s">
        <v>412</v>
      </c>
      <c r="EF201" s="144">
        <v>226</v>
      </c>
      <c r="EG201" s="170">
        <v>143.4</v>
      </c>
      <c r="EH201" s="174">
        <v>143.5</v>
      </c>
      <c r="EI201" s="175">
        <v>149.9</v>
      </c>
      <c r="EJ201" s="180">
        <v>150</v>
      </c>
      <c r="EK201" s="181">
        <v>176.3</v>
      </c>
      <c r="EL201" s="173">
        <v>176.4</v>
      </c>
    </row>
    <row r="202" spans="1:142" ht="11.15" customHeight="1">
      <c r="A202" s="216"/>
      <c r="B202" s="217"/>
      <c r="C202" s="218"/>
      <c r="D202" s="219"/>
      <c r="E202" s="217"/>
      <c r="F202" s="217"/>
      <c r="G202" s="217"/>
      <c r="H202" s="220"/>
      <c r="I202" s="217"/>
      <c r="J202" s="217"/>
      <c r="K202" s="217"/>
      <c r="L202" s="217"/>
      <c r="M202" s="217"/>
      <c r="N202" s="217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BA202" s="5"/>
      <c r="BB202" s="5"/>
      <c r="BC202" s="5"/>
      <c r="BD202" s="5"/>
      <c r="BE202" s="63"/>
      <c r="BF202" s="63"/>
      <c r="BG202" s="63"/>
      <c r="BK202" s="283"/>
      <c r="BL202" s="284"/>
      <c r="BM202" s="292"/>
      <c r="BN202" s="292"/>
      <c r="BO202" s="292"/>
      <c r="BP202" s="292"/>
      <c r="BQ202" s="292"/>
      <c r="BR202" s="292"/>
      <c r="BS202" s="292"/>
      <c r="BT202" s="292"/>
      <c r="BV202" s="256"/>
      <c r="BW202" s="261"/>
      <c r="BX202" s="255"/>
      <c r="BY202" s="261"/>
      <c r="BZ202" s="261"/>
      <c r="CA202" s="261"/>
      <c r="CB202" s="261"/>
      <c r="CC202" s="261"/>
      <c r="CD202" s="261"/>
      <c r="CE202" s="255"/>
      <c r="CF202" s="5"/>
      <c r="CG202" s="53"/>
      <c r="CH202" s="53"/>
      <c r="CI202" s="53"/>
      <c r="CJ202" s="53"/>
      <c r="CK202" s="53"/>
      <c r="CL202" s="53"/>
      <c r="CN202" s="53"/>
      <c r="CO202" s="53"/>
      <c r="CP202" s="53"/>
      <c r="CQ202" s="53"/>
      <c r="CR202" s="53"/>
      <c r="CS202" s="53"/>
      <c r="CT202" s="5"/>
      <c r="CU202" s="5"/>
      <c r="CV202" s="5"/>
      <c r="CW202" s="5"/>
      <c r="CX202" s="5"/>
      <c r="CY202" s="5"/>
      <c r="DV202" s="119" t="s">
        <v>413</v>
      </c>
      <c r="DW202" s="120">
        <v>227</v>
      </c>
      <c r="DX202" s="121">
        <v>154.5</v>
      </c>
      <c r="DY202" s="145">
        <v>154.6</v>
      </c>
      <c r="DZ202" s="146">
        <v>161.80000000000001</v>
      </c>
      <c r="EA202" s="149">
        <v>161.9</v>
      </c>
      <c r="EB202" s="150">
        <v>191.1</v>
      </c>
      <c r="EC202" s="148">
        <v>191.2</v>
      </c>
      <c r="EE202" s="143" t="s">
        <v>413</v>
      </c>
      <c r="EF202" s="144">
        <v>227</v>
      </c>
      <c r="EG202" s="170">
        <v>143.4</v>
      </c>
      <c r="EH202" s="174">
        <v>143.5</v>
      </c>
      <c r="EI202" s="175">
        <v>150</v>
      </c>
      <c r="EJ202" s="180">
        <v>150.1</v>
      </c>
      <c r="EK202" s="181">
        <v>176.2</v>
      </c>
      <c r="EL202" s="173">
        <v>176.3</v>
      </c>
    </row>
    <row r="203" spans="1:142" ht="11.15" customHeight="1">
      <c r="A203" s="216"/>
      <c r="B203" s="217"/>
      <c r="C203" s="218"/>
      <c r="D203" s="219"/>
      <c r="E203" s="217"/>
      <c r="F203" s="217"/>
      <c r="G203" s="217"/>
      <c r="H203" s="220"/>
      <c r="I203" s="217"/>
      <c r="J203" s="217"/>
      <c r="K203" s="217"/>
      <c r="L203" s="217"/>
      <c r="M203" s="217"/>
      <c r="N203" s="217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BA203" s="5"/>
      <c r="BB203" s="5"/>
      <c r="BC203" s="5"/>
      <c r="BD203" s="5"/>
      <c r="BE203" s="63"/>
      <c r="BF203" s="63"/>
      <c r="BG203" s="63"/>
      <c r="BK203" s="283"/>
      <c r="BL203" s="284"/>
      <c r="BM203" s="292"/>
      <c r="BN203" s="292"/>
      <c r="BO203" s="292"/>
      <c r="BP203" s="292"/>
      <c r="BQ203" s="292"/>
      <c r="BR203" s="292"/>
      <c r="BS203" s="292"/>
      <c r="BT203" s="292"/>
      <c r="BV203" s="256"/>
      <c r="BW203" s="261"/>
      <c r="BX203" s="255"/>
      <c r="BY203" s="261"/>
      <c r="BZ203" s="261"/>
      <c r="CA203" s="261"/>
      <c r="CB203" s="261"/>
      <c r="CC203" s="261"/>
      <c r="CD203" s="261"/>
      <c r="CE203" s="255"/>
      <c r="CF203" s="5"/>
      <c r="CG203" s="53"/>
      <c r="CH203" s="53"/>
      <c r="CI203" s="53"/>
      <c r="CJ203" s="53"/>
      <c r="CK203" s="53"/>
      <c r="CL203" s="53"/>
      <c r="CN203" s="53"/>
      <c r="CO203" s="53"/>
      <c r="CP203" s="53"/>
      <c r="CQ203" s="53"/>
      <c r="CR203" s="53"/>
      <c r="CS203" s="53"/>
      <c r="CT203" s="5"/>
      <c r="CU203" s="5"/>
      <c r="CV203" s="5"/>
      <c r="CW203" s="5"/>
      <c r="CX203" s="5"/>
      <c r="CY203" s="5"/>
      <c r="DV203" s="296" t="s">
        <v>414</v>
      </c>
      <c r="DW203" s="297">
        <v>228</v>
      </c>
      <c r="DX203" s="298">
        <v>154.5</v>
      </c>
      <c r="DY203" s="300">
        <v>154.6</v>
      </c>
      <c r="DZ203" s="301">
        <v>161.80000000000001</v>
      </c>
      <c r="EA203" s="302">
        <v>161.9</v>
      </c>
      <c r="EB203" s="303">
        <v>191.1</v>
      </c>
      <c r="EC203" s="304">
        <v>191.2</v>
      </c>
      <c r="EE203" s="305" t="s">
        <v>414</v>
      </c>
      <c r="EF203" s="306">
        <v>228</v>
      </c>
      <c r="EG203" s="310">
        <v>143.4</v>
      </c>
      <c r="EH203" s="311">
        <v>143.5</v>
      </c>
      <c r="EI203" s="312">
        <v>150</v>
      </c>
      <c r="EJ203" s="313">
        <v>150.1</v>
      </c>
      <c r="EK203" s="314">
        <v>176.2</v>
      </c>
      <c r="EL203" s="315">
        <v>176.3</v>
      </c>
    </row>
    <row r="204" spans="1:142" ht="11.15" customHeight="1">
      <c r="A204" s="216"/>
      <c r="B204" s="217"/>
      <c r="C204" s="218"/>
      <c r="D204" s="219"/>
      <c r="E204" s="217"/>
      <c r="F204" s="217"/>
      <c r="G204" s="217"/>
      <c r="H204" s="220"/>
      <c r="I204" s="217"/>
      <c r="J204" s="217"/>
      <c r="K204" s="217"/>
      <c r="L204" s="217"/>
      <c r="M204" s="217"/>
      <c r="N204" s="217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BA204" s="5"/>
      <c r="BB204" s="5"/>
      <c r="BC204" s="5"/>
      <c r="BD204" s="5"/>
      <c r="BE204" s="63"/>
      <c r="BF204" s="63"/>
      <c r="BG204" s="63"/>
      <c r="BK204" s="283"/>
      <c r="BL204" s="284"/>
      <c r="BM204" s="292"/>
      <c r="BN204" s="292"/>
      <c r="BO204" s="292"/>
      <c r="BP204" s="292"/>
      <c r="BQ204" s="292"/>
      <c r="BR204" s="292"/>
      <c r="BS204" s="292"/>
      <c r="BT204" s="292"/>
      <c r="BV204" s="256"/>
      <c r="BW204" s="261"/>
      <c r="BX204" s="255"/>
      <c r="BY204" s="261"/>
      <c r="BZ204" s="261"/>
      <c r="CA204" s="261"/>
      <c r="CB204" s="261"/>
      <c r="CC204" s="261"/>
      <c r="CD204" s="261"/>
      <c r="CE204" s="255"/>
      <c r="CF204" s="5"/>
      <c r="CG204" s="53"/>
      <c r="CH204" s="53"/>
      <c r="CI204" s="53"/>
      <c r="CJ204" s="53"/>
      <c r="CK204" s="53"/>
      <c r="CL204" s="53"/>
      <c r="CN204" s="53"/>
      <c r="CO204" s="53"/>
      <c r="CP204" s="53"/>
      <c r="CQ204" s="53"/>
      <c r="CR204" s="53"/>
      <c r="CS204" s="53"/>
      <c r="CT204" s="5"/>
      <c r="CU204" s="5"/>
      <c r="CV204" s="5"/>
      <c r="CW204" s="5"/>
      <c r="CX204" s="5"/>
      <c r="CY204" s="5"/>
      <c r="DV204" s="299"/>
      <c r="DW204" s="299">
        <v>229</v>
      </c>
      <c r="DX204" s="299"/>
      <c r="DY204" s="299"/>
      <c r="DZ204" s="299"/>
      <c r="EA204" s="307"/>
      <c r="EB204" s="307"/>
      <c r="EC204" s="299"/>
      <c r="EE204" s="308"/>
      <c r="EF204" s="309">
        <v>229</v>
      </c>
      <c r="EG204" s="308"/>
      <c r="EH204" s="308"/>
      <c r="EI204" s="308"/>
      <c r="EJ204" s="316"/>
      <c r="EK204" s="316"/>
      <c r="EL204" s="308"/>
    </row>
    <row r="205" spans="1:142" ht="11.15" customHeight="1">
      <c r="A205" s="216"/>
      <c r="B205" s="217"/>
      <c r="C205" s="218"/>
      <c r="D205" s="219"/>
      <c r="E205" s="217"/>
      <c r="F205" s="217"/>
      <c r="G205" s="217"/>
      <c r="H205" s="220"/>
      <c r="I205" s="217"/>
      <c r="J205" s="217"/>
      <c r="K205" s="217"/>
      <c r="L205" s="217"/>
      <c r="M205" s="217"/>
      <c r="N205" s="217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BA205" s="5"/>
      <c r="BB205" s="5"/>
      <c r="BC205" s="5"/>
      <c r="BD205" s="5"/>
      <c r="BE205" s="63"/>
      <c r="BF205" s="63"/>
      <c r="BG205" s="63"/>
      <c r="BK205" s="283"/>
      <c r="BL205" s="284"/>
      <c r="BM205" s="292"/>
      <c r="BN205" s="292"/>
      <c r="BO205" s="292"/>
      <c r="BP205" s="292"/>
      <c r="BQ205" s="292"/>
      <c r="BR205" s="292"/>
      <c r="BS205" s="292"/>
      <c r="BT205" s="292"/>
      <c r="BV205" s="256"/>
      <c r="BW205" s="261"/>
      <c r="BX205" s="255"/>
      <c r="BY205" s="261"/>
      <c r="BZ205" s="261"/>
      <c r="CA205" s="261"/>
      <c r="CB205" s="261"/>
      <c r="CC205" s="261"/>
      <c r="CD205" s="261"/>
      <c r="CE205" s="255"/>
      <c r="CF205" s="5"/>
      <c r="CG205" s="53"/>
      <c r="CH205" s="53"/>
      <c r="CI205" s="53"/>
      <c r="CJ205" s="53"/>
      <c r="CK205" s="53"/>
      <c r="CL205" s="53"/>
      <c r="CN205" s="53"/>
      <c r="CO205" s="53"/>
      <c r="CP205" s="53"/>
      <c r="CQ205" s="53"/>
      <c r="CR205" s="53"/>
      <c r="CS205" s="53"/>
      <c r="CT205" s="5"/>
      <c r="CU205" s="5"/>
      <c r="CV205" s="5"/>
      <c r="CW205" s="5"/>
      <c r="CX205" s="5"/>
      <c r="CY205" s="5"/>
      <c r="DV205" s="299"/>
      <c r="DW205" s="299"/>
      <c r="DX205" s="299"/>
      <c r="DY205" s="299"/>
      <c r="DZ205" s="299"/>
      <c r="EA205" s="307"/>
      <c r="EB205" s="307"/>
      <c r="EC205" s="299"/>
      <c r="EE205" s="308"/>
      <c r="EF205" s="308"/>
      <c r="EG205" s="308"/>
      <c r="EH205" s="308"/>
      <c r="EI205" s="308"/>
      <c r="EJ205" s="316"/>
      <c r="EK205" s="316"/>
      <c r="EL205" s="308"/>
    </row>
    <row r="206" spans="1:142" ht="11.15" customHeight="1">
      <c r="A206" s="216"/>
      <c r="B206" s="217"/>
      <c r="C206" s="218"/>
      <c r="D206" s="219"/>
      <c r="E206" s="217"/>
      <c r="F206" s="217"/>
      <c r="G206" s="217"/>
      <c r="H206" s="220"/>
      <c r="I206" s="217"/>
      <c r="J206" s="217"/>
      <c r="K206" s="217"/>
      <c r="L206" s="217"/>
      <c r="M206" s="217"/>
      <c r="N206" s="217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BA206" s="5"/>
      <c r="BB206" s="5"/>
      <c r="BC206" s="5"/>
      <c r="BD206" s="5"/>
      <c r="BE206" s="63"/>
      <c r="BF206" s="63"/>
      <c r="BG206" s="63"/>
      <c r="BK206" s="283"/>
      <c r="BL206" s="284"/>
      <c r="BM206" s="292"/>
      <c r="BN206" s="292"/>
      <c r="BO206" s="292"/>
      <c r="BP206" s="292"/>
      <c r="BQ206" s="292"/>
      <c r="BR206" s="292"/>
      <c r="BS206" s="292"/>
      <c r="BT206" s="292"/>
      <c r="BV206" s="256"/>
      <c r="BW206" s="261"/>
      <c r="BX206" s="262"/>
      <c r="BY206" s="262"/>
      <c r="BZ206" s="262"/>
      <c r="CA206" s="262"/>
      <c r="CB206" s="262"/>
      <c r="CC206" s="262"/>
      <c r="CD206" s="262"/>
      <c r="CE206" s="262"/>
      <c r="CF206" s="5"/>
      <c r="CG206" s="53"/>
      <c r="CH206" s="53"/>
      <c r="CI206" s="53"/>
      <c r="CJ206" s="53"/>
      <c r="CK206" s="53"/>
      <c r="CL206" s="53"/>
      <c r="CN206" s="53"/>
      <c r="CO206" s="53"/>
      <c r="CP206" s="53"/>
      <c r="CQ206" s="53"/>
      <c r="CR206" s="53"/>
      <c r="CS206" s="53"/>
      <c r="CT206" s="5"/>
      <c r="CU206" s="5"/>
      <c r="CV206" s="5"/>
      <c r="CW206" s="5"/>
      <c r="CX206" s="5"/>
      <c r="CY206" s="5"/>
    </row>
    <row r="207" spans="1:142" ht="11.15" customHeight="1">
      <c r="A207" s="216"/>
      <c r="B207" s="217"/>
      <c r="C207" s="218"/>
      <c r="D207" s="219"/>
      <c r="E207" s="217"/>
      <c r="F207" s="217"/>
      <c r="G207" s="217"/>
      <c r="H207" s="220"/>
      <c r="I207" s="217"/>
      <c r="J207" s="217"/>
      <c r="K207" s="217"/>
      <c r="L207" s="217"/>
      <c r="M207" s="217"/>
      <c r="N207" s="217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BA207" s="5"/>
      <c r="BB207" s="5"/>
      <c r="BC207" s="5"/>
      <c r="BD207" s="5"/>
      <c r="BE207" s="63"/>
      <c r="BF207" s="63"/>
      <c r="BG207" s="63"/>
      <c r="BK207" s="283"/>
      <c r="BL207" s="284"/>
      <c r="BM207" s="292"/>
      <c r="BN207" s="292"/>
      <c r="BO207" s="292"/>
      <c r="BP207" s="292"/>
      <c r="BQ207" s="292"/>
      <c r="BR207" s="292"/>
      <c r="BS207" s="292"/>
      <c r="BT207" s="292"/>
      <c r="BV207" s="256"/>
      <c r="BW207" s="261"/>
      <c r="BX207" s="262"/>
      <c r="BY207" s="262"/>
      <c r="BZ207" s="262"/>
      <c r="CA207" s="262"/>
      <c r="CB207" s="262"/>
      <c r="CC207" s="262"/>
      <c r="CD207" s="262"/>
      <c r="CE207" s="262"/>
      <c r="CF207" s="5"/>
      <c r="CG207" s="53"/>
      <c r="CH207" s="53"/>
      <c r="CI207" s="53"/>
      <c r="CJ207" s="53"/>
      <c r="CK207" s="53"/>
      <c r="CL207" s="53"/>
      <c r="CN207" s="53"/>
      <c r="CO207" s="53"/>
      <c r="CP207" s="53"/>
      <c r="CQ207" s="53"/>
      <c r="CR207" s="53"/>
      <c r="CS207" s="53"/>
      <c r="CT207" s="5"/>
      <c r="CU207" s="5"/>
      <c r="CV207" s="5"/>
      <c r="CW207" s="5"/>
      <c r="CX207" s="5"/>
      <c r="CY207" s="5"/>
    </row>
    <row r="208" spans="1:142" ht="11.15" customHeight="1">
      <c r="A208" s="216"/>
      <c r="B208" s="217"/>
      <c r="C208" s="218"/>
      <c r="D208" s="219"/>
      <c r="E208" s="217"/>
      <c r="F208" s="217"/>
      <c r="G208" s="217"/>
      <c r="H208" s="220"/>
      <c r="I208" s="217"/>
      <c r="J208" s="217"/>
      <c r="K208" s="217"/>
      <c r="L208" s="217"/>
      <c r="M208" s="217"/>
      <c r="N208" s="217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BA208" s="5"/>
      <c r="BB208" s="5"/>
      <c r="BC208" s="5"/>
      <c r="BD208" s="5"/>
      <c r="BE208" s="63"/>
      <c r="BF208" s="63"/>
      <c r="BG208" s="63"/>
      <c r="BK208" s="283"/>
      <c r="BL208" s="284"/>
      <c r="BM208" s="292"/>
      <c r="BN208" s="292"/>
      <c r="BO208" s="292"/>
      <c r="BP208" s="292"/>
      <c r="BQ208" s="292"/>
      <c r="BR208" s="292"/>
      <c r="BS208" s="292"/>
      <c r="BT208" s="292"/>
      <c r="BV208" s="256"/>
      <c r="BW208" s="261"/>
      <c r="BX208" s="262"/>
      <c r="BY208" s="262"/>
      <c r="BZ208" s="262"/>
      <c r="CA208" s="262"/>
      <c r="CB208" s="262"/>
      <c r="CC208" s="262"/>
      <c r="CD208" s="262"/>
      <c r="CE208" s="262"/>
      <c r="CF208" s="5"/>
      <c r="CG208" s="53"/>
      <c r="CH208" s="53"/>
      <c r="CI208" s="53"/>
      <c r="CJ208" s="53"/>
      <c r="CK208" s="53"/>
      <c r="CL208" s="53"/>
      <c r="CN208" s="53"/>
      <c r="CO208" s="53"/>
      <c r="CP208" s="53"/>
      <c r="CQ208" s="53"/>
      <c r="CR208" s="53"/>
      <c r="CS208" s="53"/>
      <c r="CT208" s="5"/>
      <c r="CU208" s="5"/>
      <c r="CV208" s="5"/>
      <c r="CW208" s="5"/>
      <c r="CX208" s="5"/>
      <c r="CY208" s="5"/>
    </row>
    <row r="209" spans="1:103" ht="11.15" customHeight="1">
      <c r="A209" s="216"/>
      <c r="B209" s="217"/>
      <c r="C209" s="218"/>
      <c r="D209" s="219"/>
      <c r="E209" s="217"/>
      <c r="F209" s="217"/>
      <c r="G209" s="217"/>
      <c r="H209" s="220"/>
      <c r="I209" s="217"/>
      <c r="J209" s="217"/>
      <c r="K209" s="217"/>
      <c r="L209" s="217"/>
      <c r="M209" s="217"/>
      <c r="N209" s="217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BA209" s="5"/>
      <c r="BB209" s="5"/>
      <c r="BC209" s="5"/>
      <c r="BD209" s="5"/>
      <c r="BE209" s="63"/>
      <c r="BF209" s="63"/>
      <c r="BG209" s="63"/>
      <c r="BK209" s="283"/>
      <c r="BL209" s="284"/>
      <c r="BM209" s="292"/>
      <c r="BN209" s="292"/>
      <c r="BO209" s="292"/>
      <c r="BP209" s="292"/>
      <c r="BQ209" s="292"/>
      <c r="BR209" s="292"/>
      <c r="BS209" s="292"/>
      <c r="BT209" s="292"/>
      <c r="BV209" s="256"/>
      <c r="BW209" s="261"/>
      <c r="BX209" s="262"/>
      <c r="BY209" s="262"/>
      <c r="BZ209" s="262"/>
      <c r="CA209" s="262"/>
      <c r="CB209" s="262"/>
      <c r="CC209" s="262"/>
      <c r="CD209" s="262"/>
      <c r="CE209" s="262"/>
      <c r="CF209" s="5"/>
      <c r="CG209" s="53"/>
      <c r="CH209" s="53"/>
      <c r="CI209" s="53"/>
      <c r="CJ209" s="53"/>
      <c r="CK209" s="53"/>
      <c r="CL209" s="53"/>
      <c r="CN209" s="53"/>
      <c r="CO209" s="53"/>
      <c r="CP209" s="53"/>
      <c r="CQ209" s="53"/>
      <c r="CR209" s="53"/>
      <c r="CS209" s="53"/>
      <c r="CT209" s="5"/>
      <c r="CU209" s="5"/>
      <c r="CV209" s="5"/>
      <c r="CW209" s="5"/>
      <c r="CX209" s="5"/>
      <c r="CY209" s="5"/>
    </row>
    <row r="210" spans="1:103" ht="11.15" customHeight="1">
      <c r="A210" s="216"/>
      <c r="B210" s="217"/>
      <c r="C210" s="218"/>
      <c r="D210" s="219"/>
      <c r="E210" s="217"/>
      <c r="F210" s="217"/>
      <c r="G210" s="217"/>
      <c r="H210" s="220"/>
      <c r="I210" s="217"/>
      <c r="J210" s="217"/>
      <c r="K210" s="217"/>
      <c r="L210" s="217"/>
      <c r="M210" s="217"/>
      <c r="N210" s="217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BA210" s="5"/>
      <c r="BB210" s="5"/>
      <c r="BC210" s="5"/>
      <c r="BD210" s="5"/>
      <c r="BE210" s="63"/>
      <c r="BF210" s="63"/>
      <c r="BG210" s="63"/>
      <c r="BK210" s="283"/>
      <c r="BL210" s="284"/>
      <c r="BM210" s="292"/>
      <c r="BN210" s="292"/>
      <c r="BO210" s="292"/>
      <c r="BP210" s="292"/>
      <c r="BQ210" s="292"/>
      <c r="BR210" s="292"/>
      <c r="BS210" s="292"/>
      <c r="BT210" s="292"/>
      <c r="BV210" s="256"/>
      <c r="BW210" s="261"/>
      <c r="BX210" s="262"/>
      <c r="BY210" s="262"/>
      <c r="BZ210" s="262"/>
      <c r="CA210" s="262"/>
      <c r="CB210" s="262"/>
      <c r="CC210" s="262"/>
      <c r="CD210" s="262"/>
      <c r="CE210" s="262"/>
      <c r="CF210" s="5"/>
      <c r="CG210" s="53"/>
      <c r="CH210" s="53"/>
      <c r="CI210" s="53"/>
      <c r="CJ210" s="53"/>
      <c r="CK210" s="53"/>
      <c r="CL210" s="53"/>
      <c r="CN210" s="53"/>
      <c r="CO210" s="53"/>
      <c r="CP210" s="53"/>
      <c r="CQ210" s="53"/>
      <c r="CR210" s="53"/>
      <c r="CS210" s="53"/>
      <c r="CT210" s="5"/>
      <c r="CU210" s="5"/>
      <c r="CV210" s="5"/>
      <c r="CW210" s="5"/>
      <c r="CX210" s="5"/>
      <c r="CY210" s="5"/>
    </row>
    <row r="211" spans="1:103" ht="11.15" customHeight="1">
      <c r="A211" s="216"/>
      <c r="B211" s="217"/>
      <c r="C211" s="218"/>
      <c r="D211" s="219"/>
      <c r="E211" s="217"/>
      <c r="F211" s="217"/>
      <c r="G211" s="217"/>
      <c r="H211" s="220"/>
      <c r="I211" s="217"/>
      <c r="J211" s="217"/>
      <c r="K211" s="217"/>
      <c r="L211" s="217"/>
      <c r="M211" s="217"/>
      <c r="N211" s="217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BA211" s="5"/>
      <c r="BB211" s="5"/>
      <c r="BC211" s="5"/>
      <c r="BD211" s="5"/>
      <c r="BE211" s="63"/>
      <c r="BF211" s="63"/>
      <c r="BG211" s="63"/>
      <c r="BK211" s="283"/>
      <c r="BL211" s="284"/>
      <c r="BM211" s="292"/>
      <c r="BN211" s="292"/>
      <c r="BO211" s="292"/>
      <c r="BP211" s="292"/>
      <c r="BQ211" s="292"/>
      <c r="BR211" s="292"/>
      <c r="BS211" s="292"/>
      <c r="BT211" s="292"/>
      <c r="BV211" s="256"/>
      <c r="BW211" s="261"/>
      <c r="BX211" s="262"/>
      <c r="BY211" s="262"/>
      <c r="BZ211" s="262"/>
      <c r="CA211" s="262"/>
      <c r="CB211" s="262"/>
      <c r="CC211" s="262"/>
      <c r="CD211" s="262"/>
      <c r="CE211" s="262"/>
      <c r="CF211" s="5"/>
      <c r="CG211" s="53"/>
      <c r="CH211" s="53"/>
      <c r="CI211" s="53"/>
      <c r="CJ211" s="53"/>
      <c r="CK211" s="53"/>
      <c r="CL211" s="53"/>
      <c r="CN211" s="53"/>
      <c r="CO211" s="53"/>
      <c r="CP211" s="53"/>
      <c r="CQ211" s="53"/>
      <c r="CR211" s="53"/>
      <c r="CS211" s="53"/>
      <c r="CT211" s="5"/>
      <c r="CU211" s="5"/>
      <c r="CV211" s="5"/>
      <c r="CW211" s="5"/>
      <c r="CX211" s="5"/>
      <c r="CY211" s="5"/>
    </row>
    <row r="212" spans="1:103" ht="11.15" customHeight="1">
      <c r="A212" s="216"/>
      <c r="B212" s="217"/>
      <c r="C212" s="218"/>
      <c r="D212" s="219"/>
      <c r="E212" s="217"/>
      <c r="F212" s="217"/>
      <c r="G212" s="217"/>
      <c r="H212" s="220"/>
      <c r="I212" s="217"/>
      <c r="J212" s="217"/>
      <c r="K212" s="217"/>
      <c r="L212" s="217"/>
      <c r="M212" s="217"/>
      <c r="N212" s="217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BA212" s="5"/>
      <c r="BB212" s="5"/>
      <c r="BC212" s="5"/>
      <c r="BD212" s="5"/>
      <c r="BE212" s="63"/>
      <c r="BF212" s="63"/>
      <c r="BG212" s="63"/>
      <c r="BK212" s="283"/>
      <c r="BL212" s="284"/>
      <c r="BM212" s="292"/>
      <c r="BN212" s="292"/>
      <c r="BO212" s="292"/>
      <c r="BP212" s="292"/>
      <c r="BQ212" s="292"/>
      <c r="BR212" s="292"/>
      <c r="BS212" s="292"/>
      <c r="BT212" s="292"/>
      <c r="BV212" s="256"/>
      <c r="BW212" s="261"/>
      <c r="BX212" s="262"/>
      <c r="BY212" s="262"/>
      <c r="BZ212" s="262"/>
      <c r="CA212" s="262"/>
      <c r="CB212" s="262"/>
      <c r="CC212" s="262"/>
      <c r="CD212" s="262"/>
      <c r="CE212" s="262"/>
      <c r="CF212" s="5"/>
      <c r="CG212" s="53"/>
      <c r="CH212" s="53"/>
      <c r="CI212" s="53"/>
      <c r="CJ212" s="53"/>
      <c r="CK212" s="53"/>
      <c r="CL212" s="53"/>
      <c r="CN212" s="53"/>
      <c r="CO212" s="53"/>
      <c r="CP212" s="53"/>
      <c r="CQ212" s="53"/>
      <c r="CR212" s="53"/>
      <c r="CS212" s="53"/>
      <c r="CT212" s="5"/>
      <c r="CU212" s="5"/>
      <c r="CV212" s="5"/>
      <c r="CW212" s="5"/>
      <c r="CX212" s="5"/>
      <c r="CY212" s="5"/>
    </row>
    <row r="213" spans="1:103" ht="11.15" customHeight="1">
      <c r="A213" s="216"/>
      <c r="B213" s="217"/>
      <c r="C213" s="218"/>
      <c r="D213" s="219"/>
      <c r="E213" s="217"/>
      <c r="F213" s="217"/>
      <c r="G213" s="217"/>
      <c r="H213" s="220"/>
      <c r="I213" s="217"/>
      <c r="J213" s="217"/>
      <c r="K213" s="217"/>
      <c r="L213" s="217"/>
      <c r="M213" s="217"/>
      <c r="N213" s="217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BA213" s="5"/>
      <c r="BB213" s="5"/>
      <c r="BC213" s="5"/>
      <c r="BD213" s="5"/>
      <c r="BE213" s="63"/>
      <c r="BF213" s="63"/>
      <c r="BG213" s="63"/>
      <c r="BK213" s="283"/>
      <c r="BL213" s="284"/>
      <c r="BM213" s="292"/>
      <c r="BN213" s="292"/>
      <c r="BO213" s="292"/>
      <c r="BP213" s="292"/>
      <c r="BQ213" s="292"/>
      <c r="BR213" s="292"/>
      <c r="BS213" s="292"/>
      <c r="BT213" s="292"/>
      <c r="BV213" s="256"/>
      <c r="BW213" s="261"/>
      <c r="BX213" s="262"/>
      <c r="BY213" s="262"/>
      <c r="BZ213" s="262"/>
      <c r="CA213" s="262"/>
      <c r="CB213" s="262"/>
      <c r="CC213" s="262"/>
      <c r="CD213" s="262"/>
      <c r="CE213" s="262"/>
      <c r="CF213" s="255"/>
      <c r="CG213" s="53"/>
      <c r="CH213" s="53"/>
      <c r="CI213" s="53"/>
      <c r="CJ213" s="53"/>
      <c r="CK213" s="53"/>
      <c r="CL213" s="53"/>
      <c r="CN213" s="53"/>
      <c r="CO213" s="53"/>
      <c r="CP213" s="53"/>
      <c r="CQ213" s="53"/>
      <c r="CR213" s="53"/>
      <c r="CS213" s="53"/>
      <c r="CT213" s="261"/>
      <c r="CU213" s="255"/>
      <c r="CV213" s="261"/>
      <c r="CW213" s="261"/>
      <c r="CX213" s="261"/>
      <c r="CY213" s="255"/>
    </row>
    <row r="214" spans="1:103" ht="11.15" customHeight="1">
      <c r="A214" s="216"/>
      <c r="B214" s="217"/>
      <c r="C214" s="218"/>
      <c r="D214" s="219"/>
      <c r="E214" s="217"/>
      <c r="F214" s="217"/>
      <c r="G214" s="217"/>
      <c r="H214" s="220"/>
      <c r="I214" s="217"/>
      <c r="J214" s="217"/>
      <c r="K214" s="217"/>
      <c r="L214" s="217"/>
      <c r="M214" s="217"/>
      <c r="N214" s="217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BA214" s="5"/>
      <c r="BB214" s="5"/>
      <c r="BC214" s="5"/>
      <c r="BD214" s="5"/>
      <c r="BE214" s="63"/>
      <c r="BF214" s="63"/>
      <c r="BG214" s="63"/>
      <c r="BK214" s="283"/>
      <c r="BL214" s="284"/>
      <c r="BM214" s="292"/>
      <c r="BN214" s="292"/>
      <c r="BO214" s="292"/>
      <c r="BP214" s="292"/>
      <c r="BQ214" s="292"/>
      <c r="BR214" s="292"/>
      <c r="BS214" s="292"/>
      <c r="BT214" s="292"/>
      <c r="BV214" s="256"/>
      <c r="BW214" s="261"/>
      <c r="BX214" s="262"/>
      <c r="BY214" s="262"/>
      <c r="BZ214" s="262"/>
      <c r="CA214" s="262"/>
      <c r="CB214" s="262"/>
      <c r="CC214" s="262"/>
      <c r="CD214" s="262"/>
      <c r="CE214" s="262"/>
      <c r="CF214" s="255"/>
      <c r="CG214" s="53"/>
      <c r="CH214" s="53"/>
      <c r="CI214" s="53"/>
      <c r="CJ214" s="53"/>
      <c r="CK214" s="53"/>
      <c r="CL214" s="53"/>
      <c r="CN214" s="53"/>
      <c r="CO214" s="53"/>
      <c r="CP214" s="53"/>
      <c r="CQ214" s="53"/>
      <c r="CR214" s="53"/>
      <c r="CS214" s="53"/>
      <c r="CT214" s="261"/>
      <c r="CU214" s="255"/>
      <c r="CV214" s="261"/>
      <c r="CW214" s="261"/>
      <c r="CX214" s="261"/>
      <c r="CY214" s="255"/>
    </row>
    <row r="215" spans="1:103" ht="11.15" customHeight="1">
      <c r="A215" s="216"/>
      <c r="B215" s="217"/>
      <c r="C215" s="218"/>
      <c r="D215" s="219"/>
      <c r="E215" s="217"/>
      <c r="F215" s="217"/>
      <c r="G215" s="217"/>
      <c r="H215" s="220"/>
      <c r="I215" s="217"/>
      <c r="J215" s="217"/>
      <c r="K215" s="217"/>
      <c r="L215" s="217"/>
      <c r="M215" s="217"/>
      <c r="N215" s="217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BA215" s="5"/>
      <c r="BB215" s="5"/>
      <c r="BC215" s="5"/>
      <c r="BD215" s="5"/>
      <c r="BE215" s="63"/>
      <c r="BF215" s="63"/>
      <c r="BG215" s="63"/>
      <c r="BK215" s="283"/>
      <c r="BL215" s="284"/>
      <c r="BM215" s="292"/>
      <c r="BN215" s="292"/>
      <c r="BO215" s="292"/>
      <c r="BP215" s="292"/>
      <c r="BQ215" s="292"/>
      <c r="BR215" s="292"/>
      <c r="BS215" s="292"/>
      <c r="BT215" s="292"/>
      <c r="BV215" s="256"/>
      <c r="BW215" s="261"/>
      <c r="BX215" s="262"/>
      <c r="BY215" s="262"/>
      <c r="BZ215" s="262"/>
      <c r="CA215" s="262"/>
      <c r="CB215" s="262"/>
      <c r="CC215" s="262"/>
      <c r="CD215" s="262"/>
      <c r="CE215" s="262"/>
      <c r="CF215" s="255"/>
      <c r="CG215" s="53"/>
      <c r="CH215" s="53"/>
      <c r="CI215" s="53"/>
      <c r="CJ215" s="53"/>
      <c r="CK215" s="53"/>
      <c r="CL215" s="53"/>
      <c r="CN215" s="53"/>
      <c r="CO215" s="53"/>
      <c r="CP215" s="53"/>
      <c r="CQ215" s="53"/>
      <c r="CR215" s="53"/>
      <c r="CS215" s="53"/>
      <c r="CT215" s="261"/>
      <c r="CU215" s="255"/>
      <c r="CV215" s="261"/>
      <c r="CW215" s="255"/>
      <c r="CX215" s="261"/>
      <c r="CY215" s="255"/>
    </row>
    <row r="216" spans="1:103" ht="11.15" customHeight="1">
      <c r="A216" s="216"/>
      <c r="B216" s="217"/>
      <c r="C216" s="218"/>
      <c r="D216" s="219"/>
      <c r="E216" s="217"/>
      <c r="F216" s="217"/>
      <c r="G216" s="217"/>
      <c r="H216" s="220"/>
      <c r="I216" s="217"/>
      <c r="J216" s="217"/>
      <c r="K216" s="217"/>
      <c r="L216" s="217"/>
      <c r="M216" s="217"/>
      <c r="N216" s="217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BA216" s="5"/>
      <c r="BB216" s="5"/>
      <c r="BC216" s="5"/>
      <c r="BD216" s="5"/>
      <c r="BE216" s="63"/>
      <c r="BF216" s="63"/>
      <c r="BG216" s="63"/>
      <c r="BK216" s="283"/>
      <c r="BL216" s="284"/>
      <c r="BM216" s="292"/>
      <c r="BN216" s="292"/>
      <c r="BO216" s="292"/>
      <c r="BP216" s="292"/>
      <c r="BQ216" s="292"/>
      <c r="BR216" s="292"/>
      <c r="BS216" s="292"/>
      <c r="BT216" s="292"/>
      <c r="BV216" s="256"/>
      <c r="BW216" s="261"/>
      <c r="BX216" s="262"/>
      <c r="BY216" s="262"/>
      <c r="BZ216" s="262"/>
      <c r="CA216" s="262"/>
      <c r="CB216" s="262"/>
      <c r="CC216" s="262"/>
      <c r="CD216" s="262"/>
      <c r="CE216" s="262"/>
      <c r="CF216" s="255"/>
      <c r="CG216" s="53"/>
      <c r="CH216" s="53"/>
      <c r="CI216" s="53"/>
      <c r="CJ216" s="53"/>
      <c r="CK216" s="53"/>
      <c r="CL216" s="53"/>
      <c r="CN216" s="53"/>
      <c r="CO216" s="53"/>
      <c r="CP216" s="53"/>
      <c r="CQ216" s="53"/>
      <c r="CR216" s="53"/>
      <c r="CS216" s="53"/>
      <c r="CT216" s="261"/>
      <c r="CU216" s="255"/>
      <c r="CV216" s="255"/>
      <c r="CW216" s="261"/>
      <c r="CX216" s="261"/>
      <c r="CY216" s="255"/>
    </row>
    <row r="217" spans="1:103" ht="11.15" customHeight="1">
      <c r="A217" s="216"/>
      <c r="B217" s="217"/>
      <c r="C217" s="218"/>
      <c r="D217" s="219"/>
      <c r="E217" s="217"/>
      <c r="F217" s="217"/>
      <c r="G217" s="217"/>
      <c r="H217" s="220"/>
      <c r="I217" s="217"/>
      <c r="J217" s="217"/>
      <c r="K217" s="217"/>
      <c r="L217" s="217"/>
      <c r="M217" s="217"/>
      <c r="N217" s="217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BA217" s="5"/>
      <c r="BB217" s="5"/>
      <c r="BC217" s="5"/>
      <c r="BD217" s="5"/>
      <c r="BE217" s="63"/>
      <c r="BF217" s="63"/>
      <c r="BG217" s="63"/>
      <c r="BK217" s="283"/>
      <c r="BL217" s="284"/>
      <c r="BM217" s="292"/>
      <c r="BN217" s="292"/>
      <c r="BO217" s="292"/>
      <c r="BP217" s="292"/>
      <c r="BQ217" s="292"/>
      <c r="BR217" s="292"/>
      <c r="BS217" s="292"/>
      <c r="BT217" s="292"/>
      <c r="BV217" s="256"/>
      <c r="BW217" s="261"/>
      <c r="BX217" s="262"/>
      <c r="BY217" s="262"/>
      <c r="BZ217" s="262"/>
      <c r="CA217" s="262"/>
      <c r="CB217" s="262"/>
      <c r="CC217" s="262"/>
      <c r="CD217" s="262"/>
      <c r="CE217" s="262"/>
      <c r="CF217" s="255"/>
      <c r="CG217" s="53"/>
      <c r="CH217" s="53"/>
      <c r="CI217" s="53"/>
      <c r="CJ217" s="53"/>
      <c r="CK217" s="53"/>
      <c r="CL217" s="53"/>
      <c r="CN217" s="53"/>
      <c r="CO217" s="53"/>
      <c r="CP217" s="53"/>
      <c r="CQ217" s="53"/>
      <c r="CR217" s="53"/>
      <c r="CS217" s="53"/>
      <c r="CT217" s="261"/>
      <c r="CU217" s="255"/>
      <c r="CV217" s="261"/>
      <c r="CW217" s="255"/>
      <c r="CX217" s="261"/>
      <c r="CY217" s="255"/>
    </row>
    <row r="218" spans="1:103" ht="11.15" customHeight="1">
      <c r="A218" s="216"/>
      <c r="B218" s="217"/>
      <c r="C218" s="218"/>
      <c r="D218" s="219"/>
      <c r="E218" s="217"/>
      <c r="F218" s="217"/>
      <c r="G218" s="217"/>
      <c r="H218" s="220"/>
      <c r="I218" s="217"/>
      <c r="J218" s="217"/>
      <c r="K218" s="217"/>
      <c r="L218" s="217"/>
      <c r="M218" s="217"/>
      <c r="N218" s="217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BA218" s="5"/>
      <c r="BB218" s="5"/>
      <c r="BC218" s="5"/>
      <c r="BD218" s="5"/>
      <c r="BE218" s="63"/>
      <c r="BF218" s="63"/>
      <c r="BG218" s="63"/>
      <c r="BK218" s="283"/>
      <c r="BL218" s="284"/>
      <c r="BM218" s="292"/>
      <c r="BN218" s="292"/>
      <c r="BO218" s="292"/>
      <c r="BP218" s="292"/>
      <c r="BQ218" s="292"/>
      <c r="BR218" s="292"/>
      <c r="BS218" s="292"/>
      <c r="BT218" s="292"/>
      <c r="BV218" s="256"/>
      <c r="BW218" s="261"/>
      <c r="BX218" s="262"/>
      <c r="BY218" s="262"/>
      <c r="BZ218" s="262"/>
      <c r="CA218" s="262"/>
      <c r="CB218" s="262"/>
      <c r="CC218" s="262"/>
      <c r="CD218" s="262"/>
      <c r="CE218" s="262"/>
      <c r="CF218" s="261"/>
      <c r="CG218" s="53"/>
      <c r="CH218" s="53"/>
      <c r="CI218" s="53"/>
      <c r="CJ218" s="53"/>
      <c r="CK218" s="53"/>
      <c r="CL218" s="53"/>
      <c r="CN218" s="53"/>
      <c r="CO218" s="53"/>
      <c r="CP218" s="53"/>
      <c r="CQ218" s="53"/>
      <c r="CR218" s="53"/>
      <c r="CS218" s="53"/>
      <c r="CT218" s="255"/>
      <c r="CU218" s="261"/>
      <c r="CV218" s="255"/>
      <c r="CW218" s="261"/>
      <c r="CX218" s="261"/>
      <c r="CY218" s="255"/>
    </row>
    <row r="219" spans="1:103" ht="11.15" customHeight="1">
      <c r="A219" s="216"/>
      <c r="B219" s="217"/>
      <c r="C219" s="218"/>
      <c r="D219" s="219"/>
      <c r="E219" s="217"/>
      <c r="F219" s="217"/>
      <c r="G219" s="217"/>
      <c r="H219" s="220"/>
      <c r="I219" s="217"/>
      <c r="J219" s="217"/>
      <c r="K219" s="217"/>
      <c r="L219" s="217"/>
      <c r="M219" s="217"/>
      <c r="N219" s="217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BA219" s="5"/>
      <c r="BB219" s="5"/>
      <c r="BC219" s="5"/>
      <c r="BD219" s="5"/>
      <c r="BE219" s="63"/>
      <c r="BF219" s="63"/>
      <c r="BG219" s="63"/>
      <c r="BK219" s="283"/>
      <c r="BL219" s="284"/>
      <c r="BM219" s="292"/>
      <c r="BN219" s="292"/>
      <c r="BO219" s="292"/>
      <c r="BP219" s="292"/>
      <c r="BQ219" s="292"/>
      <c r="BR219" s="292"/>
      <c r="BS219" s="292"/>
      <c r="BT219" s="292"/>
      <c r="BV219" s="256"/>
      <c r="BW219" s="261"/>
      <c r="BX219" s="262"/>
      <c r="BY219" s="262"/>
      <c r="BZ219" s="262"/>
      <c r="CA219" s="262"/>
      <c r="CB219" s="262"/>
      <c r="CC219" s="262"/>
      <c r="CD219" s="262"/>
      <c r="CE219" s="262"/>
      <c r="CF219" s="261"/>
      <c r="CG219" s="53"/>
      <c r="CH219" s="53"/>
      <c r="CI219" s="53"/>
      <c r="CJ219" s="53"/>
      <c r="CK219" s="53"/>
      <c r="CL219" s="53"/>
      <c r="CN219" s="53"/>
      <c r="CO219" s="53"/>
      <c r="CP219" s="53"/>
      <c r="CQ219" s="53"/>
      <c r="CR219" s="53"/>
      <c r="CS219" s="53"/>
      <c r="CT219" s="255"/>
      <c r="CU219" s="261"/>
      <c r="CV219" s="261"/>
      <c r="CW219" s="255"/>
      <c r="CX219" s="261"/>
      <c r="CY219" s="255"/>
    </row>
    <row r="220" spans="1:103" ht="11.15" customHeight="1">
      <c r="A220" s="216"/>
      <c r="B220" s="217"/>
      <c r="C220" s="218"/>
      <c r="D220" s="219"/>
      <c r="E220" s="217"/>
      <c r="F220" s="217"/>
      <c r="G220" s="217"/>
      <c r="H220" s="220"/>
      <c r="I220" s="217"/>
      <c r="J220" s="217"/>
      <c r="K220" s="217"/>
      <c r="L220" s="217"/>
      <c r="M220" s="217"/>
      <c r="N220" s="217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BA220" s="5"/>
      <c r="BB220" s="5"/>
      <c r="BC220" s="5"/>
      <c r="BD220" s="5"/>
      <c r="BE220" s="63"/>
      <c r="BF220" s="63"/>
      <c r="BG220" s="63"/>
      <c r="BK220" s="283"/>
      <c r="BL220" s="284"/>
      <c r="BM220" s="292"/>
      <c r="BN220" s="292"/>
      <c r="BO220" s="292"/>
      <c r="BP220" s="292"/>
      <c r="BQ220" s="292"/>
      <c r="BR220" s="292"/>
      <c r="BS220" s="292"/>
      <c r="BT220" s="292"/>
      <c r="BV220" s="256"/>
      <c r="BW220" s="261"/>
      <c r="BX220" s="262"/>
      <c r="BY220" s="262"/>
      <c r="BZ220" s="262"/>
      <c r="CA220" s="262"/>
      <c r="CB220" s="262"/>
      <c r="CC220" s="262"/>
      <c r="CD220" s="262"/>
      <c r="CE220" s="262"/>
      <c r="CF220" s="261"/>
      <c r="CG220" s="53"/>
      <c r="CH220" s="53"/>
      <c r="CI220" s="53"/>
      <c r="CJ220" s="53"/>
      <c r="CK220" s="53"/>
      <c r="CL220" s="53"/>
      <c r="CN220" s="53"/>
      <c r="CO220" s="53"/>
      <c r="CP220" s="53"/>
      <c r="CQ220" s="53"/>
      <c r="CR220" s="53"/>
      <c r="CS220" s="53"/>
      <c r="CT220" s="261"/>
      <c r="CU220" s="261"/>
      <c r="CV220" s="255"/>
      <c r="CW220" s="261"/>
      <c r="CX220" s="261"/>
      <c r="CY220" s="255"/>
    </row>
    <row r="221" spans="1:103" ht="11.15" customHeight="1">
      <c r="A221" s="216"/>
      <c r="B221" s="217"/>
      <c r="C221" s="218"/>
      <c r="D221" s="219"/>
      <c r="E221" s="217"/>
      <c r="F221" s="217"/>
      <c r="G221" s="217"/>
      <c r="H221" s="220"/>
      <c r="I221" s="217"/>
      <c r="J221" s="217"/>
      <c r="K221" s="217"/>
      <c r="L221" s="217"/>
      <c r="M221" s="217"/>
      <c r="N221" s="217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BA221" s="5"/>
      <c r="BB221" s="5"/>
      <c r="BC221" s="5"/>
      <c r="BD221" s="5"/>
      <c r="BE221" s="63"/>
      <c r="BF221" s="63"/>
      <c r="BG221" s="63"/>
      <c r="BK221" s="283"/>
      <c r="BL221" s="284"/>
      <c r="BM221" s="292"/>
      <c r="BN221" s="292"/>
      <c r="BO221" s="292"/>
      <c r="BP221" s="292"/>
      <c r="BQ221" s="292"/>
      <c r="BR221" s="292"/>
      <c r="BS221" s="292"/>
      <c r="BT221" s="292"/>
      <c r="BV221" s="256"/>
      <c r="BW221" s="261"/>
      <c r="BX221" s="262"/>
      <c r="BY221" s="262"/>
      <c r="BZ221" s="262"/>
      <c r="CA221" s="262"/>
      <c r="CB221" s="262"/>
      <c r="CC221" s="262"/>
      <c r="CD221" s="262"/>
      <c r="CE221" s="262"/>
      <c r="CF221" s="261"/>
      <c r="CG221" s="53"/>
      <c r="CH221" s="53"/>
      <c r="CI221" s="53"/>
      <c r="CJ221" s="53"/>
      <c r="CK221" s="53"/>
      <c r="CL221" s="53"/>
      <c r="CN221" s="53"/>
      <c r="CO221" s="53"/>
      <c r="CP221" s="53"/>
      <c r="CQ221" s="53"/>
      <c r="CR221" s="53"/>
      <c r="CS221" s="53"/>
      <c r="CT221" s="261"/>
      <c r="CU221" s="261"/>
      <c r="CV221" s="261"/>
      <c r="CW221" s="255"/>
      <c r="CX221" s="261"/>
      <c r="CY221" s="255"/>
    </row>
    <row r="222" spans="1:103" ht="11.15" customHeight="1">
      <c r="A222" s="216"/>
      <c r="B222" s="217"/>
      <c r="C222" s="218"/>
      <c r="D222" s="219"/>
      <c r="E222" s="217"/>
      <c r="F222" s="217"/>
      <c r="G222" s="217"/>
      <c r="H222" s="220"/>
      <c r="I222" s="217"/>
      <c r="J222" s="217"/>
      <c r="K222" s="217"/>
      <c r="L222" s="217"/>
      <c r="M222" s="217"/>
      <c r="N222" s="217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BA222" s="5"/>
      <c r="BB222" s="5"/>
      <c r="BC222" s="5"/>
      <c r="BD222" s="5"/>
      <c r="BE222" s="63"/>
      <c r="BF222" s="63"/>
      <c r="BG222" s="63"/>
      <c r="BK222" s="283">
        <v>0.75</v>
      </c>
      <c r="BL222" s="284">
        <v>216</v>
      </c>
      <c r="BM222" s="292">
        <v>15.6</v>
      </c>
      <c r="BN222" s="292">
        <v>15.7</v>
      </c>
      <c r="BO222" s="292">
        <v>17.2</v>
      </c>
      <c r="BP222" s="292">
        <v>17.3</v>
      </c>
      <c r="BQ222" s="292">
        <v>29.2</v>
      </c>
      <c r="BR222" s="292">
        <v>29.3</v>
      </c>
      <c r="BS222" s="292">
        <v>35.4</v>
      </c>
      <c r="BT222" s="292">
        <v>35.5</v>
      </c>
      <c r="BV222" s="256">
        <v>0.75</v>
      </c>
      <c r="BW222" s="261">
        <v>216</v>
      </c>
      <c r="BX222" s="262">
        <v>15.6</v>
      </c>
      <c r="BY222" s="262">
        <v>15.7</v>
      </c>
      <c r="BZ222" s="262">
        <v>17.2</v>
      </c>
      <c r="CA222" s="262">
        <v>17.3</v>
      </c>
      <c r="CB222" s="262">
        <v>29.2</v>
      </c>
      <c r="CC222" s="262">
        <v>29.3</v>
      </c>
      <c r="CD222" s="262">
        <v>35.4</v>
      </c>
      <c r="CE222" s="262">
        <v>35.5</v>
      </c>
      <c r="CF222" s="261"/>
      <c r="CG222" s="53"/>
      <c r="CH222" s="53"/>
      <c r="CI222" s="53"/>
      <c r="CJ222" s="53"/>
      <c r="CK222" s="53"/>
      <c r="CL222" s="53"/>
      <c r="CN222" s="53"/>
      <c r="CO222" s="53"/>
      <c r="CP222" s="53"/>
      <c r="CQ222" s="53"/>
      <c r="CR222" s="53"/>
      <c r="CS222" s="53"/>
      <c r="CT222" s="261"/>
      <c r="CU222" s="261"/>
      <c r="CV222" s="261"/>
      <c r="CW222" s="261"/>
      <c r="CX222" s="261"/>
      <c r="CY222" s="255"/>
    </row>
    <row r="223" spans="1:103" ht="11.15" customHeight="1">
      <c r="A223" s="216"/>
      <c r="B223" s="217"/>
      <c r="C223" s="218"/>
      <c r="D223" s="219"/>
      <c r="E223" s="217"/>
      <c r="F223" s="217"/>
      <c r="G223" s="217"/>
      <c r="H223" s="220"/>
      <c r="I223" s="217"/>
      <c r="J223" s="217"/>
      <c r="K223" s="217"/>
      <c r="L223" s="217"/>
      <c r="M223" s="217"/>
      <c r="N223" s="217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BA223" s="5"/>
      <c r="BB223" s="5"/>
      <c r="BC223" s="5"/>
      <c r="BD223" s="5"/>
      <c r="BE223" s="63"/>
      <c r="BF223" s="63"/>
      <c r="BG223" s="63"/>
      <c r="BK223" s="283">
        <v>0.750694444444444</v>
      </c>
      <c r="BL223" s="284">
        <v>217</v>
      </c>
      <c r="BM223" s="292">
        <v>15.6</v>
      </c>
      <c r="BN223" s="292">
        <v>15.7</v>
      </c>
      <c r="BO223" s="292">
        <v>17.2</v>
      </c>
      <c r="BP223" s="292">
        <v>17.3</v>
      </c>
      <c r="BQ223" s="292">
        <v>29.3</v>
      </c>
      <c r="BR223" s="292">
        <v>29.4</v>
      </c>
      <c r="BS223" s="292">
        <v>35.4</v>
      </c>
      <c r="BT223" s="292">
        <v>35.5</v>
      </c>
      <c r="BV223" s="256">
        <v>0.750694444444444</v>
      </c>
      <c r="BW223" s="261">
        <v>217</v>
      </c>
      <c r="BX223" s="262">
        <v>15.6</v>
      </c>
      <c r="BY223" s="262">
        <v>15.7</v>
      </c>
      <c r="BZ223" s="262">
        <v>17.2</v>
      </c>
      <c r="CA223" s="262">
        <v>17.3</v>
      </c>
      <c r="CB223" s="262">
        <v>29.3</v>
      </c>
      <c r="CC223" s="262">
        <v>29.4</v>
      </c>
      <c r="CD223" s="262">
        <v>35.4</v>
      </c>
      <c r="CE223" s="262">
        <v>35.5</v>
      </c>
      <c r="CF223" s="261"/>
      <c r="CG223" s="53"/>
      <c r="CH223" s="53"/>
      <c r="CI223" s="53"/>
      <c r="CJ223" s="53"/>
      <c r="CK223" s="53"/>
      <c r="CL223" s="53"/>
      <c r="CN223" s="53"/>
      <c r="CO223" s="53"/>
      <c r="CP223" s="53"/>
      <c r="CQ223" s="53"/>
      <c r="CR223" s="53"/>
      <c r="CS223" s="53"/>
      <c r="CT223" s="261"/>
      <c r="CU223" s="261"/>
      <c r="CV223" s="255"/>
      <c r="CW223" s="255"/>
      <c r="CX223" s="261"/>
      <c r="CY223" s="255"/>
    </row>
    <row r="224" spans="1:103" ht="11.15" customHeight="1">
      <c r="A224" s="216"/>
      <c r="B224" s="217"/>
      <c r="C224" s="218"/>
      <c r="D224" s="219"/>
      <c r="E224" s="217"/>
      <c r="F224" s="217"/>
      <c r="G224" s="217"/>
      <c r="H224" s="220"/>
      <c r="I224" s="217"/>
      <c r="J224" s="217"/>
      <c r="K224" s="217"/>
      <c r="L224" s="217"/>
      <c r="M224" s="217"/>
      <c r="N224" s="217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BA224" s="5"/>
      <c r="BB224" s="5"/>
      <c r="BC224" s="5"/>
      <c r="BD224" s="5"/>
      <c r="BE224" s="63"/>
      <c r="BF224" s="63"/>
      <c r="BG224" s="63"/>
      <c r="BK224" s="283">
        <v>0.75138888888888899</v>
      </c>
      <c r="BL224" s="284">
        <v>218</v>
      </c>
      <c r="BM224" s="292">
        <v>15.6</v>
      </c>
      <c r="BN224" s="292">
        <v>15.7</v>
      </c>
      <c r="BO224" s="292">
        <v>17.2</v>
      </c>
      <c r="BP224" s="292">
        <v>17.3</v>
      </c>
      <c r="BQ224" s="292">
        <v>29.3</v>
      </c>
      <c r="BR224" s="292">
        <v>29.4</v>
      </c>
      <c r="BS224" s="292">
        <v>35.5</v>
      </c>
      <c r="BT224" s="292">
        <v>35.6</v>
      </c>
      <c r="BV224" s="256">
        <v>0.75138888888888899</v>
      </c>
      <c r="BW224" s="261">
        <v>218</v>
      </c>
      <c r="BX224" s="262">
        <v>15.6</v>
      </c>
      <c r="BY224" s="262">
        <v>15.7</v>
      </c>
      <c r="BZ224" s="262">
        <v>17.2</v>
      </c>
      <c r="CA224" s="262">
        <v>17.3</v>
      </c>
      <c r="CB224" s="262">
        <v>29.3</v>
      </c>
      <c r="CC224" s="262">
        <v>29.4</v>
      </c>
      <c r="CD224" s="262">
        <v>35.5</v>
      </c>
      <c r="CE224" s="262">
        <v>35.6</v>
      </c>
      <c r="CF224" s="261"/>
      <c r="CG224" s="53"/>
      <c r="CH224" s="53"/>
      <c r="CI224" s="53"/>
      <c r="CJ224" s="53"/>
      <c r="CK224" s="53"/>
      <c r="CL224" s="53"/>
      <c r="CN224" s="53"/>
      <c r="CO224" s="53"/>
      <c r="CP224" s="53"/>
      <c r="CQ224" s="53"/>
      <c r="CR224" s="53"/>
      <c r="CS224" s="53"/>
      <c r="CT224" s="261"/>
      <c r="CU224" s="261"/>
      <c r="CV224" s="261"/>
      <c r="CW224" s="261"/>
      <c r="CX224" s="261"/>
      <c r="CY224" s="255"/>
    </row>
    <row r="225" spans="1:103" ht="11.15" customHeight="1">
      <c r="A225" s="216"/>
      <c r="B225" s="217"/>
      <c r="C225" s="218"/>
      <c r="D225" s="219"/>
      <c r="E225" s="217"/>
      <c r="F225" s="217"/>
      <c r="G225" s="217"/>
      <c r="H225" s="220"/>
      <c r="I225" s="217"/>
      <c r="J225" s="217"/>
      <c r="K225" s="217"/>
      <c r="L225" s="217"/>
      <c r="M225" s="217"/>
      <c r="N225" s="217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BA225" s="5"/>
      <c r="BB225" s="5"/>
      <c r="BC225" s="5"/>
      <c r="BD225" s="5"/>
      <c r="BE225" s="63"/>
      <c r="BF225" s="63"/>
      <c r="BG225" s="63"/>
      <c r="BK225" s="283">
        <v>0.75208333333333299</v>
      </c>
      <c r="BL225" s="284">
        <v>219</v>
      </c>
      <c r="BM225" s="292">
        <v>15.6</v>
      </c>
      <c r="BN225" s="292">
        <v>15.7</v>
      </c>
      <c r="BO225" s="292">
        <v>17.3</v>
      </c>
      <c r="BP225" s="292">
        <v>17.399999999999999</v>
      </c>
      <c r="BQ225" s="292">
        <v>29.4</v>
      </c>
      <c r="BR225" s="292">
        <v>29.5</v>
      </c>
      <c r="BS225" s="292">
        <v>35.5</v>
      </c>
      <c r="BT225" s="292">
        <v>35.6</v>
      </c>
      <c r="BV225" s="256">
        <v>0.75208333333333299</v>
      </c>
      <c r="BW225" s="261">
        <v>219</v>
      </c>
      <c r="BX225" s="262">
        <v>15.6</v>
      </c>
      <c r="BY225" s="262">
        <v>15.7</v>
      </c>
      <c r="BZ225" s="262">
        <v>17.3</v>
      </c>
      <c r="CA225" s="262">
        <v>17.399999999999999</v>
      </c>
      <c r="CB225" s="262">
        <v>29.4</v>
      </c>
      <c r="CC225" s="262">
        <v>29.5</v>
      </c>
      <c r="CD225" s="262">
        <v>35.5</v>
      </c>
      <c r="CE225" s="262">
        <v>35.6</v>
      </c>
      <c r="CF225" s="261"/>
      <c r="CG225" s="53"/>
      <c r="CH225" s="53"/>
      <c r="CI225" s="53"/>
      <c r="CJ225" s="53"/>
      <c r="CK225" s="53"/>
      <c r="CL225" s="53"/>
      <c r="CN225" s="53"/>
      <c r="CO225" s="53"/>
      <c r="CP225" s="53"/>
      <c r="CQ225" s="53"/>
      <c r="CR225" s="53"/>
      <c r="CS225" s="53"/>
      <c r="CT225" s="261"/>
      <c r="CU225" s="261"/>
      <c r="CV225" s="255"/>
      <c r="CW225" s="255"/>
      <c r="CX225" s="261"/>
      <c r="CY225" s="255"/>
    </row>
    <row r="226" spans="1:103" ht="11.15" customHeight="1">
      <c r="A226" s="216"/>
      <c r="B226" s="217"/>
      <c r="C226" s="218"/>
      <c r="D226" s="219"/>
      <c r="E226" s="217"/>
      <c r="F226" s="217"/>
      <c r="G226" s="217"/>
      <c r="H226" s="220"/>
      <c r="I226" s="217"/>
      <c r="J226" s="217"/>
      <c r="K226" s="217"/>
      <c r="L226" s="217"/>
      <c r="M226" s="217"/>
      <c r="N226" s="217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44"/>
      <c r="BA226" s="5"/>
      <c r="BB226" s="5"/>
      <c r="BC226" s="5"/>
      <c r="BD226" s="5"/>
      <c r="BE226" s="63"/>
      <c r="BF226" s="63"/>
      <c r="BG226" s="63"/>
      <c r="BK226" s="283">
        <v>0.75277777777777799</v>
      </c>
      <c r="BL226" s="284">
        <v>220</v>
      </c>
      <c r="BM226" s="292">
        <v>15.7</v>
      </c>
      <c r="BN226" s="292">
        <v>15.8</v>
      </c>
      <c r="BO226" s="292">
        <v>17.3</v>
      </c>
      <c r="BP226" s="292">
        <v>17.399999999999999</v>
      </c>
      <c r="BQ226" s="292">
        <v>29.4</v>
      </c>
      <c r="BR226" s="292">
        <v>29.5</v>
      </c>
      <c r="BS226" s="292">
        <v>35.5</v>
      </c>
      <c r="BT226" s="292">
        <v>35.6</v>
      </c>
      <c r="BV226" s="256">
        <v>0.75277777777777799</v>
      </c>
      <c r="BW226" s="261">
        <v>220</v>
      </c>
      <c r="BX226" s="262">
        <v>15.7</v>
      </c>
      <c r="BY226" s="262">
        <v>15.8</v>
      </c>
      <c r="BZ226" s="262">
        <v>17.3</v>
      </c>
      <c r="CA226" s="262">
        <v>17.399999999999999</v>
      </c>
      <c r="CB226" s="262">
        <v>29.4</v>
      </c>
      <c r="CC226" s="262">
        <v>29.5</v>
      </c>
      <c r="CD226" s="262">
        <v>35.5</v>
      </c>
      <c r="CE226" s="262">
        <v>35.6</v>
      </c>
      <c r="CF226" s="261"/>
      <c r="CG226" s="53"/>
      <c r="CH226" s="53"/>
      <c r="CI226" s="53"/>
      <c r="CJ226" s="53"/>
      <c r="CK226" s="53"/>
      <c r="CL226" s="53"/>
      <c r="CN226" s="53"/>
      <c r="CO226" s="53"/>
      <c r="CP226" s="53"/>
      <c r="CQ226" s="53"/>
      <c r="CR226" s="53"/>
      <c r="CS226" s="53"/>
      <c r="CT226" s="261"/>
      <c r="CU226" s="261"/>
      <c r="CV226" s="261"/>
      <c r="CW226" s="261"/>
      <c r="CX226" s="255"/>
      <c r="CY226" s="255"/>
    </row>
    <row r="227" spans="1:103" ht="11.15" customHeight="1">
      <c r="A227" s="216"/>
      <c r="B227" s="217"/>
      <c r="C227" s="218"/>
      <c r="D227" s="219"/>
      <c r="E227" s="217"/>
      <c r="F227" s="217"/>
      <c r="G227" s="217"/>
      <c r="H227" s="220"/>
      <c r="I227" s="217"/>
      <c r="J227" s="217"/>
      <c r="K227" s="217"/>
      <c r="L227" s="217"/>
      <c r="M227" s="217"/>
      <c r="N227" s="217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BA227" s="5"/>
      <c r="BB227" s="5"/>
      <c r="BC227" s="5"/>
      <c r="BD227" s="5"/>
      <c r="BE227" s="63"/>
      <c r="BF227" s="63"/>
      <c r="BG227" s="63"/>
      <c r="BK227" s="283">
        <v>0.75347222222222199</v>
      </c>
      <c r="BL227" s="284">
        <v>221</v>
      </c>
      <c r="BM227" s="292">
        <v>15.7</v>
      </c>
      <c r="BN227" s="292">
        <v>15.8</v>
      </c>
      <c r="BO227" s="292">
        <v>17.3</v>
      </c>
      <c r="BP227" s="292">
        <v>17.399999999999999</v>
      </c>
      <c r="BQ227" s="292">
        <v>29.5</v>
      </c>
      <c r="BR227" s="292">
        <v>29.6</v>
      </c>
      <c r="BS227" s="292">
        <v>35.5</v>
      </c>
      <c r="BT227" s="292">
        <v>35.6</v>
      </c>
      <c r="BV227" s="256">
        <v>0.75347222222222199</v>
      </c>
      <c r="BW227" s="261">
        <v>221</v>
      </c>
      <c r="BX227" s="262">
        <v>15.7</v>
      </c>
      <c r="BY227" s="262">
        <v>15.8</v>
      </c>
      <c r="BZ227" s="262">
        <v>17.3</v>
      </c>
      <c r="CA227" s="262">
        <v>17.399999999999999</v>
      </c>
      <c r="CB227" s="262">
        <v>29.5</v>
      </c>
      <c r="CC227" s="262">
        <v>29.6</v>
      </c>
      <c r="CD227" s="262">
        <v>35.5</v>
      </c>
      <c r="CE227" s="262">
        <v>35.6</v>
      </c>
      <c r="CF227" s="261"/>
      <c r="CG227" s="53"/>
      <c r="CH227" s="53"/>
      <c r="CI227" s="53"/>
      <c r="CJ227" s="53"/>
      <c r="CK227" s="53"/>
      <c r="CL227" s="53"/>
      <c r="CN227" s="53"/>
      <c r="CO227" s="53"/>
      <c r="CP227" s="53"/>
      <c r="CQ227" s="53"/>
      <c r="CR227" s="53"/>
      <c r="CS227" s="53"/>
      <c r="CT227" s="261"/>
      <c r="CU227" s="261"/>
      <c r="CV227" s="255"/>
      <c r="CW227" s="255"/>
      <c r="CX227" s="261"/>
      <c r="CY227" s="255"/>
    </row>
    <row r="228" spans="1:103" ht="11.15" customHeight="1">
      <c r="A228" s="216"/>
      <c r="B228" s="217"/>
      <c r="C228" s="218"/>
      <c r="D228" s="219"/>
      <c r="E228" s="217"/>
      <c r="F228" s="217"/>
      <c r="G228" s="217"/>
      <c r="H228" s="220"/>
      <c r="I228" s="217"/>
      <c r="J228" s="217"/>
      <c r="K228" s="217"/>
      <c r="L228" s="217"/>
      <c r="M228" s="217"/>
      <c r="N228" s="217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BA228" s="5"/>
      <c r="BB228" s="5"/>
      <c r="BC228" s="5"/>
      <c r="BD228" s="5"/>
      <c r="BE228" s="63"/>
      <c r="BF228" s="63"/>
      <c r="BG228" s="63"/>
      <c r="BK228" s="283">
        <v>0.75416666666666698</v>
      </c>
      <c r="BL228" s="284">
        <v>222</v>
      </c>
      <c r="BM228" s="292">
        <v>15.7</v>
      </c>
      <c r="BN228" s="292">
        <v>15.8</v>
      </c>
      <c r="BO228" s="292">
        <v>17.3</v>
      </c>
      <c r="BP228" s="292">
        <v>17.399999999999999</v>
      </c>
      <c r="BQ228" s="292">
        <v>29.5</v>
      </c>
      <c r="BR228" s="292">
        <v>29.6</v>
      </c>
      <c r="BS228" s="292">
        <v>35.5</v>
      </c>
      <c r="BT228" s="292">
        <v>35.6</v>
      </c>
      <c r="BV228" s="256">
        <v>0.75416666666666698</v>
      </c>
      <c r="BW228" s="261">
        <v>222</v>
      </c>
      <c r="BX228" s="262">
        <v>15.7</v>
      </c>
      <c r="BY228" s="262">
        <v>15.8</v>
      </c>
      <c r="BZ228" s="262">
        <v>17.3</v>
      </c>
      <c r="CA228" s="262">
        <v>17.399999999999999</v>
      </c>
      <c r="CB228" s="262">
        <v>29.5</v>
      </c>
      <c r="CC228" s="262">
        <v>29.6</v>
      </c>
      <c r="CD228" s="262">
        <v>35.5</v>
      </c>
      <c r="CE228" s="262">
        <v>35.6</v>
      </c>
      <c r="CF228" s="261"/>
      <c r="CG228" s="53"/>
      <c r="CH228" s="53"/>
      <c r="CI228" s="53"/>
      <c r="CJ228" s="53"/>
      <c r="CK228" s="53"/>
      <c r="CL228" s="53"/>
      <c r="CN228" s="53"/>
      <c r="CO228" s="53"/>
      <c r="CP228" s="53"/>
      <c r="CQ228" s="53"/>
      <c r="CR228" s="53"/>
      <c r="CS228" s="53"/>
      <c r="CT228" s="261"/>
      <c r="CU228" s="261"/>
      <c r="CV228" s="261"/>
      <c r="CW228" s="261"/>
      <c r="CX228" s="261"/>
      <c r="CY228" s="255"/>
    </row>
    <row r="229" spans="1:103" ht="11.15" customHeight="1">
      <c r="A229" s="216"/>
      <c r="B229" s="217"/>
      <c r="C229" s="218"/>
      <c r="D229" s="219"/>
      <c r="E229" s="217"/>
      <c r="F229" s="217"/>
      <c r="G229" s="217"/>
      <c r="H229" s="220"/>
      <c r="I229" s="217"/>
      <c r="J229" s="217"/>
      <c r="K229" s="217"/>
      <c r="L229" s="217"/>
      <c r="M229" s="217"/>
      <c r="N229" s="217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BA229" s="5"/>
      <c r="BB229" s="5"/>
      <c r="BC229" s="5"/>
      <c r="BD229" s="5"/>
      <c r="BE229" s="63"/>
      <c r="BF229" s="63"/>
      <c r="BG229" s="63"/>
      <c r="BK229" s="283">
        <v>0.75486111111111098</v>
      </c>
      <c r="BL229" s="284">
        <v>223</v>
      </c>
      <c r="BM229" s="292">
        <v>15.7</v>
      </c>
      <c r="BN229" s="292">
        <v>15.8</v>
      </c>
      <c r="BO229" s="292">
        <v>17.399999999999999</v>
      </c>
      <c r="BP229" s="292">
        <v>17.5</v>
      </c>
      <c r="BQ229" s="292">
        <v>29.5</v>
      </c>
      <c r="BR229" s="292">
        <v>29.6</v>
      </c>
      <c r="BS229" s="292">
        <v>35.5</v>
      </c>
      <c r="BT229" s="292">
        <v>35.6</v>
      </c>
      <c r="BV229" s="256">
        <v>0.75486111111111098</v>
      </c>
      <c r="BW229" s="261">
        <v>223</v>
      </c>
      <c r="BX229" s="262">
        <v>15.7</v>
      </c>
      <c r="BY229" s="262">
        <v>15.8</v>
      </c>
      <c r="BZ229" s="262">
        <v>17.399999999999999</v>
      </c>
      <c r="CA229" s="262">
        <v>17.5</v>
      </c>
      <c r="CB229" s="262">
        <v>29.5</v>
      </c>
      <c r="CC229" s="262">
        <v>29.6</v>
      </c>
      <c r="CD229" s="262">
        <v>35.5</v>
      </c>
      <c r="CE229" s="262">
        <v>35.6</v>
      </c>
      <c r="CF229" s="261"/>
      <c r="CG229" s="53"/>
      <c r="CH229" s="53"/>
      <c r="CI229" s="53"/>
      <c r="CJ229" s="53"/>
      <c r="CK229" s="53"/>
      <c r="CL229" s="53"/>
      <c r="CN229" s="53"/>
      <c r="CO229" s="53"/>
      <c r="CP229" s="53"/>
      <c r="CQ229" s="53"/>
      <c r="CR229" s="53"/>
      <c r="CS229" s="53"/>
      <c r="CT229" s="261"/>
      <c r="CU229" s="261"/>
      <c r="CV229" s="261"/>
      <c r="CW229" s="255"/>
      <c r="CX229" s="261"/>
      <c r="CY229" s="255"/>
    </row>
    <row r="230" spans="1:103" ht="11.15" customHeight="1">
      <c r="A230" s="216"/>
      <c r="B230" s="217"/>
      <c r="C230" s="218"/>
      <c r="D230" s="219"/>
      <c r="E230" s="217"/>
      <c r="F230" s="217"/>
      <c r="G230" s="217"/>
      <c r="H230" s="220"/>
      <c r="I230" s="217"/>
      <c r="J230" s="217"/>
      <c r="K230" s="217"/>
      <c r="L230" s="217"/>
      <c r="M230" s="217"/>
      <c r="N230" s="217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  <c r="AQ230" s="44"/>
      <c r="BA230" s="5"/>
      <c r="BB230" s="5"/>
      <c r="BC230" s="5"/>
      <c r="BD230" s="5"/>
      <c r="BE230" s="63"/>
      <c r="BF230" s="63"/>
      <c r="BG230" s="63"/>
      <c r="BK230" s="283">
        <v>0.75555555555555598</v>
      </c>
      <c r="BL230" s="284">
        <v>224</v>
      </c>
      <c r="BM230" s="292">
        <v>15.7</v>
      </c>
      <c r="BN230" s="292">
        <v>15.8</v>
      </c>
      <c r="BO230" s="292">
        <v>17.399999999999999</v>
      </c>
      <c r="BP230" s="292">
        <v>17.5</v>
      </c>
      <c r="BQ230" s="292">
        <v>29.6</v>
      </c>
      <c r="BR230" s="292">
        <v>29.7</v>
      </c>
      <c r="BS230" s="292">
        <v>35.5</v>
      </c>
      <c r="BT230" s="292">
        <v>35.6</v>
      </c>
      <c r="BV230" s="256">
        <v>0.75555555555555598</v>
      </c>
      <c r="BW230" s="261">
        <v>224</v>
      </c>
      <c r="BX230" s="262">
        <v>15.7</v>
      </c>
      <c r="BY230" s="262">
        <v>15.8</v>
      </c>
      <c r="BZ230" s="262">
        <v>17.399999999999999</v>
      </c>
      <c r="CA230" s="262">
        <v>17.5</v>
      </c>
      <c r="CB230" s="262">
        <v>29.6</v>
      </c>
      <c r="CC230" s="262">
        <v>29.7</v>
      </c>
      <c r="CD230" s="262">
        <v>35.5</v>
      </c>
      <c r="CE230" s="262">
        <v>35.6</v>
      </c>
      <c r="CF230" s="261"/>
      <c r="CG230" s="53"/>
      <c r="CH230" s="53"/>
      <c r="CI230" s="53"/>
      <c r="CJ230" s="53"/>
      <c r="CK230" s="53"/>
      <c r="CL230" s="53"/>
      <c r="CN230" s="53"/>
      <c r="CO230" s="53"/>
      <c r="CP230" s="53"/>
      <c r="CQ230" s="53"/>
      <c r="CR230" s="53"/>
      <c r="CS230" s="53"/>
      <c r="CT230" s="261"/>
      <c r="CU230" s="261"/>
      <c r="CV230" s="261"/>
      <c r="CW230" s="261"/>
      <c r="CX230" s="261"/>
      <c r="CY230" s="255"/>
    </row>
    <row r="231" spans="1:103" ht="11.15" customHeight="1">
      <c r="A231" s="216"/>
      <c r="B231" s="217"/>
      <c r="C231" s="218"/>
      <c r="D231" s="219"/>
      <c r="E231" s="217"/>
      <c r="F231" s="217"/>
      <c r="G231" s="217"/>
      <c r="H231" s="220"/>
      <c r="I231" s="217"/>
      <c r="J231" s="217"/>
      <c r="K231" s="217"/>
      <c r="L231" s="217"/>
      <c r="M231" s="217"/>
      <c r="N231" s="217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BA231" s="5"/>
      <c r="BB231" s="5"/>
      <c r="BC231" s="5"/>
      <c r="BD231" s="5"/>
      <c r="BE231" s="63"/>
      <c r="BF231" s="63"/>
      <c r="BG231" s="63"/>
      <c r="BK231" s="283">
        <v>0.75624999999999998</v>
      </c>
      <c r="BL231" s="284">
        <v>225</v>
      </c>
      <c r="BM231" s="292">
        <v>15.7</v>
      </c>
      <c r="BN231" s="292">
        <v>15.8</v>
      </c>
      <c r="BO231" s="292">
        <v>17.399999999999999</v>
      </c>
      <c r="BP231" s="292">
        <v>17.5</v>
      </c>
      <c r="BQ231" s="292">
        <v>29.6</v>
      </c>
      <c r="BR231" s="292">
        <v>29.7</v>
      </c>
      <c r="BS231" s="292">
        <v>35.5</v>
      </c>
      <c r="BT231" s="292">
        <v>35.6</v>
      </c>
      <c r="BV231" s="256">
        <v>0.75624999999999998</v>
      </c>
      <c r="BW231" s="261">
        <v>225</v>
      </c>
      <c r="BX231" s="262">
        <v>15.7</v>
      </c>
      <c r="BY231" s="262">
        <v>15.8</v>
      </c>
      <c r="BZ231" s="262">
        <v>17.399999999999999</v>
      </c>
      <c r="CA231" s="262">
        <v>17.5</v>
      </c>
      <c r="CB231" s="262">
        <v>29.6</v>
      </c>
      <c r="CC231" s="262">
        <v>29.7</v>
      </c>
      <c r="CD231" s="262">
        <v>35.5</v>
      </c>
      <c r="CE231" s="262">
        <v>35.6</v>
      </c>
      <c r="CF231" s="261"/>
      <c r="CG231" s="53"/>
      <c r="CH231" s="53"/>
      <c r="CI231" s="53"/>
      <c r="CJ231" s="53"/>
      <c r="CK231" s="53"/>
      <c r="CL231" s="53"/>
      <c r="CN231" s="53"/>
      <c r="CO231" s="53"/>
      <c r="CP231" s="53"/>
      <c r="CQ231" s="53"/>
      <c r="CR231" s="53"/>
      <c r="CS231" s="53"/>
      <c r="CT231" s="261"/>
      <c r="CU231" s="261"/>
      <c r="CV231" s="255"/>
      <c r="CW231" s="255"/>
      <c r="CX231" s="261"/>
      <c r="CY231" s="255"/>
    </row>
    <row r="232" spans="1:103" ht="11.15" customHeight="1">
      <c r="A232" s="216"/>
      <c r="B232" s="217"/>
      <c r="C232" s="218"/>
      <c r="D232" s="219"/>
      <c r="E232" s="217"/>
      <c r="F232" s="217"/>
      <c r="G232" s="217"/>
      <c r="H232" s="220"/>
      <c r="I232" s="217"/>
      <c r="J232" s="217"/>
      <c r="K232" s="217"/>
      <c r="L232" s="217"/>
      <c r="M232" s="217"/>
      <c r="N232" s="217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BA232" s="5"/>
      <c r="BB232" s="5"/>
      <c r="BC232" s="5"/>
      <c r="BD232" s="5"/>
      <c r="BE232" s="63"/>
      <c r="BF232" s="63"/>
      <c r="BG232" s="63"/>
      <c r="BK232" s="283">
        <v>0.75694444444444398</v>
      </c>
      <c r="BL232" s="284">
        <v>226</v>
      </c>
      <c r="BM232" s="292">
        <v>15.7</v>
      </c>
      <c r="BN232" s="292">
        <v>15.8</v>
      </c>
      <c r="BO232" s="292">
        <v>17.399999999999999</v>
      </c>
      <c r="BP232" s="292">
        <v>17.5</v>
      </c>
      <c r="BQ232" s="292">
        <v>29.6</v>
      </c>
      <c r="BR232" s="292">
        <v>29.7</v>
      </c>
      <c r="BS232" s="292">
        <v>35.5</v>
      </c>
      <c r="BT232" s="292">
        <v>35.6</v>
      </c>
      <c r="BV232" s="256">
        <v>0.75694444444444398</v>
      </c>
      <c r="BW232" s="261">
        <v>226</v>
      </c>
      <c r="BX232" s="262">
        <v>15.7</v>
      </c>
      <c r="BY232" s="262">
        <v>15.8</v>
      </c>
      <c r="BZ232" s="262">
        <v>17.399999999999999</v>
      </c>
      <c r="CA232" s="262">
        <v>17.5</v>
      </c>
      <c r="CB232" s="262">
        <v>29.6</v>
      </c>
      <c r="CC232" s="262">
        <v>29.7</v>
      </c>
      <c r="CD232" s="262">
        <v>35.5</v>
      </c>
      <c r="CE232" s="262">
        <v>35.6</v>
      </c>
      <c r="CF232" s="261"/>
      <c r="CG232" s="53"/>
      <c r="CH232" s="53"/>
      <c r="CI232" s="53"/>
      <c r="CJ232" s="53"/>
      <c r="CK232" s="53"/>
      <c r="CL232" s="53"/>
      <c r="CN232" s="53"/>
      <c r="CO232" s="53"/>
      <c r="CP232" s="53"/>
      <c r="CQ232" s="53"/>
      <c r="CR232" s="53"/>
      <c r="CS232" s="53"/>
      <c r="CT232" s="261"/>
      <c r="CU232" s="261"/>
      <c r="CV232" s="261"/>
      <c r="CW232" s="261"/>
      <c r="CX232" s="261"/>
      <c r="CY232" s="255"/>
    </row>
    <row r="233" spans="1:103" ht="10.25" customHeight="1">
      <c r="A233" s="216"/>
      <c r="B233" s="217"/>
      <c r="C233" s="218"/>
      <c r="D233" s="219"/>
      <c r="E233" s="217"/>
      <c r="F233" s="217"/>
      <c r="G233" s="217"/>
      <c r="H233" s="220"/>
      <c r="I233" s="217"/>
      <c r="J233" s="217"/>
      <c r="K233" s="217"/>
      <c r="L233" s="217"/>
      <c r="M233" s="217"/>
      <c r="N233" s="217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BA233" s="5"/>
      <c r="BB233" s="5"/>
      <c r="BC233" s="5"/>
      <c r="BD233" s="5"/>
      <c r="BE233" s="63"/>
      <c r="BF233" s="63"/>
      <c r="BG233" s="63"/>
      <c r="BK233" s="283">
        <v>0.75763888888888897</v>
      </c>
      <c r="BL233" s="284">
        <v>227</v>
      </c>
      <c r="BM233" s="292">
        <v>15.7</v>
      </c>
      <c r="BN233" s="292">
        <v>15.8</v>
      </c>
      <c r="BO233" s="292">
        <v>17.399999999999999</v>
      </c>
      <c r="BP233" s="292">
        <v>17.5</v>
      </c>
      <c r="BQ233" s="292">
        <v>29.7</v>
      </c>
      <c r="BR233" s="292">
        <v>29.8</v>
      </c>
      <c r="BS233" s="292">
        <v>35.5</v>
      </c>
      <c r="BT233" s="292">
        <v>35.6</v>
      </c>
      <c r="BV233" s="256">
        <v>0.75763888888888897</v>
      </c>
      <c r="BW233" s="261">
        <v>227</v>
      </c>
      <c r="BX233" s="262">
        <v>15.7</v>
      </c>
      <c r="BY233" s="262">
        <v>15.8</v>
      </c>
      <c r="BZ233" s="262">
        <v>17.399999999999999</v>
      </c>
      <c r="CA233" s="262">
        <v>17.5</v>
      </c>
      <c r="CB233" s="262">
        <v>29.7</v>
      </c>
      <c r="CC233" s="262">
        <v>29.8</v>
      </c>
      <c r="CD233" s="262">
        <v>35.5</v>
      </c>
      <c r="CE233" s="262">
        <v>35.6</v>
      </c>
      <c r="CF233" s="261"/>
      <c r="CG233" s="53"/>
      <c r="CH233" s="53"/>
      <c r="CI233" s="53"/>
      <c r="CJ233" s="53"/>
      <c r="CK233" s="53"/>
      <c r="CL233" s="53"/>
      <c r="CN233" s="53"/>
      <c r="CO233" s="53"/>
      <c r="CP233" s="53"/>
      <c r="CQ233" s="53"/>
      <c r="CR233" s="53"/>
      <c r="CS233" s="53"/>
      <c r="CT233" s="261"/>
      <c r="CU233" s="261"/>
      <c r="CV233" s="255"/>
      <c r="CW233" s="255"/>
      <c r="CX233" s="255"/>
      <c r="CY233" s="255"/>
    </row>
    <row r="234" spans="1:103" ht="10.25" customHeight="1">
      <c r="A234" s="216"/>
      <c r="B234" s="217"/>
      <c r="C234" s="218"/>
      <c r="D234" s="219"/>
      <c r="E234" s="217"/>
      <c r="F234" s="217"/>
      <c r="G234" s="217"/>
      <c r="H234" s="220"/>
      <c r="I234" s="217"/>
      <c r="J234" s="217"/>
      <c r="K234" s="217"/>
      <c r="L234" s="217"/>
      <c r="M234" s="217"/>
      <c r="N234" s="217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BA234" s="5"/>
      <c r="BB234" s="5"/>
      <c r="BC234" s="5"/>
      <c r="BD234" s="5"/>
      <c r="BE234" s="63"/>
      <c r="BF234" s="63"/>
      <c r="BG234" s="63"/>
      <c r="BK234" s="283">
        <v>0.79166666666666696</v>
      </c>
      <c r="BL234" s="284">
        <v>228</v>
      </c>
      <c r="BM234" s="292">
        <v>15.8</v>
      </c>
      <c r="BN234" s="292">
        <v>15.9</v>
      </c>
      <c r="BO234" s="292">
        <v>17.5</v>
      </c>
      <c r="BP234" s="292">
        <v>17.600000000000001</v>
      </c>
      <c r="BQ234" s="292">
        <v>29.7</v>
      </c>
      <c r="BR234" s="292">
        <v>29.8</v>
      </c>
      <c r="BS234" s="292">
        <v>35.6</v>
      </c>
      <c r="BT234" s="292">
        <v>35.6</v>
      </c>
      <c r="BV234" s="256">
        <v>0.79166666666666696</v>
      </c>
      <c r="BW234" s="261">
        <v>228</v>
      </c>
      <c r="BX234" s="262">
        <v>15.8</v>
      </c>
      <c r="BY234" s="262">
        <v>15.9</v>
      </c>
      <c r="BZ234" s="262">
        <v>17.5</v>
      </c>
      <c r="CA234" s="262">
        <v>17.600000000000001</v>
      </c>
      <c r="CB234" s="262">
        <v>29.7</v>
      </c>
      <c r="CC234" s="262">
        <v>29.8</v>
      </c>
      <c r="CD234" s="262">
        <v>35.6</v>
      </c>
      <c r="CE234" s="262">
        <v>35.6</v>
      </c>
      <c r="CF234" s="261"/>
      <c r="CG234" s="53"/>
      <c r="CH234" s="53"/>
      <c r="CI234" s="53"/>
      <c r="CJ234" s="53"/>
      <c r="CK234" s="53"/>
      <c r="CL234" s="53"/>
      <c r="CN234" s="53"/>
      <c r="CO234" s="53"/>
      <c r="CP234" s="53"/>
      <c r="CQ234" s="53"/>
      <c r="CR234" s="53"/>
      <c r="CS234" s="53"/>
      <c r="CT234" s="261"/>
      <c r="CU234" s="261"/>
      <c r="CV234" s="261"/>
      <c r="CW234" s="255"/>
      <c r="CX234" s="261"/>
      <c r="CY234" s="255"/>
    </row>
    <row r="235" spans="1:103" ht="10.25" customHeight="1">
      <c r="A235" s="216"/>
      <c r="B235" s="217"/>
      <c r="C235" s="218"/>
      <c r="D235" s="219"/>
      <c r="E235" s="217"/>
      <c r="F235" s="217"/>
      <c r="G235" s="217"/>
      <c r="H235" s="220"/>
      <c r="I235" s="217"/>
      <c r="J235" s="217"/>
      <c r="K235" s="217"/>
      <c r="L235" s="217"/>
      <c r="M235" s="217"/>
      <c r="N235" s="217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BA235" s="5"/>
      <c r="BB235" s="5"/>
      <c r="BC235" s="5"/>
      <c r="BD235" s="5"/>
      <c r="BE235" s="63"/>
      <c r="BF235" s="63"/>
      <c r="BG235" s="63"/>
      <c r="BK235" s="283">
        <v>0.79236111111111096</v>
      </c>
      <c r="BL235" s="284">
        <v>229</v>
      </c>
      <c r="BM235" s="292"/>
      <c r="BN235" s="292"/>
      <c r="BO235" s="292">
        <v>18.399999999999999</v>
      </c>
      <c r="BP235" s="292">
        <v>18.5</v>
      </c>
      <c r="BQ235" s="292">
        <v>24.9</v>
      </c>
      <c r="BR235" s="292">
        <v>25</v>
      </c>
      <c r="BS235" s="292">
        <v>29.9</v>
      </c>
      <c r="BT235" s="292">
        <v>30</v>
      </c>
      <c r="BV235" s="256">
        <v>0.79236111111111096</v>
      </c>
      <c r="BW235" s="261">
        <v>229</v>
      </c>
      <c r="BX235" s="262"/>
      <c r="BY235" s="262"/>
      <c r="BZ235" s="262">
        <v>18.399999999999999</v>
      </c>
      <c r="CA235" s="262">
        <v>18.5</v>
      </c>
      <c r="CB235" s="262">
        <v>24.9</v>
      </c>
      <c r="CC235" s="262">
        <v>25</v>
      </c>
      <c r="CD235" s="262">
        <v>29.9</v>
      </c>
      <c r="CE235" s="262">
        <v>30</v>
      </c>
      <c r="CF235" s="261"/>
      <c r="CG235" s="53"/>
      <c r="CH235" s="53"/>
      <c r="CI235" s="53"/>
      <c r="CJ235" s="53"/>
      <c r="CK235" s="53"/>
      <c r="CL235" s="53"/>
      <c r="CN235" s="53"/>
      <c r="CO235" s="53"/>
      <c r="CP235" s="53"/>
      <c r="CQ235" s="53"/>
      <c r="CR235" s="53"/>
      <c r="CS235" s="53"/>
      <c r="CT235" s="261"/>
      <c r="CU235" s="261"/>
      <c r="CV235" s="255"/>
      <c r="CW235" s="255"/>
      <c r="CX235" s="261"/>
      <c r="CY235" s="255"/>
    </row>
    <row r="236" spans="1:103" ht="10.25" customHeight="1">
      <c r="A236" s="216"/>
      <c r="B236" s="217"/>
      <c r="C236" s="218"/>
      <c r="D236" s="219"/>
      <c r="E236" s="217"/>
      <c r="F236" s="217"/>
      <c r="G236" s="217"/>
      <c r="H236" s="220"/>
      <c r="I236" s="217"/>
      <c r="J236" s="217"/>
      <c r="K236" s="217"/>
      <c r="L236" s="217"/>
      <c r="M236" s="217"/>
      <c r="N236" s="217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BA236" s="5"/>
      <c r="BB236" s="5"/>
      <c r="BC236" s="5"/>
      <c r="BD236" s="5"/>
      <c r="BE236" s="63"/>
      <c r="BF236" s="63"/>
      <c r="BG236" s="63"/>
      <c r="CA236" s="256"/>
      <c r="CB236" s="261"/>
      <c r="CC236" s="261"/>
      <c r="CD236" s="261"/>
      <c r="CE236" s="261"/>
      <c r="CF236" s="261"/>
      <c r="CG236" s="53"/>
      <c r="CH236" s="53"/>
      <c r="CI236" s="53"/>
      <c r="CJ236" s="53"/>
      <c r="CK236" s="53"/>
      <c r="CL236" s="53"/>
      <c r="CN236" s="53"/>
      <c r="CO236" s="53"/>
      <c r="CP236" s="53"/>
      <c r="CQ236" s="53"/>
      <c r="CR236" s="53"/>
      <c r="CS236" s="53"/>
      <c r="CT236" s="261"/>
      <c r="CU236" s="261"/>
      <c r="CV236" s="261"/>
      <c r="CW236" s="261"/>
      <c r="CX236" s="261"/>
      <c r="CY236" s="255"/>
    </row>
    <row r="237" spans="1:103" ht="10.25" customHeight="1">
      <c r="A237" s="216"/>
      <c r="B237" s="217"/>
      <c r="C237" s="218"/>
      <c r="D237" s="219"/>
      <c r="E237" s="217"/>
      <c r="F237" s="217"/>
      <c r="G237" s="217"/>
      <c r="H237" s="220"/>
      <c r="I237" s="217"/>
      <c r="J237" s="217"/>
      <c r="K237" s="217"/>
      <c r="L237" s="217"/>
      <c r="M237" s="217"/>
      <c r="N237" s="217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BA237" s="5"/>
      <c r="BB237" s="5"/>
      <c r="BC237" s="5"/>
      <c r="BD237" s="5"/>
      <c r="BE237" s="63"/>
      <c r="BF237" s="63"/>
      <c r="BG237" s="63"/>
      <c r="CA237" s="256"/>
      <c r="CB237" s="261"/>
      <c r="CC237" s="261"/>
      <c r="CD237" s="261"/>
      <c r="CE237" s="261"/>
      <c r="CF237" s="261"/>
      <c r="CG237" s="53"/>
      <c r="CH237" s="53"/>
      <c r="CI237" s="53"/>
      <c r="CJ237" s="53"/>
      <c r="CK237" s="53"/>
      <c r="CL237" s="53"/>
      <c r="CN237" s="53"/>
      <c r="CO237" s="53"/>
      <c r="CP237" s="53"/>
      <c r="CQ237" s="53"/>
      <c r="CR237" s="53"/>
      <c r="CS237" s="53"/>
      <c r="CT237" s="261"/>
      <c r="CU237" s="261"/>
      <c r="CV237" s="255"/>
      <c r="CW237" s="255"/>
      <c r="CX237" s="261"/>
      <c r="CY237" s="255"/>
    </row>
    <row r="238" spans="1:103" ht="10.25" customHeight="1">
      <c r="A238" s="216"/>
      <c r="B238" s="217"/>
      <c r="C238" s="218"/>
      <c r="D238" s="219"/>
      <c r="E238" s="217"/>
      <c r="F238" s="217"/>
      <c r="G238" s="217"/>
      <c r="H238" s="220"/>
      <c r="I238" s="217"/>
      <c r="J238" s="217"/>
      <c r="K238" s="217"/>
      <c r="L238" s="217"/>
      <c r="M238" s="217"/>
      <c r="N238" s="217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BA238" s="5"/>
      <c r="BB238" s="5"/>
      <c r="BC238" s="5"/>
      <c r="BD238" s="5"/>
      <c r="BE238" s="63"/>
      <c r="BF238" s="63"/>
      <c r="BG238" s="63"/>
      <c r="CA238" s="256"/>
      <c r="CB238" s="261"/>
      <c r="CC238" s="261"/>
      <c r="CD238" s="261"/>
      <c r="CE238" s="261"/>
      <c r="CF238" s="255"/>
      <c r="CG238" s="53"/>
      <c r="CH238" s="53"/>
      <c r="CI238" s="53"/>
      <c r="CJ238" s="53"/>
      <c r="CK238" s="53"/>
      <c r="CL238" s="53"/>
      <c r="CN238" s="53"/>
      <c r="CO238" s="53"/>
      <c r="CP238" s="53"/>
      <c r="CQ238" s="53"/>
      <c r="CR238" s="53"/>
      <c r="CS238" s="53"/>
      <c r="CT238" s="261"/>
      <c r="CU238" s="255"/>
      <c r="CV238" s="261"/>
      <c r="CW238" s="261"/>
      <c r="CX238" s="261"/>
      <c r="CY238" s="255"/>
    </row>
    <row r="239" spans="1:103" ht="10.25" customHeight="1">
      <c r="A239" s="216"/>
      <c r="B239" s="217"/>
      <c r="C239" s="218"/>
      <c r="D239" s="219"/>
      <c r="E239" s="217"/>
      <c r="F239" s="217"/>
      <c r="G239" s="217"/>
      <c r="H239" s="220"/>
      <c r="I239" s="217"/>
      <c r="J239" s="217"/>
      <c r="K239" s="217"/>
      <c r="L239" s="217"/>
      <c r="M239" s="217"/>
      <c r="N239" s="217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BA239" s="5"/>
      <c r="BB239" s="5"/>
      <c r="BC239" s="5"/>
      <c r="BD239" s="5"/>
      <c r="BE239" s="63"/>
      <c r="BF239" s="63"/>
      <c r="BG239" s="63"/>
      <c r="CA239" s="256"/>
      <c r="CB239" s="261"/>
      <c r="CC239" s="261"/>
      <c r="CD239" s="261"/>
      <c r="CE239" s="261"/>
      <c r="CF239" s="255"/>
      <c r="CG239" s="53"/>
      <c r="CH239" s="53"/>
      <c r="CI239" s="53"/>
      <c r="CJ239" s="53"/>
      <c r="CK239" s="53"/>
      <c r="CL239" s="53"/>
      <c r="CN239" s="53"/>
      <c r="CO239" s="53"/>
      <c r="CP239" s="53"/>
      <c r="CQ239" s="53"/>
      <c r="CR239" s="53"/>
      <c r="CS239" s="53"/>
      <c r="CT239" s="261"/>
      <c r="CU239" s="255"/>
      <c r="CV239" s="255"/>
      <c r="CW239" s="255"/>
      <c r="CX239" s="261"/>
      <c r="CY239" s="255"/>
    </row>
    <row r="240" spans="1:103" ht="10.25" customHeight="1">
      <c r="A240" s="216"/>
      <c r="B240" s="217"/>
      <c r="C240" s="218"/>
      <c r="D240" s="219"/>
      <c r="E240" s="217"/>
      <c r="F240" s="217"/>
      <c r="G240" s="217"/>
      <c r="H240" s="220"/>
      <c r="I240" s="217"/>
      <c r="J240" s="217"/>
      <c r="K240" s="217"/>
      <c r="L240" s="217"/>
      <c r="M240" s="217"/>
      <c r="N240" s="217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BA240" s="5"/>
      <c r="BB240" s="5"/>
      <c r="BC240" s="5"/>
      <c r="BD240" s="5"/>
      <c r="BE240" s="63"/>
      <c r="BF240" s="63"/>
      <c r="BG240" s="63"/>
      <c r="CA240" s="256"/>
      <c r="CB240" s="261"/>
      <c r="CC240" s="261"/>
      <c r="CD240" s="261"/>
      <c r="CE240" s="255"/>
      <c r="CF240" s="261"/>
      <c r="CG240" s="53"/>
      <c r="CH240" s="53"/>
      <c r="CI240" s="53"/>
      <c r="CJ240" s="53"/>
      <c r="CK240" s="53"/>
      <c r="CL240" s="53"/>
      <c r="CN240" s="53"/>
      <c r="CO240" s="53"/>
      <c r="CP240" s="53"/>
      <c r="CQ240" s="53"/>
      <c r="CR240" s="53"/>
      <c r="CS240" s="53"/>
      <c r="CT240" s="255"/>
      <c r="CU240" s="261"/>
      <c r="CV240" s="261"/>
      <c r="CW240" s="261"/>
      <c r="CX240" s="261"/>
      <c r="CY240" s="255"/>
    </row>
    <row r="241" spans="1:103" ht="10.25" customHeight="1">
      <c r="A241" s="216"/>
      <c r="B241" s="217"/>
      <c r="C241" s="218"/>
      <c r="D241" s="219"/>
      <c r="E241" s="217"/>
      <c r="F241" s="217"/>
      <c r="G241" s="217"/>
      <c r="H241" s="220"/>
      <c r="I241" s="217"/>
      <c r="J241" s="217"/>
      <c r="K241" s="217"/>
      <c r="L241" s="217"/>
      <c r="M241" s="217"/>
      <c r="N241" s="217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BA241" s="5"/>
      <c r="BB241" s="5"/>
      <c r="BC241" s="5"/>
      <c r="BD241" s="5"/>
      <c r="BE241" s="63"/>
      <c r="BF241" s="63"/>
      <c r="BG241" s="63"/>
      <c r="CA241" s="256"/>
      <c r="CB241" s="261"/>
      <c r="CC241" s="261"/>
      <c r="CD241" s="261"/>
      <c r="CE241" s="255"/>
      <c r="CF241" s="261"/>
      <c r="CG241" s="53"/>
      <c r="CH241" s="53"/>
      <c r="CI241" s="53"/>
      <c r="CJ241" s="53"/>
      <c r="CK241" s="53"/>
      <c r="CL241" s="53"/>
      <c r="CN241" s="53"/>
      <c r="CO241" s="53"/>
      <c r="CP241" s="53"/>
      <c r="CQ241" s="53"/>
      <c r="CR241" s="53"/>
      <c r="CS241" s="53"/>
      <c r="CT241" s="255"/>
      <c r="CU241" s="261"/>
      <c r="CV241" s="255"/>
      <c r="CW241" s="255"/>
      <c r="CX241" s="261"/>
      <c r="CY241" s="255"/>
    </row>
    <row r="242" spans="1:103" ht="10.25" customHeight="1">
      <c r="A242" s="216"/>
      <c r="B242" s="217"/>
      <c r="C242" s="218"/>
      <c r="D242" s="219"/>
      <c r="E242" s="217"/>
      <c r="F242" s="217"/>
      <c r="G242" s="217"/>
      <c r="H242" s="220"/>
      <c r="I242" s="217"/>
      <c r="J242" s="217"/>
      <c r="K242" s="217"/>
      <c r="L242" s="217"/>
      <c r="M242" s="217"/>
      <c r="N242" s="217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BA242" s="5"/>
      <c r="BB242" s="5"/>
      <c r="BC242" s="5"/>
      <c r="BD242" s="5"/>
      <c r="BE242" s="63"/>
      <c r="BF242" s="63"/>
      <c r="BG242" s="63"/>
      <c r="CA242" s="256"/>
      <c r="CB242" s="261"/>
      <c r="CC242" s="261"/>
      <c r="CD242" s="261"/>
      <c r="CE242" s="261"/>
      <c r="CF242" s="261"/>
      <c r="CG242" s="53"/>
      <c r="CH242" s="53"/>
      <c r="CI242" s="53"/>
      <c r="CJ242" s="53"/>
      <c r="CK242" s="53"/>
      <c r="CL242" s="53"/>
      <c r="CN242" s="53"/>
      <c r="CO242" s="53"/>
      <c r="CP242" s="53"/>
      <c r="CQ242" s="53"/>
      <c r="CR242" s="53"/>
      <c r="CS242" s="53"/>
      <c r="CT242" s="261"/>
      <c r="CU242" s="261"/>
      <c r="CV242" s="261"/>
      <c r="CW242" s="261"/>
      <c r="CX242" s="255"/>
      <c r="CY242" s="255"/>
    </row>
    <row r="243" spans="1:103" ht="10.25" customHeight="1">
      <c r="A243" s="216"/>
      <c r="B243" s="217"/>
      <c r="C243" s="218"/>
      <c r="D243" s="219"/>
      <c r="E243" s="217"/>
      <c r="F243" s="217"/>
      <c r="G243" s="217"/>
      <c r="H243" s="220"/>
      <c r="I243" s="217"/>
      <c r="J243" s="217"/>
      <c r="K243" s="217"/>
      <c r="L243" s="217"/>
      <c r="M243" s="217"/>
      <c r="N243" s="217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BA243" s="5"/>
      <c r="BB243" s="5"/>
      <c r="BC243" s="5"/>
      <c r="BD243" s="5"/>
      <c r="BE243" s="63"/>
      <c r="BF243" s="63"/>
      <c r="BG243" s="63"/>
      <c r="CA243" s="256"/>
      <c r="CB243" s="261"/>
      <c r="CC243" s="261"/>
      <c r="CD243" s="261"/>
      <c r="CE243" s="261"/>
      <c r="CF243" s="261"/>
      <c r="CG243" s="53"/>
      <c r="CH243" s="53"/>
      <c r="CI243" s="53"/>
      <c r="CJ243" s="53"/>
      <c r="CK243" s="53"/>
      <c r="CL243" s="53"/>
      <c r="CN243" s="53"/>
      <c r="CO243" s="53"/>
      <c r="CP243" s="53"/>
      <c r="CQ243" s="53"/>
      <c r="CR243" s="53"/>
      <c r="CS243" s="53"/>
      <c r="CT243" s="261"/>
      <c r="CU243" s="261"/>
      <c r="CV243" s="255"/>
      <c r="CW243" s="255"/>
      <c r="CX243" s="261"/>
      <c r="CY243" s="255"/>
    </row>
    <row r="244" spans="1:103" ht="10.25" customHeight="1">
      <c r="A244" s="216"/>
      <c r="B244" s="217"/>
      <c r="C244" s="218"/>
      <c r="D244" s="219"/>
      <c r="E244" s="217"/>
      <c r="F244" s="217"/>
      <c r="G244" s="217"/>
      <c r="H244" s="220"/>
      <c r="I244" s="217"/>
      <c r="J244" s="217"/>
      <c r="K244" s="217"/>
      <c r="L244" s="217"/>
      <c r="M244" s="217"/>
      <c r="N244" s="217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BA244" s="5"/>
      <c r="BB244" s="5"/>
      <c r="BC244" s="5"/>
      <c r="BD244" s="5"/>
      <c r="BE244" s="63"/>
      <c r="BF244" s="63"/>
      <c r="BG244" s="63"/>
      <c r="CA244" s="256"/>
      <c r="CB244" s="261"/>
      <c r="CC244" s="261"/>
      <c r="CD244" s="261"/>
      <c r="CE244" s="261"/>
      <c r="CF244" s="261"/>
      <c r="CG244" s="53"/>
      <c r="CH244" s="53"/>
      <c r="CI244" s="53"/>
      <c r="CJ244" s="53"/>
      <c r="CK244" s="53"/>
      <c r="CL244" s="53"/>
      <c r="CN244" s="53"/>
      <c r="CO244" s="53"/>
      <c r="CP244" s="53"/>
      <c r="CQ244" s="53"/>
      <c r="CR244" s="53"/>
      <c r="CS244" s="53"/>
      <c r="CT244" s="261"/>
      <c r="CU244" s="261"/>
      <c r="CV244" s="261"/>
      <c r="CW244" s="255"/>
      <c r="CX244" s="261"/>
      <c r="CY244" s="255"/>
    </row>
    <row r="245" spans="1:103" ht="10.25" customHeight="1">
      <c r="A245" s="216"/>
      <c r="B245" s="217"/>
      <c r="C245" s="218"/>
      <c r="D245" s="219"/>
      <c r="E245" s="217"/>
      <c r="F245" s="217"/>
      <c r="G245" s="217"/>
      <c r="H245" s="220"/>
      <c r="I245" s="217"/>
      <c r="J245" s="217"/>
      <c r="K245" s="217"/>
      <c r="L245" s="217"/>
      <c r="M245" s="217"/>
      <c r="N245" s="217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BA245" s="5"/>
      <c r="BB245" s="5"/>
      <c r="BC245" s="5"/>
      <c r="BD245" s="5"/>
      <c r="BE245" s="63"/>
      <c r="BF245" s="63"/>
      <c r="BG245" s="63"/>
      <c r="CA245" s="256"/>
      <c r="CB245" s="261"/>
      <c r="CC245" s="261"/>
      <c r="CD245" s="261"/>
      <c r="CE245" s="261"/>
      <c r="CF245" s="261"/>
      <c r="CG245" s="53"/>
      <c r="CH245" s="53"/>
      <c r="CI245" s="53"/>
      <c r="CJ245" s="53"/>
      <c r="CK245" s="53"/>
      <c r="CL245" s="53"/>
      <c r="CN245" s="53"/>
      <c r="CO245" s="53"/>
      <c r="CP245" s="53"/>
      <c r="CQ245" s="53"/>
      <c r="CR245" s="53"/>
      <c r="CS245" s="53"/>
      <c r="CT245" s="261"/>
      <c r="CU245" s="261"/>
      <c r="CV245" s="255"/>
      <c r="CW245" s="255"/>
      <c r="CX245" s="261"/>
      <c r="CY245" s="255"/>
    </row>
    <row r="246" spans="1:103" ht="10.25" customHeight="1">
      <c r="A246" s="216"/>
      <c r="B246" s="217"/>
      <c r="C246" s="218"/>
      <c r="D246" s="219"/>
      <c r="E246" s="217"/>
      <c r="F246" s="217"/>
      <c r="G246" s="217"/>
      <c r="H246" s="220"/>
      <c r="I246" s="217"/>
      <c r="J246" s="217"/>
      <c r="K246" s="217"/>
      <c r="L246" s="217"/>
      <c r="M246" s="217"/>
      <c r="N246" s="217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BA246" s="5"/>
      <c r="BB246" s="5"/>
      <c r="BC246" s="5"/>
      <c r="BD246" s="5"/>
      <c r="BE246" s="63"/>
      <c r="BF246" s="63"/>
      <c r="BG246" s="63"/>
      <c r="CA246" s="256"/>
      <c r="CB246" s="261"/>
      <c r="CC246" s="261"/>
      <c r="CD246" s="261"/>
      <c r="CE246" s="261"/>
      <c r="CF246" s="261"/>
      <c r="CG246" s="53"/>
      <c r="CH246" s="53"/>
      <c r="CI246" s="53"/>
      <c r="CJ246" s="53"/>
      <c r="CK246" s="53"/>
      <c r="CL246" s="53"/>
      <c r="CN246" s="53"/>
      <c r="CO246" s="53"/>
      <c r="CP246" s="53"/>
      <c r="CQ246" s="53"/>
      <c r="CR246" s="53"/>
      <c r="CS246" s="53"/>
      <c r="CT246" s="261"/>
      <c r="CU246" s="261"/>
      <c r="CV246" s="261"/>
      <c r="CW246" s="261"/>
      <c r="CX246" s="261"/>
      <c r="CY246" s="255"/>
    </row>
    <row r="247" spans="1:103" ht="10.25" customHeight="1">
      <c r="A247" s="216"/>
      <c r="B247" s="217"/>
      <c r="C247" s="218"/>
      <c r="D247" s="219"/>
      <c r="E247" s="217"/>
      <c r="F247" s="217"/>
      <c r="G247" s="217"/>
      <c r="H247" s="220"/>
      <c r="I247" s="217"/>
      <c r="J247" s="217"/>
      <c r="K247" s="217"/>
      <c r="L247" s="217"/>
      <c r="M247" s="217"/>
      <c r="N247" s="217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BA247" s="5"/>
      <c r="BB247" s="5"/>
      <c r="BC247" s="5"/>
      <c r="BD247" s="5"/>
      <c r="BE247" s="63"/>
      <c r="BF247" s="63"/>
      <c r="BG247" s="63"/>
      <c r="CA247" s="256"/>
      <c r="CB247" s="261"/>
      <c r="CC247" s="261"/>
      <c r="CD247" s="255"/>
      <c r="CE247" s="261"/>
      <c r="CF247" s="261"/>
      <c r="CG247" s="53"/>
      <c r="CH247" s="53"/>
      <c r="CI247" s="53"/>
      <c r="CJ247" s="53"/>
      <c r="CK247" s="53"/>
      <c r="CL247" s="53"/>
      <c r="CN247" s="53"/>
      <c r="CO247" s="53"/>
      <c r="CP247" s="53"/>
      <c r="CQ247" s="53"/>
      <c r="CR247" s="53"/>
      <c r="CS247" s="53"/>
      <c r="CT247" s="261"/>
      <c r="CU247" s="261"/>
      <c r="CV247" s="261"/>
      <c r="CW247" s="261"/>
      <c r="CX247" s="261"/>
      <c r="CY247" s="255"/>
    </row>
    <row r="248" spans="1:103" ht="10.25" customHeight="1">
      <c r="A248" s="216"/>
      <c r="B248" s="217"/>
      <c r="C248" s="218"/>
      <c r="D248" s="219"/>
      <c r="E248" s="217"/>
      <c r="F248" s="217"/>
      <c r="G248" s="217"/>
      <c r="H248" s="220"/>
      <c r="I248" s="217"/>
      <c r="J248" s="217"/>
      <c r="K248" s="217"/>
      <c r="L248" s="217"/>
      <c r="M248" s="217"/>
      <c r="N248" s="217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  <c r="AQ248" s="44"/>
      <c r="BA248" s="5"/>
      <c r="BB248" s="5"/>
      <c r="BC248" s="5"/>
      <c r="BD248" s="5"/>
      <c r="BE248" s="63"/>
      <c r="BF248" s="63"/>
      <c r="BG248" s="63"/>
      <c r="CA248" s="256"/>
      <c r="CB248" s="261"/>
      <c r="CC248" s="261"/>
      <c r="CD248" s="255"/>
      <c r="CE248" s="261"/>
      <c r="CF248" s="261"/>
      <c r="CG248" s="53"/>
      <c r="CH248" s="53"/>
      <c r="CI248" s="53"/>
      <c r="CJ248" s="53"/>
      <c r="CK248" s="53"/>
      <c r="CL248" s="53"/>
      <c r="CN248" s="53"/>
      <c r="CO248" s="53"/>
      <c r="CP248" s="53"/>
      <c r="CQ248" s="53"/>
      <c r="CR248" s="53"/>
      <c r="CS248" s="53"/>
      <c r="CT248" s="261"/>
      <c r="CU248" s="261"/>
      <c r="CV248" s="261"/>
      <c r="CW248" s="261"/>
      <c r="CX248" s="261"/>
      <c r="CY248" s="255"/>
    </row>
    <row r="249" spans="1:103" ht="10.25" customHeight="1">
      <c r="A249" s="216"/>
      <c r="B249" s="217"/>
      <c r="C249" s="218"/>
      <c r="D249" s="219"/>
      <c r="E249" s="217"/>
      <c r="F249" s="217"/>
      <c r="G249" s="217"/>
      <c r="H249" s="220"/>
      <c r="I249" s="217"/>
      <c r="J249" s="217"/>
      <c r="K249" s="217"/>
      <c r="L249" s="217"/>
      <c r="M249" s="217"/>
      <c r="N249" s="217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BA249" s="5"/>
      <c r="BB249" s="5"/>
      <c r="BC249" s="5"/>
      <c r="BD249" s="5"/>
      <c r="BE249" s="63"/>
      <c r="BF249" s="63"/>
      <c r="BG249" s="63"/>
      <c r="CA249" s="256"/>
      <c r="CB249" s="261"/>
      <c r="CC249" s="261"/>
      <c r="CD249" s="255"/>
      <c r="CE249" s="261"/>
      <c r="CF249" s="261"/>
      <c r="CG249" s="53"/>
      <c r="CH249" s="53"/>
      <c r="CI249" s="53"/>
      <c r="CJ249" s="53"/>
      <c r="CK249" s="53"/>
      <c r="CL249" s="53"/>
      <c r="CN249" s="53"/>
      <c r="CO249" s="53"/>
      <c r="CP249" s="53"/>
      <c r="CQ249" s="53"/>
      <c r="CR249" s="53"/>
      <c r="CS249" s="53"/>
      <c r="CT249" s="261"/>
      <c r="CU249" s="261"/>
      <c r="CV249" s="261"/>
      <c r="CW249" s="261"/>
      <c r="CX249" s="261"/>
      <c r="CY249" s="255"/>
    </row>
    <row r="250" spans="1:103" ht="10.25" customHeight="1">
      <c r="A250" s="216"/>
      <c r="B250" s="217"/>
      <c r="C250" s="218"/>
      <c r="D250" s="219"/>
      <c r="E250" s="217"/>
      <c r="F250" s="217"/>
      <c r="G250" s="217"/>
      <c r="H250" s="220"/>
      <c r="I250" s="217"/>
      <c r="J250" s="217"/>
      <c r="K250" s="217"/>
      <c r="L250" s="217"/>
      <c r="M250" s="217"/>
      <c r="N250" s="217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BA250" s="5"/>
      <c r="BB250" s="5"/>
      <c r="BC250" s="5"/>
      <c r="BD250" s="5"/>
      <c r="BE250" s="63"/>
      <c r="BF250" s="63"/>
      <c r="BG250" s="63"/>
      <c r="CA250" s="256"/>
      <c r="CB250" s="261"/>
      <c r="CC250" s="255"/>
      <c r="CD250" s="261"/>
      <c r="CE250" s="261"/>
      <c r="CF250" s="261"/>
      <c r="CG250" s="53"/>
      <c r="CH250" s="53"/>
      <c r="CI250" s="53"/>
      <c r="CJ250" s="53"/>
      <c r="CK250" s="53"/>
      <c r="CL250" s="53"/>
      <c r="CN250" s="53"/>
      <c r="CO250" s="53"/>
      <c r="CP250" s="53"/>
      <c r="CQ250" s="53"/>
      <c r="CR250" s="53"/>
      <c r="CS250" s="53"/>
      <c r="CT250" s="261"/>
      <c r="CU250" s="261"/>
      <c r="CV250" s="261"/>
      <c r="CW250" s="261"/>
      <c r="CX250" s="261"/>
      <c r="CY250" s="255"/>
    </row>
    <row r="251" spans="1:103" ht="10.25" customHeight="1">
      <c r="A251" s="216"/>
      <c r="B251" s="217"/>
      <c r="C251" s="218"/>
      <c r="D251" s="219"/>
      <c r="E251" s="217"/>
      <c r="F251" s="217"/>
      <c r="G251" s="217"/>
      <c r="H251" s="220"/>
      <c r="I251" s="217"/>
      <c r="J251" s="217"/>
      <c r="K251" s="217"/>
      <c r="L251" s="217"/>
      <c r="M251" s="217"/>
      <c r="N251" s="217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BA251" s="5"/>
      <c r="BB251" s="5"/>
      <c r="BC251" s="5"/>
      <c r="BD251" s="5"/>
      <c r="BE251" s="63"/>
      <c r="BF251" s="63"/>
      <c r="BG251" s="63"/>
      <c r="CA251" s="256"/>
      <c r="CB251" s="261"/>
      <c r="CC251" s="255"/>
      <c r="CD251" s="261"/>
      <c r="CE251" s="261"/>
      <c r="CF251" s="261"/>
      <c r="CG251" s="53"/>
      <c r="CH251" s="53"/>
      <c r="CI251" s="53"/>
      <c r="CJ251" s="53"/>
      <c r="CK251" s="53"/>
      <c r="CL251" s="53"/>
      <c r="CN251" s="53"/>
      <c r="CO251" s="53"/>
      <c r="CP251" s="53"/>
      <c r="CQ251" s="53"/>
      <c r="CR251" s="53"/>
      <c r="CS251" s="53"/>
      <c r="CT251" s="261"/>
      <c r="CU251" s="261"/>
      <c r="CV251" s="261"/>
      <c r="CW251" s="261"/>
      <c r="CX251" s="261"/>
      <c r="CY251" s="255"/>
    </row>
    <row r="252" spans="1:103" ht="10.25" customHeight="1">
      <c r="A252" s="371"/>
      <c r="B252" s="371"/>
      <c r="C252" s="371"/>
      <c r="D252" s="269"/>
      <c r="L252" s="269"/>
      <c r="M252" s="269"/>
      <c r="N252" s="269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CA252" s="256"/>
      <c r="CB252" s="261"/>
      <c r="CC252" s="255"/>
      <c r="CD252" s="261"/>
      <c r="CE252" s="261"/>
      <c r="CF252" s="261"/>
      <c r="CG252" s="261"/>
      <c r="CH252" s="261"/>
      <c r="CI252" s="261"/>
      <c r="CJ252" s="261"/>
      <c r="CK252" s="261"/>
      <c r="CL252" s="255"/>
      <c r="CN252" s="256"/>
      <c r="CO252" s="256"/>
      <c r="CP252" s="261"/>
      <c r="CQ252" s="261"/>
      <c r="CR252" s="255"/>
      <c r="CS252" s="261"/>
      <c r="CT252" s="261"/>
      <c r="CU252" s="261"/>
      <c r="CV252" s="261"/>
      <c r="CW252" s="261"/>
      <c r="CX252" s="261"/>
      <c r="CY252" s="255"/>
    </row>
    <row r="253" spans="1:103" ht="12.65" customHeight="1">
      <c r="A253" s="270"/>
      <c r="C253" s="271"/>
      <c r="D253" s="372"/>
      <c r="E253" s="372"/>
      <c r="F253" s="272"/>
      <c r="G253" s="272"/>
      <c r="H253" s="273"/>
      <c r="L253" s="269"/>
      <c r="M253" s="269"/>
      <c r="N253" s="269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CA253" s="256"/>
      <c r="CB253" s="261"/>
      <c r="CC253" s="255"/>
      <c r="CD253" s="261"/>
      <c r="CE253" s="261"/>
      <c r="CF253" s="261"/>
      <c r="CG253" s="261"/>
      <c r="CH253" s="261"/>
      <c r="CI253" s="261"/>
      <c r="CJ253" s="261"/>
      <c r="CK253" s="255"/>
      <c r="CL253" s="255"/>
      <c r="CN253" s="256"/>
      <c r="CO253" s="256"/>
      <c r="CP253" s="261"/>
      <c r="CQ253" s="261"/>
      <c r="CR253" s="255"/>
      <c r="CS253" s="261"/>
      <c r="CT253" s="261"/>
      <c r="CU253" s="261"/>
      <c r="CV253" s="261"/>
      <c r="CW253" s="261"/>
      <c r="CX253" s="255"/>
      <c r="CY253" s="255"/>
    </row>
    <row r="254" spans="1:103" ht="10.25" customHeight="1">
      <c r="A254" s="270"/>
      <c r="D254" s="372"/>
      <c r="E254" s="372"/>
      <c r="F254" s="272"/>
      <c r="G254" s="272"/>
      <c r="H254" s="273"/>
      <c r="L254" s="269"/>
      <c r="M254" s="269"/>
      <c r="N254" s="269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CA254" s="256"/>
      <c r="CB254" s="261"/>
      <c r="CC254" s="255"/>
      <c r="CD254" s="261"/>
      <c r="CE254" s="261"/>
      <c r="CF254" s="261"/>
      <c r="CG254" s="261"/>
      <c r="CH254" s="261"/>
      <c r="CI254" s="261"/>
      <c r="CJ254" s="261"/>
      <c r="CK254" s="261"/>
      <c r="CL254" s="255"/>
      <c r="CN254" s="256"/>
      <c r="CO254" s="256"/>
      <c r="CP254" s="261"/>
      <c r="CQ254" s="261"/>
      <c r="CR254" s="255"/>
      <c r="CS254" s="261"/>
      <c r="CT254" s="261"/>
      <c r="CU254" s="261"/>
      <c r="CV254" s="261"/>
      <c r="CW254" s="261"/>
      <c r="CX254" s="261"/>
      <c r="CY254" s="255"/>
    </row>
    <row r="255" spans="1:103" ht="10.25" customHeight="1">
      <c r="C255" s="270"/>
      <c r="D255" s="274"/>
      <c r="E255" s="214"/>
      <c r="F255" s="272"/>
      <c r="G255" s="272"/>
      <c r="H255" s="272"/>
      <c r="I255" s="273"/>
      <c r="J255" s="273"/>
      <c r="K255" s="273"/>
      <c r="L255" s="275"/>
      <c r="M255" s="269"/>
      <c r="N255" s="269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CA255" s="256"/>
      <c r="CB255" s="261"/>
      <c r="CC255" s="255"/>
      <c r="CD255" s="261"/>
      <c r="CE255" s="261"/>
      <c r="CF255" s="261"/>
      <c r="CG255" s="261"/>
      <c r="CH255" s="261"/>
      <c r="CI255" s="261"/>
      <c r="CJ255" s="261"/>
      <c r="CK255" s="261"/>
      <c r="CL255" s="255"/>
      <c r="CN255" s="256"/>
      <c r="CO255" s="256"/>
      <c r="CP255" s="261"/>
      <c r="CQ255" s="261"/>
      <c r="CR255" s="255"/>
      <c r="CS255" s="261"/>
      <c r="CT255" s="261"/>
      <c r="CU255" s="261"/>
      <c r="CV255" s="261"/>
      <c r="CW255" s="261"/>
      <c r="CX255" s="261"/>
      <c r="CY255" s="255"/>
    </row>
    <row r="256" spans="1:103" ht="10.25" customHeight="1">
      <c r="A256" s="270"/>
      <c r="D256" s="372"/>
      <c r="E256" s="372"/>
      <c r="F256" s="272"/>
      <c r="G256" s="272"/>
      <c r="H256" s="272"/>
      <c r="I256" s="273"/>
      <c r="J256" s="273"/>
      <c r="K256" s="273"/>
      <c r="L256" s="275"/>
      <c r="M256" s="269"/>
      <c r="N256" s="269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  <c r="AN256" s="63"/>
      <c r="AO256" s="63"/>
      <c r="AP256" s="63"/>
      <c r="AQ256" s="63"/>
      <c r="CA256" s="256"/>
      <c r="CB256" s="261"/>
      <c r="CC256" s="255"/>
      <c r="CD256" s="261"/>
      <c r="CE256" s="261"/>
      <c r="CF256" s="261"/>
      <c r="CG256" s="261"/>
      <c r="CH256" s="261"/>
      <c r="CI256" s="255"/>
      <c r="CJ256" s="255"/>
      <c r="CK256" s="261"/>
      <c r="CL256" s="255"/>
      <c r="CN256" s="256"/>
      <c r="CO256" s="256"/>
      <c r="CP256" s="261"/>
      <c r="CQ256" s="261"/>
      <c r="CR256" s="255"/>
      <c r="CS256" s="261"/>
      <c r="CT256" s="261"/>
      <c r="CU256" s="261"/>
      <c r="CV256" s="261"/>
      <c r="CW256" s="255"/>
      <c r="CX256" s="261"/>
      <c r="CY256" s="255"/>
    </row>
    <row r="257" spans="1:103" ht="10.25" customHeight="1">
      <c r="A257" s="270"/>
      <c r="D257" s="372"/>
      <c r="E257" s="372"/>
      <c r="F257" s="272"/>
      <c r="G257" s="272"/>
      <c r="H257" s="272"/>
      <c r="I257" s="273"/>
      <c r="J257" s="273"/>
      <c r="K257" s="273"/>
      <c r="L257" s="275"/>
      <c r="M257" s="269"/>
      <c r="N257" s="269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  <c r="AP257" s="63"/>
      <c r="AQ257" s="63"/>
      <c r="CA257" s="256"/>
      <c r="CB257" s="261"/>
      <c r="CC257" s="255"/>
      <c r="CD257" s="261"/>
      <c r="CE257" s="261"/>
      <c r="CF257" s="261"/>
      <c r="CG257" s="255"/>
      <c r="CH257" s="255"/>
      <c r="CI257" s="261"/>
      <c r="CJ257" s="261"/>
      <c r="CK257" s="261"/>
      <c r="CL257" s="255"/>
      <c r="CN257" s="256"/>
      <c r="CO257" s="256"/>
      <c r="CP257" s="261"/>
      <c r="CQ257" s="261"/>
      <c r="CR257" s="255"/>
      <c r="CS257" s="261"/>
      <c r="CT257" s="261"/>
      <c r="CU257" s="261"/>
      <c r="CV257" s="255"/>
      <c r="CW257" s="261"/>
      <c r="CX257" s="261"/>
      <c r="CY257" s="255"/>
    </row>
    <row r="258" spans="1:103" ht="10.25" customHeight="1">
      <c r="A258" s="270"/>
      <c r="D258" s="372"/>
      <c r="E258" s="372"/>
      <c r="F258" s="272"/>
      <c r="G258" s="272"/>
      <c r="H258" s="272"/>
      <c r="I258" s="273"/>
      <c r="J258" s="273"/>
      <c r="K258" s="273"/>
      <c r="L258" s="275"/>
      <c r="M258" s="269"/>
      <c r="N258" s="269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  <c r="AO258" s="63"/>
      <c r="AP258" s="63"/>
      <c r="AQ258" s="63"/>
      <c r="CA258" s="256"/>
      <c r="CB258" s="261"/>
      <c r="CC258" s="255"/>
      <c r="CD258" s="261"/>
      <c r="CE258" s="261"/>
      <c r="CF258" s="261"/>
      <c r="CG258" s="255"/>
      <c r="CH258" s="255"/>
      <c r="CI258" s="261"/>
      <c r="CJ258" s="261"/>
      <c r="CK258" s="261"/>
      <c r="CL258" s="255"/>
      <c r="CN258" s="256"/>
      <c r="CO258" s="256"/>
      <c r="CP258" s="261"/>
      <c r="CQ258" s="261"/>
      <c r="CR258" s="255"/>
      <c r="CS258" s="261"/>
      <c r="CT258" s="261"/>
      <c r="CU258" s="261"/>
      <c r="CV258" s="255"/>
      <c r="CW258" s="261"/>
      <c r="CX258" s="261"/>
      <c r="CY258" s="255"/>
    </row>
    <row r="259" spans="1:103" ht="10.25" customHeight="1">
      <c r="A259" s="270"/>
      <c r="D259" s="372"/>
      <c r="E259" s="372"/>
      <c r="F259" s="272"/>
      <c r="G259" s="272"/>
      <c r="H259" s="272"/>
      <c r="I259" s="375"/>
      <c r="J259" s="375"/>
      <c r="K259" s="375"/>
      <c r="L259" s="375"/>
      <c r="M259" s="269"/>
      <c r="N259" s="269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  <c r="AP259" s="63"/>
      <c r="AQ259" s="63"/>
      <c r="CA259" s="256"/>
      <c r="CB259" s="261"/>
      <c r="CC259" s="255"/>
      <c r="CD259" s="261"/>
      <c r="CE259" s="261"/>
      <c r="CF259" s="261"/>
      <c r="CG259" s="261"/>
      <c r="CH259" s="261"/>
      <c r="CI259" s="261"/>
      <c r="CJ259" s="261"/>
      <c r="CK259" s="261"/>
      <c r="CL259" s="255"/>
      <c r="CN259" s="256"/>
      <c r="CO259" s="256"/>
      <c r="CP259" s="261"/>
      <c r="CQ259" s="261"/>
      <c r="CR259" s="255"/>
      <c r="CS259" s="261"/>
      <c r="CT259" s="261"/>
      <c r="CU259" s="261"/>
      <c r="CV259" s="261"/>
      <c r="CW259" s="261"/>
      <c r="CX259" s="261"/>
      <c r="CY259" s="255"/>
    </row>
    <row r="260" spans="1:103" ht="10.25" customHeight="1">
      <c r="A260" s="270"/>
      <c r="D260" s="372"/>
      <c r="E260" s="372"/>
      <c r="H260" s="209"/>
      <c r="I260" s="213"/>
      <c r="J260" s="213"/>
      <c r="K260" s="213"/>
      <c r="L260" s="213"/>
      <c r="M260" s="213"/>
      <c r="N260" s="213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CA260" s="256"/>
      <c r="CB260" s="261"/>
      <c r="CC260" s="255"/>
      <c r="CD260" s="261"/>
      <c r="CE260" s="261"/>
      <c r="CF260" s="261"/>
      <c r="CG260" s="261"/>
      <c r="CH260" s="261"/>
      <c r="CI260" s="261"/>
      <c r="CJ260" s="261"/>
      <c r="CK260" s="261"/>
      <c r="CL260" s="255"/>
      <c r="CN260" s="256"/>
      <c r="CO260" s="256"/>
      <c r="CP260" s="261"/>
      <c r="CQ260" s="261"/>
      <c r="CR260" s="255"/>
      <c r="CS260" s="261"/>
      <c r="CT260" s="261"/>
      <c r="CU260" s="261"/>
      <c r="CV260" s="261"/>
      <c r="CW260" s="261"/>
      <c r="CX260" s="261"/>
      <c r="CY260" s="255"/>
    </row>
    <row r="261" spans="1:103" ht="10.25" customHeight="1">
      <c r="A261" s="270"/>
      <c r="C261" s="269"/>
      <c r="D261" s="275"/>
      <c r="E261" s="275"/>
      <c r="F261" s="209"/>
      <c r="G261" s="209"/>
      <c r="H261" s="209"/>
      <c r="I261" s="209"/>
      <c r="J261" s="209"/>
      <c r="K261" s="209"/>
      <c r="L261" s="376"/>
      <c r="M261" s="376"/>
      <c r="N261" s="279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1"/>
      <c r="AN261" s="51"/>
      <c r="AO261" s="51"/>
      <c r="AP261" s="51"/>
      <c r="AQ261" s="51"/>
      <c r="CA261" s="256"/>
      <c r="CB261" s="261"/>
      <c r="CC261" s="255"/>
      <c r="CD261" s="261"/>
      <c r="CE261" s="261"/>
      <c r="CF261" s="261"/>
      <c r="CG261" s="261"/>
      <c r="CH261" s="261"/>
      <c r="CI261" s="261"/>
      <c r="CJ261" s="261"/>
      <c r="CK261" s="261"/>
      <c r="CL261" s="255"/>
      <c r="CN261" s="256"/>
      <c r="CO261" s="256"/>
      <c r="CP261" s="261"/>
      <c r="CQ261" s="261"/>
      <c r="CR261" s="255"/>
      <c r="CS261" s="261"/>
      <c r="CT261" s="261"/>
      <c r="CU261" s="261"/>
      <c r="CV261" s="261"/>
      <c r="CW261" s="261"/>
      <c r="CX261" s="261"/>
      <c r="CY261" s="255"/>
    </row>
    <row r="262" spans="1:103" ht="10.25" customHeight="1">
      <c r="A262" s="270"/>
      <c r="C262" s="269"/>
      <c r="D262" s="269"/>
      <c r="F262" s="209"/>
      <c r="G262" s="209"/>
      <c r="H262" s="276"/>
      <c r="I262" s="276"/>
      <c r="J262" s="276"/>
      <c r="K262" s="276"/>
      <c r="L262" s="374"/>
      <c r="M262" s="374"/>
      <c r="N262" s="213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CA262" s="256"/>
      <c r="CB262" s="261"/>
      <c r="CC262" s="255"/>
      <c r="CD262" s="261"/>
      <c r="CE262" s="261"/>
      <c r="CF262" s="261"/>
      <c r="CG262" s="261"/>
      <c r="CH262" s="261"/>
      <c r="CI262" s="261"/>
      <c r="CJ262" s="261"/>
      <c r="CK262" s="261"/>
      <c r="CL262" s="255"/>
      <c r="CN262" s="256"/>
      <c r="CO262" s="256"/>
      <c r="CP262" s="261"/>
      <c r="CQ262" s="261"/>
      <c r="CR262" s="255"/>
      <c r="CS262" s="261"/>
      <c r="CT262" s="261"/>
      <c r="CU262" s="261"/>
      <c r="CV262" s="261"/>
      <c r="CW262" s="261"/>
      <c r="CX262" s="261"/>
      <c r="CY262" s="255"/>
    </row>
    <row r="263" spans="1:103" ht="10.25" customHeight="1">
      <c r="A263" s="270"/>
      <c r="D263" s="269"/>
      <c r="F263" s="208"/>
      <c r="G263" s="208"/>
      <c r="H263" s="277"/>
      <c r="I263" s="277"/>
      <c r="J263" s="277"/>
      <c r="K263" s="277"/>
      <c r="L263" s="372"/>
      <c r="M263" s="372"/>
      <c r="N263" s="214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CA263" s="256"/>
      <c r="CB263" s="261"/>
      <c r="CC263" s="255"/>
      <c r="CD263" s="261"/>
      <c r="CE263" s="261"/>
      <c r="CF263" s="261"/>
      <c r="CG263" s="261"/>
      <c r="CH263" s="261"/>
      <c r="CI263" s="261"/>
      <c r="CJ263" s="261"/>
      <c r="CK263" s="261"/>
      <c r="CL263" s="255"/>
      <c r="CN263" s="256"/>
      <c r="CO263" s="256"/>
      <c r="CP263" s="261"/>
      <c r="CQ263" s="261"/>
      <c r="CR263" s="255"/>
      <c r="CS263" s="261"/>
      <c r="CT263" s="261"/>
      <c r="CU263" s="261"/>
      <c r="CV263" s="261"/>
      <c r="CW263" s="261"/>
      <c r="CX263" s="261"/>
      <c r="CY263" s="255"/>
    </row>
    <row r="264" spans="1:103" ht="10.25" customHeight="1">
      <c r="CA264" s="256"/>
      <c r="CB264" s="261"/>
      <c r="CC264" s="255"/>
      <c r="CD264" s="261"/>
      <c r="CE264" s="261"/>
      <c r="CF264" s="255"/>
      <c r="CG264" s="261"/>
      <c r="CH264" s="261"/>
      <c r="CI264" s="261"/>
      <c r="CJ264" s="261"/>
      <c r="CK264" s="261"/>
      <c r="CL264" s="255"/>
      <c r="CN264" s="256"/>
      <c r="CO264" s="256"/>
      <c r="CP264" s="261"/>
      <c r="CQ264" s="261"/>
      <c r="CR264" s="255"/>
      <c r="CS264" s="261"/>
      <c r="CT264" s="261"/>
      <c r="CU264" s="255"/>
      <c r="CV264" s="261"/>
      <c r="CW264" s="261"/>
      <c r="CX264" s="261"/>
      <c r="CY264" s="255"/>
    </row>
    <row r="265" spans="1:103" ht="10.25" customHeight="1">
      <c r="C265" s="278"/>
      <c r="CA265" s="256"/>
      <c r="CB265" s="261"/>
      <c r="CC265" s="255"/>
      <c r="CD265" s="261"/>
      <c r="CE265" s="261"/>
      <c r="CF265" s="255"/>
      <c r="CG265" s="261"/>
      <c r="CH265" s="261"/>
      <c r="CI265" s="261"/>
      <c r="CJ265" s="261"/>
      <c r="CK265" s="261"/>
      <c r="CL265" s="255"/>
      <c r="CN265" s="256"/>
      <c r="CO265" s="256"/>
      <c r="CP265" s="261"/>
      <c r="CQ265" s="261"/>
      <c r="CR265" s="255"/>
      <c r="CS265" s="261"/>
      <c r="CT265" s="261"/>
      <c r="CU265" s="255"/>
      <c r="CV265" s="261"/>
      <c r="CW265" s="261"/>
      <c r="CX265" s="261"/>
      <c r="CY265" s="255"/>
    </row>
    <row r="266" spans="1:103" ht="10.25" customHeight="1">
      <c r="C266" s="278"/>
      <c r="F266" s="377"/>
      <c r="G266" s="377"/>
      <c r="H266" s="377"/>
      <c r="I266" s="377"/>
      <c r="J266" s="377"/>
      <c r="K266" s="377"/>
      <c r="L266" s="377"/>
      <c r="M266" s="377"/>
      <c r="N266" s="269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  <c r="AO266" s="63"/>
      <c r="AP266" s="63"/>
      <c r="AQ266" s="63"/>
      <c r="CA266" s="256"/>
      <c r="CB266" s="261"/>
      <c r="CC266" s="255"/>
      <c r="CD266" s="261"/>
      <c r="CE266" s="261"/>
      <c r="CF266" s="255"/>
      <c r="CG266" s="261"/>
      <c r="CH266" s="261"/>
      <c r="CI266" s="261"/>
      <c r="CJ266" s="261"/>
      <c r="CK266" s="261"/>
      <c r="CL266" s="255"/>
      <c r="CN266" s="256"/>
      <c r="CO266" s="256"/>
      <c r="CP266" s="261"/>
      <c r="CQ266" s="261"/>
      <c r="CR266" s="255"/>
      <c r="CS266" s="261"/>
      <c r="CT266" s="261"/>
      <c r="CU266" s="255"/>
      <c r="CV266" s="261"/>
      <c r="CW266" s="261"/>
      <c r="CX266" s="261"/>
      <c r="CY266" s="255"/>
    </row>
    <row r="267" spans="1:103" ht="10.4" customHeight="1">
      <c r="C267" s="278"/>
      <c r="F267" s="377"/>
      <c r="G267" s="377"/>
      <c r="H267" s="377"/>
      <c r="I267" s="377"/>
      <c r="J267" s="377"/>
      <c r="K267" s="377"/>
      <c r="L267" s="377"/>
      <c r="M267" s="377"/>
      <c r="N267" s="269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3"/>
      <c r="AQ267" s="63"/>
      <c r="AS267" s="236"/>
      <c r="BE267" s="63"/>
      <c r="BF267" s="63"/>
      <c r="BG267" s="63"/>
      <c r="BK267" s="317"/>
      <c r="BL267" s="5"/>
      <c r="BM267" s="5"/>
      <c r="BN267" s="5"/>
      <c r="BO267" s="5"/>
      <c r="BP267" s="5"/>
      <c r="BQ267" s="5"/>
      <c r="BR267" s="5"/>
      <c r="BS267" s="5"/>
      <c r="BT267" s="5"/>
      <c r="BV267" s="317"/>
      <c r="CF267" s="5"/>
      <c r="CG267" s="5"/>
      <c r="CH267" s="5"/>
      <c r="CI267" s="5"/>
      <c r="CJ267" s="5"/>
      <c r="CK267" s="5"/>
      <c r="CL267" s="5"/>
    </row>
    <row r="268" spans="1:103" ht="10.25" customHeight="1">
      <c r="A268" s="377"/>
      <c r="B268" s="377"/>
      <c r="C268" s="377"/>
      <c r="D268" s="377"/>
      <c r="E268" s="377"/>
      <c r="F268" s="377"/>
      <c r="G268" s="377"/>
      <c r="H268" s="377"/>
      <c r="I268" s="377"/>
      <c r="J268" s="377"/>
      <c r="K268" s="377"/>
      <c r="L268" s="377"/>
      <c r="M268" s="377"/>
      <c r="N268" s="269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  <c r="AN268" s="63"/>
      <c r="AO268" s="63"/>
      <c r="AP268" s="63"/>
      <c r="AQ268" s="63"/>
      <c r="BE268" s="63"/>
      <c r="BF268" s="63"/>
      <c r="BG268" s="63"/>
      <c r="BK268" s="317"/>
      <c r="BL268" s="5"/>
      <c r="BM268" s="5"/>
      <c r="BN268" s="5"/>
      <c r="BO268" s="5"/>
      <c r="BP268" s="5"/>
      <c r="BQ268" s="5"/>
      <c r="BR268" s="5"/>
      <c r="BS268" s="5"/>
      <c r="BT268" s="5"/>
      <c r="BV268" s="317"/>
      <c r="CF268" s="5"/>
      <c r="CG268" s="5"/>
      <c r="CH268" s="5"/>
      <c r="CI268" s="5"/>
      <c r="CJ268" s="5"/>
      <c r="CK268" s="5"/>
      <c r="CL268" s="5"/>
    </row>
    <row r="269" spans="1:103" ht="10.25" customHeight="1">
      <c r="A269" s="376"/>
      <c r="B269" s="376"/>
      <c r="C269" s="376"/>
      <c r="D269" s="376"/>
      <c r="E269" s="376"/>
      <c r="F269" s="376"/>
      <c r="G269" s="376"/>
      <c r="H269" s="376"/>
      <c r="I269" s="376"/>
      <c r="J269" s="376"/>
      <c r="K269" s="376"/>
      <c r="L269" s="376"/>
      <c r="M269" s="376"/>
      <c r="N269" s="279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1"/>
      <c r="AM269" s="51"/>
      <c r="AN269" s="51"/>
      <c r="AO269" s="51"/>
      <c r="AP269" s="51"/>
      <c r="AQ269" s="51"/>
      <c r="BE269" s="63"/>
      <c r="BF269" s="63"/>
      <c r="BG269" s="63"/>
      <c r="BK269" s="317"/>
      <c r="BL269" s="5"/>
      <c r="BM269" s="5"/>
      <c r="BN269" s="5"/>
      <c r="BO269" s="5"/>
      <c r="BP269" s="5"/>
      <c r="BQ269" s="5"/>
      <c r="BR269" s="5"/>
      <c r="BS269" s="5"/>
      <c r="BT269" s="5"/>
      <c r="BV269" s="317"/>
      <c r="CF269" s="5"/>
      <c r="CG269" s="5"/>
      <c r="CH269" s="5"/>
      <c r="CI269" s="5"/>
      <c r="CJ269" s="5"/>
      <c r="CK269" s="5"/>
      <c r="CL269" s="5"/>
    </row>
    <row r="270" spans="1:103" ht="10.25" customHeight="1">
      <c r="A270" s="374"/>
      <c r="B270" s="374"/>
      <c r="C270" s="374"/>
      <c r="D270" s="374"/>
      <c r="E270" s="374"/>
      <c r="F270" s="374"/>
      <c r="G270" s="374"/>
      <c r="H270" s="374"/>
      <c r="I270" s="374"/>
      <c r="J270" s="374"/>
      <c r="K270" s="374"/>
      <c r="L270" s="374"/>
      <c r="M270" s="374"/>
      <c r="N270" s="213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BE270" s="63"/>
      <c r="BF270" s="63"/>
      <c r="BG270" s="63"/>
      <c r="BK270" s="317"/>
      <c r="BL270" s="5"/>
      <c r="BM270" s="5"/>
      <c r="BN270" s="5"/>
      <c r="BO270" s="5"/>
      <c r="BP270" s="5"/>
      <c r="BQ270" s="5"/>
      <c r="BR270" s="5"/>
      <c r="BS270" s="5"/>
      <c r="BT270" s="5"/>
      <c r="BV270" s="317"/>
      <c r="CF270" s="5"/>
      <c r="CG270" s="5"/>
      <c r="CH270" s="5"/>
      <c r="CI270" s="5"/>
      <c r="CJ270" s="5"/>
      <c r="CK270" s="5"/>
      <c r="CL270" s="5"/>
    </row>
    <row r="271" spans="1:103" ht="6" customHeight="1">
      <c r="A271" s="208"/>
      <c r="B271" s="209"/>
      <c r="C271" s="209"/>
      <c r="D271" s="209"/>
      <c r="E271" s="209"/>
      <c r="F271" s="280"/>
      <c r="G271" s="280"/>
      <c r="H271" s="280"/>
      <c r="I271" s="280"/>
      <c r="J271" s="280"/>
      <c r="K271" s="280"/>
      <c r="L271" s="280"/>
      <c r="M271" s="280"/>
      <c r="N271" s="280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42"/>
      <c r="AQ271" s="42"/>
      <c r="BK271" s="317"/>
      <c r="BL271" s="5"/>
      <c r="BM271" s="5"/>
      <c r="BN271" s="5"/>
      <c r="BO271" s="5"/>
      <c r="BP271" s="5"/>
      <c r="BQ271" s="5"/>
      <c r="BR271" s="5"/>
      <c r="BS271" s="5"/>
      <c r="BT271" s="5"/>
      <c r="BV271" s="317"/>
      <c r="CF271" s="5"/>
      <c r="CG271" s="5"/>
      <c r="CH271" s="5"/>
      <c r="CI271" s="5"/>
      <c r="CJ271" s="5"/>
      <c r="CK271" s="5"/>
      <c r="CL271" s="5"/>
    </row>
    <row r="272" spans="1:103" ht="10.25" customHeight="1">
      <c r="A272" s="208"/>
      <c r="B272" s="209"/>
      <c r="C272" s="209"/>
      <c r="D272" s="210"/>
      <c r="E272" s="211"/>
      <c r="F272" s="369"/>
      <c r="G272" s="369"/>
      <c r="H272" s="369"/>
      <c r="I272" s="369"/>
      <c r="J272" s="369"/>
      <c r="K272" s="369"/>
      <c r="L272" s="369"/>
      <c r="M272" s="230"/>
      <c r="N272" s="230"/>
      <c r="O272" s="235"/>
      <c r="P272" s="235"/>
      <c r="Q272" s="235"/>
      <c r="R272" s="235"/>
      <c r="S272" s="235"/>
      <c r="T272" s="235"/>
      <c r="U272" s="235"/>
      <c r="V272" s="235"/>
      <c r="W272" s="235"/>
      <c r="X272" s="235"/>
      <c r="Y272" s="235"/>
      <c r="Z272" s="235"/>
      <c r="AA272" s="235"/>
      <c r="AB272" s="235"/>
      <c r="AC272" s="235"/>
      <c r="AD272" s="235"/>
      <c r="AE272" s="235"/>
      <c r="AF272" s="235"/>
      <c r="AG272" s="235"/>
      <c r="AH272" s="235"/>
      <c r="AI272" s="235"/>
      <c r="AJ272" s="235"/>
      <c r="AK272" s="235"/>
      <c r="AL272" s="235"/>
      <c r="AM272" s="235"/>
      <c r="AN272" s="235"/>
      <c r="AO272" s="235"/>
      <c r="AP272" s="235"/>
      <c r="AQ272" s="235"/>
      <c r="BK272" s="317"/>
      <c r="BL272" s="5"/>
      <c r="BM272" s="5"/>
      <c r="BN272" s="5"/>
      <c r="BO272" s="5"/>
      <c r="BP272" s="5"/>
      <c r="BQ272" s="5"/>
      <c r="BR272" s="5"/>
      <c r="BS272" s="5"/>
      <c r="BT272" s="5"/>
      <c r="BV272" s="317"/>
      <c r="CF272" s="5"/>
      <c r="CG272" s="5"/>
      <c r="CH272" s="5"/>
      <c r="CI272" s="5"/>
      <c r="CJ272" s="5"/>
      <c r="CK272" s="5"/>
      <c r="CL272" s="5"/>
    </row>
    <row r="273" spans="1:103" ht="2" customHeight="1">
      <c r="A273" s="209"/>
      <c r="B273" s="209"/>
      <c r="C273" s="212"/>
      <c r="D273" s="213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BK273" s="317"/>
      <c r="BL273" s="5"/>
      <c r="BM273" s="5"/>
      <c r="BN273" s="5"/>
      <c r="BO273" s="5"/>
      <c r="BP273" s="5"/>
      <c r="BQ273" s="5"/>
      <c r="BR273" s="5"/>
      <c r="BS273" s="5"/>
      <c r="BT273" s="5"/>
      <c r="BV273" s="317"/>
      <c r="CF273" s="5"/>
      <c r="CG273" s="5"/>
      <c r="CH273" s="5"/>
      <c r="CI273" s="5"/>
      <c r="CJ273" s="5"/>
      <c r="CK273" s="5"/>
      <c r="CL273" s="5"/>
    </row>
    <row r="274" spans="1:103" ht="26.4" customHeight="1">
      <c r="A274" s="374"/>
      <c r="B274" s="374"/>
      <c r="C274" s="374"/>
      <c r="D274" s="372"/>
      <c r="E274" s="373"/>
      <c r="F274" s="370"/>
      <c r="G274" s="215"/>
      <c r="H274" s="373"/>
      <c r="I274" s="370"/>
      <c r="J274" s="370"/>
      <c r="K274" s="370"/>
      <c r="L274" s="373"/>
      <c r="M274" s="374"/>
      <c r="N274" s="213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BK274" s="317"/>
      <c r="BL274" s="5"/>
      <c r="BM274" s="5"/>
      <c r="BN274" s="5"/>
      <c r="BO274" s="5"/>
      <c r="BP274" s="5"/>
      <c r="BQ274" s="5"/>
      <c r="BR274" s="5"/>
      <c r="BS274" s="5"/>
      <c r="BT274" s="5"/>
      <c r="BV274" s="317"/>
      <c r="CF274" s="5"/>
      <c r="CG274" s="5"/>
      <c r="CH274" s="5"/>
      <c r="CI274" s="5"/>
      <c r="CJ274" s="5"/>
      <c r="CK274" s="5"/>
      <c r="CL274" s="5"/>
    </row>
    <row r="275" spans="1:103" ht="9.65" customHeight="1">
      <c r="A275" s="374"/>
      <c r="B275" s="374"/>
      <c r="C275" s="374"/>
      <c r="D275" s="372"/>
      <c r="E275" s="373"/>
      <c r="F275" s="370"/>
      <c r="G275" s="215"/>
      <c r="H275" s="373"/>
      <c r="I275" s="233"/>
      <c r="J275" s="233"/>
      <c r="K275" s="233"/>
      <c r="L275" s="373"/>
      <c r="M275" s="374"/>
      <c r="N275" s="213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BK275" s="317"/>
      <c r="BL275" s="5"/>
      <c r="BM275" s="5"/>
      <c r="BN275" s="5"/>
      <c r="BO275" s="5"/>
      <c r="BP275" s="5"/>
      <c r="BQ275" s="5"/>
      <c r="BR275" s="5"/>
      <c r="BS275" s="5"/>
      <c r="BT275" s="5"/>
      <c r="BV275" s="317"/>
      <c r="CF275" s="5"/>
      <c r="CG275" s="5"/>
      <c r="CH275" s="5"/>
      <c r="CI275" s="5"/>
      <c r="CJ275" s="5"/>
      <c r="CK275" s="5"/>
      <c r="CL275" s="5"/>
    </row>
    <row r="276" spans="1:103" ht="10.25" customHeight="1">
      <c r="A276" s="216"/>
      <c r="B276" s="217"/>
      <c r="C276" s="218"/>
      <c r="D276" s="219"/>
      <c r="E276" s="217"/>
      <c r="F276" s="217"/>
      <c r="G276" s="217"/>
      <c r="H276" s="220"/>
      <c r="I276" s="217"/>
      <c r="J276" s="217"/>
      <c r="K276" s="217"/>
      <c r="L276" s="217"/>
      <c r="M276" s="217"/>
      <c r="N276" s="217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BA276" s="5"/>
      <c r="BB276" s="5"/>
      <c r="BC276" s="5"/>
      <c r="BD276" s="5"/>
      <c r="BE276" s="63"/>
      <c r="BF276" s="63"/>
      <c r="BG276" s="63"/>
      <c r="BK276" s="317"/>
      <c r="BL276" s="5"/>
      <c r="BM276" s="5"/>
      <c r="BN276" s="5"/>
      <c r="BO276" s="5"/>
      <c r="BP276" s="5"/>
      <c r="BQ276" s="5"/>
      <c r="BR276" s="5"/>
      <c r="BS276" s="5"/>
      <c r="BT276" s="5"/>
      <c r="BV276" s="317"/>
      <c r="CF276" s="5"/>
      <c r="CG276" s="53"/>
      <c r="CH276" s="53"/>
      <c r="CI276" s="53"/>
      <c r="CJ276" s="53"/>
      <c r="CK276" s="53"/>
      <c r="CL276" s="53"/>
      <c r="CN276" s="53"/>
      <c r="CO276" s="53"/>
      <c r="CP276" s="53"/>
      <c r="CQ276" s="53"/>
      <c r="CR276" s="53"/>
      <c r="CS276" s="53"/>
    </row>
    <row r="277" spans="1:103" ht="10.25" customHeight="1">
      <c r="A277" s="216"/>
      <c r="B277" s="217"/>
      <c r="C277" s="218"/>
      <c r="D277" s="219"/>
      <c r="E277" s="217"/>
      <c r="F277" s="217"/>
      <c r="G277" s="217"/>
      <c r="H277" s="220"/>
      <c r="I277" s="217"/>
      <c r="J277" s="217"/>
      <c r="K277" s="217"/>
      <c r="L277" s="217"/>
      <c r="M277" s="217"/>
      <c r="N277" s="217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BA277" s="5"/>
      <c r="BB277" s="5"/>
      <c r="BC277" s="5"/>
      <c r="BD277" s="5"/>
      <c r="BE277" s="63"/>
      <c r="BF277" s="63"/>
      <c r="BG277" s="63"/>
      <c r="BK277" s="317"/>
      <c r="BL277" s="5"/>
      <c r="BM277" s="5"/>
      <c r="BN277" s="5"/>
      <c r="BO277" s="5"/>
      <c r="BP277" s="5"/>
      <c r="BQ277" s="5"/>
      <c r="BR277" s="5"/>
      <c r="BS277" s="5"/>
      <c r="BT277" s="5"/>
      <c r="BV277" s="317"/>
      <c r="CF277" s="5"/>
      <c r="CG277" s="53"/>
      <c r="CH277" s="53"/>
      <c r="CI277" s="53"/>
      <c r="CJ277" s="53"/>
      <c r="CK277" s="53"/>
      <c r="CL277" s="53"/>
      <c r="CN277" s="53"/>
      <c r="CO277" s="53"/>
      <c r="CP277" s="53"/>
      <c r="CQ277" s="53"/>
      <c r="CR277" s="53"/>
      <c r="CS277" s="53"/>
    </row>
    <row r="278" spans="1:103" ht="10.25" customHeight="1">
      <c r="A278" s="216"/>
      <c r="B278" s="217"/>
      <c r="C278" s="218"/>
      <c r="D278" s="219"/>
      <c r="E278" s="217"/>
      <c r="F278" s="217"/>
      <c r="G278" s="217"/>
      <c r="H278" s="220"/>
      <c r="I278" s="217"/>
      <c r="J278" s="217"/>
      <c r="K278" s="217"/>
      <c r="L278" s="217"/>
      <c r="M278" s="217"/>
      <c r="N278" s="217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BA278" s="5"/>
      <c r="BB278" s="5"/>
      <c r="BC278" s="5"/>
      <c r="BD278" s="5"/>
      <c r="BE278" s="63"/>
      <c r="BF278" s="63"/>
      <c r="BG278" s="63"/>
      <c r="BK278" s="317"/>
      <c r="BL278" s="5"/>
      <c r="BM278" s="5"/>
      <c r="BN278" s="5"/>
      <c r="BO278" s="5"/>
      <c r="BP278" s="5"/>
      <c r="BQ278" s="5"/>
      <c r="BR278" s="5"/>
      <c r="BS278" s="5"/>
      <c r="BT278" s="5"/>
      <c r="BV278" s="317"/>
      <c r="CF278" s="5"/>
      <c r="CG278" s="53"/>
      <c r="CH278" s="53"/>
      <c r="CI278" s="53"/>
      <c r="CJ278" s="53"/>
      <c r="CK278" s="53"/>
      <c r="CL278" s="53"/>
      <c r="CN278" s="53"/>
      <c r="CO278" s="53"/>
      <c r="CP278" s="53"/>
      <c r="CQ278" s="53"/>
      <c r="CR278" s="53"/>
      <c r="CS278" s="53"/>
    </row>
    <row r="279" spans="1:103" ht="10.25" customHeight="1">
      <c r="A279" s="216"/>
      <c r="B279" s="217"/>
      <c r="C279" s="218"/>
      <c r="D279" s="219"/>
      <c r="E279" s="217"/>
      <c r="F279" s="217"/>
      <c r="G279" s="217"/>
      <c r="H279" s="220"/>
      <c r="I279" s="217"/>
      <c r="J279" s="217"/>
      <c r="K279" s="217"/>
      <c r="L279" s="217"/>
      <c r="M279" s="217"/>
      <c r="N279" s="217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BA279" s="5"/>
      <c r="BB279" s="5"/>
      <c r="BC279" s="5"/>
      <c r="BD279" s="5"/>
      <c r="BE279" s="63"/>
      <c r="BF279" s="63"/>
      <c r="BG279" s="63"/>
      <c r="BK279" s="317"/>
      <c r="BL279" s="5"/>
      <c r="BM279" s="5"/>
      <c r="BN279" s="5"/>
      <c r="BO279" s="5"/>
      <c r="BP279" s="5"/>
      <c r="BQ279" s="5"/>
      <c r="BR279" s="5"/>
      <c r="BS279" s="5"/>
      <c r="BT279" s="5"/>
      <c r="BV279" s="317"/>
      <c r="CF279" s="5"/>
      <c r="CG279" s="53"/>
      <c r="CH279" s="53"/>
      <c r="CI279" s="53"/>
      <c r="CJ279" s="53"/>
      <c r="CK279" s="53"/>
      <c r="CL279" s="53"/>
      <c r="CN279" s="53"/>
      <c r="CO279" s="53"/>
      <c r="CP279" s="53"/>
      <c r="CQ279" s="53"/>
      <c r="CR279" s="53"/>
      <c r="CS279" s="53"/>
    </row>
    <row r="280" spans="1:103" ht="10.25" customHeight="1">
      <c r="A280" s="216"/>
      <c r="B280" s="217"/>
      <c r="C280" s="218"/>
      <c r="D280" s="219"/>
      <c r="E280" s="217"/>
      <c r="F280" s="217"/>
      <c r="G280" s="217"/>
      <c r="H280" s="220"/>
      <c r="I280" s="217"/>
      <c r="J280" s="217"/>
      <c r="K280" s="217"/>
      <c r="L280" s="217"/>
      <c r="M280" s="217"/>
      <c r="N280" s="217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BA280" s="5"/>
      <c r="BB280" s="5"/>
      <c r="BC280" s="5"/>
      <c r="BD280" s="5"/>
      <c r="BE280" s="63"/>
      <c r="BF280" s="63"/>
      <c r="BG280" s="63"/>
      <c r="BK280" s="317"/>
      <c r="BL280" s="5"/>
      <c r="BM280" s="5"/>
      <c r="BN280" s="5"/>
      <c r="BO280" s="5"/>
      <c r="BP280" s="5"/>
      <c r="BQ280" s="5"/>
      <c r="BR280" s="5"/>
      <c r="BS280" s="5"/>
      <c r="BT280" s="5"/>
      <c r="BV280" s="317"/>
      <c r="CF280" s="5"/>
      <c r="CG280" s="53"/>
      <c r="CH280" s="53"/>
      <c r="CI280" s="53"/>
      <c r="CJ280" s="53"/>
      <c r="CK280" s="53"/>
      <c r="CL280" s="53"/>
      <c r="CN280" s="53"/>
      <c r="CO280" s="53"/>
      <c r="CP280" s="53"/>
      <c r="CQ280" s="53"/>
      <c r="CR280" s="53"/>
      <c r="CS280" s="53"/>
    </row>
    <row r="281" spans="1:103" ht="10.25" customHeight="1">
      <c r="A281" s="216"/>
      <c r="B281" s="217"/>
      <c r="C281" s="218"/>
      <c r="D281" s="219"/>
      <c r="E281" s="217"/>
      <c r="F281" s="217"/>
      <c r="G281" s="217"/>
      <c r="H281" s="220"/>
      <c r="I281" s="217"/>
      <c r="J281" s="217"/>
      <c r="K281" s="217"/>
      <c r="L281" s="217"/>
      <c r="M281" s="217"/>
      <c r="N281" s="217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BA281" s="5"/>
      <c r="BB281" s="5"/>
      <c r="BC281" s="5"/>
      <c r="BD281" s="5"/>
      <c r="BE281" s="63"/>
      <c r="BF281" s="63"/>
      <c r="BG281" s="63"/>
      <c r="BK281" s="317"/>
      <c r="BL281" s="5"/>
      <c r="BM281" s="5"/>
      <c r="BN281" s="5"/>
      <c r="BO281" s="5"/>
      <c r="BP281" s="5"/>
      <c r="BQ281" s="5"/>
      <c r="BR281" s="5"/>
      <c r="BS281" s="5"/>
      <c r="BT281" s="5"/>
      <c r="BV281" s="317"/>
      <c r="CF281" s="5"/>
      <c r="CG281" s="53"/>
      <c r="CH281" s="53"/>
      <c r="CI281" s="53"/>
      <c r="CJ281" s="53"/>
      <c r="CK281" s="53"/>
      <c r="CL281" s="53"/>
      <c r="CN281" s="53"/>
      <c r="CO281" s="53"/>
      <c r="CP281" s="53"/>
      <c r="CQ281" s="53"/>
      <c r="CR281" s="53"/>
      <c r="CS281" s="53"/>
    </row>
    <row r="282" spans="1:103" ht="10.25" customHeight="1">
      <c r="A282" s="216"/>
      <c r="B282" s="217"/>
      <c r="C282" s="218"/>
      <c r="D282" s="219"/>
      <c r="E282" s="217"/>
      <c r="F282" s="217"/>
      <c r="G282" s="217"/>
      <c r="H282" s="220"/>
      <c r="I282" s="217"/>
      <c r="J282" s="217"/>
      <c r="K282" s="217"/>
      <c r="L282" s="217"/>
      <c r="M282" s="217"/>
      <c r="N282" s="217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BA282" s="5"/>
      <c r="BB282" s="5"/>
      <c r="BC282" s="5"/>
      <c r="BD282" s="5"/>
      <c r="BE282" s="63"/>
      <c r="BF282" s="63"/>
      <c r="BG282" s="63"/>
      <c r="BK282" s="317"/>
      <c r="BL282" s="5"/>
      <c r="BM282" s="5"/>
      <c r="BN282" s="5"/>
      <c r="BO282" s="5"/>
      <c r="BP282" s="5"/>
      <c r="BQ282" s="5"/>
      <c r="BR282" s="5"/>
      <c r="BS282" s="5"/>
      <c r="BT282" s="5"/>
      <c r="BV282" s="317"/>
      <c r="CF282" s="5"/>
      <c r="CG282" s="53"/>
      <c r="CH282" s="53"/>
      <c r="CI282" s="53"/>
      <c r="CJ282" s="53"/>
      <c r="CK282" s="53"/>
      <c r="CL282" s="53"/>
      <c r="CN282" s="53"/>
      <c r="CO282" s="53"/>
      <c r="CP282" s="53"/>
      <c r="CQ282" s="53"/>
      <c r="CR282" s="53"/>
      <c r="CS282" s="53"/>
    </row>
    <row r="283" spans="1:103" ht="10.25" customHeight="1">
      <c r="A283" s="216"/>
      <c r="B283" s="217"/>
      <c r="C283" s="218"/>
      <c r="D283" s="219"/>
      <c r="E283" s="217"/>
      <c r="F283" s="217"/>
      <c r="G283" s="217"/>
      <c r="H283" s="220"/>
      <c r="I283" s="217"/>
      <c r="J283" s="217"/>
      <c r="K283" s="217"/>
      <c r="L283" s="217"/>
      <c r="M283" s="217"/>
      <c r="N283" s="217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W283" s="63"/>
      <c r="AX283" s="63"/>
      <c r="AY283" s="63"/>
      <c r="AZ283" s="63"/>
      <c r="BA283" s="5"/>
      <c r="BB283" s="5"/>
      <c r="BC283" s="5"/>
      <c r="BD283" s="5"/>
      <c r="BE283" s="63"/>
      <c r="BF283" s="63"/>
      <c r="BG283" s="63"/>
      <c r="BV283" s="317"/>
      <c r="CF283" s="5"/>
      <c r="CG283" s="53"/>
      <c r="CH283" s="53"/>
      <c r="CI283" s="53"/>
      <c r="CJ283" s="53"/>
      <c r="CK283" s="53"/>
      <c r="CL283" s="53"/>
      <c r="CN283" s="53"/>
      <c r="CO283" s="53"/>
      <c r="CP283" s="53"/>
      <c r="CQ283" s="53"/>
      <c r="CR283" s="53"/>
      <c r="CS283" s="53"/>
    </row>
    <row r="284" spans="1:103" ht="10.25" customHeight="1">
      <c r="A284" s="216"/>
      <c r="B284" s="217"/>
      <c r="C284" s="218"/>
      <c r="D284" s="219"/>
      <c r="E284" s="217"/>
      <c r="F284" s="217"/>
      <c r="G284" s="217"/>
      <c r="H284" s="220"/>
      <c r="I284" s="217"/>
      <c r="J284" s="217"/>
      <c r="K284" s="217"/>
      <c r="L284" s="217"/>
      <c r="M284" s="217"/>
      <c r="N284" s="217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W284" s="63"/>
      <c r="AX284" s="63"/>
      <c r="AY284" s="63"/>
      <c r="AZ284" s="63"/>
      <c r="BA284" s="5"/>
      <c r="BB284" s="5"/>
      <c r="BC284" s="5"/>
      <c r="BD284" s="5"/>
      <c r="BE284" s="63"/>
      <c r="BF284" s="63"/>
      <c r="BG284" s="63"/>
      <c r="BV284" s="317"/>
      <c r="CF284" s="5"/>
      <c r="CG284" s="53"/>
      <c r="CH284" s="53"/>
      <c r="CI284" s="53"/>
      <c r="CJ284" s="53"/>
      <c r="CK284" s="53"/>
      <c r="CL284" s="53"/>
      <c r="CN284" s="53"/>
      <c r="CO284" s="53"/>
      <c r="CP284" s="53"/>
      <c r="CQ284" s="53"/>
      <c r="CR284" s="53"/>
      <c r="CS284" s="53"/>
    </row>
    <row r="285" spans="1:103" ht="10.25" customHeight="1">
      <c r="A285" s="216"/>
      <c r="B285" s="217"/>
      <c r="C285" s="218"/>
      <c r="D285" s="219"/>
      <c r="E285" s="217"/>
      <c r="F285" s="217"/>
      <c r="G285" s="217"/>
      <c r="H285" s="220"/>
      <c r="I285" s="217"/>
      <c r="J285" s="217"/>
      <c r="K285" s="217"/>
      <c r="L285" s="217"/>
      <c r="M285" s="217"/>
      <c r="N285" s="217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W285" s="63"/>
      <c r="AX285" s="63"/>
      <c r="AY285" s="63"/>
      <c r="AZ285" s="63"/>
      <c r="BA285" s="5"/>
      <c r="BB285" s="5"/>
      <c r="BC285" s="5"/>
      <c r="BD285" s="5"/>
      <c r="BE285" s="63"/>
      <c r="BF285" s="63"/>
      <c r="BG285" s="63"/>
      <c r="BV285" s="317"/>
      <c r="CF285" s="5"/>
      <c r="CG285" s="53"/>
      <c r="CH285" s="53"/>
      <c r="CI285" s="53"/>
      <c r="CJ285" s="53"/>
      <c r="CK285" s="53"/>
      <c r="CL285" s="53"/>
      <c r="CN285" s="53"/>
      <c r="CO285" s="53"/>
      <c r="CP285" s="53"/>
      <c r="CQ285" s="53"/>
      <c r="CR285" s="53"/>
      <c r="CS285" s="53"/>
      <c r="CT285" s="5"/>
      <c r="CU285" s="5"/>
      <c r="CV285" s="5"/>
      <c r="CW285" s="5"/>
      <c r="CX285" s="5"/>
      <c r="CY285" s="5"/>
    </row>
    <row r="286" spans="1:103" ht="10.25" customHeight="1">
      <c r="A286" s="216"/>
      <c r="B286" s="217"/>
      <c r="C286" s="218"/>
      <c r="D286" s="219"/>
      <c r="E286" s="217"/>
      <c r="F286" s="217"/>
      <c r="G286" s="217"/>
      <c r="H286" s="220"/>
      <c r="I286" s="217"/>
      <c r="J286" s="217"/>
      <c r="K286" s="217"/>
      <c r="L286" s="217"/>
      <c r="M286" s="217"/>
      <c r="N286" s="217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W286" s="63"/>
      <c r="AX286" s="63"/>
      <c r="AY286" s="63"/>
      <c r="AZ286" s="63"/>
      <c r="BA286" s="5"/>
      <c r="BB286" s="5"/>
      <c r="BC286" s="5"/>
      <c r="BD286" s="5"/>
      <c r="BE286" s="63"/>
      <c r="BF286" s="63"/>
      <c r="BG286" s="63"/>
      <c r="BV286" s="317"/>
      <c r="CF286" s="5"/>
      <c r="CG286" s="53"/>
      <c r="CH286" s="53"/>
      <c r="CI286" s="53"/>
      <c r="CJ286" s="53"/>
      <c r="CK286" s="53"/>
      <c r="CL286" s="53"/>
      <c r="CN286" s="53"/>
      <c r="CO286" s="53"/>
      <c r="CP286" s="53"/>
      <c r="CQ286" s="53"/>
      <c r="CR286" s="53"/>
      <c r="CS286" s="53"/>
      <c r="CT286" s="5"/>
      <c r="CU286" s="5"/>
      <c r="CV286" s="5"/>
      <c r="CW286" s="5"/>
      <c r="CX286" s="5"/>
      <c r="CY286" s="5"/>
    </row>
    <row r="287" spans="1:103" ht="10.25" customHeight="1">
      <c r="A287" s="216"/>
      <c r="B287" s="217"/>
      <c r="C287" s="218"/>
      <c r="D287" s="219"/>
      <c r="E287" s="217"/>
      <c r="F287" s="217"/>
      <c r="G287" s="217"/>
      <c r="H287" s="220"/>
      <c r="I287" s="217"/>
      <c r="J287" s="217"/>
      <c r="K287" s="217"/>
      <c r="L287" s="217"/>
      <c r="M287" s="217"/>
      <c r="N287" s="217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W287" s="63"/>
      <c r="AX287" s="63"/>
      <c r="AY287" s="63"/>
      <c r="AZ287" s="63"/>
      <c r="BA287" s="5"/>
      <c r="BB287" s="5"/>
      <c r="BC287" s="5"/>
      <c r="BD287" s="5"/>
      <c r="BE287" s="63"/>
      <c r="BF287" s="63"/>
      <c r="BG287" s="63"/>
      <c r="BV287" s="317"/>
      <c r="CF287" s="5"/>
      <c r="CG287" s="53"/>
      <c r="CH287" s="53"/>
      <c r="CI287" s="53"/>
      <c r="CJ287" s="53"/>
      <c r="CK287" s="53"/>
      <c r="CL287" s="53"/>
      <c r="CN287" s="53"/>
      <c r="CO287" s="53"/>
      <c r="CP287" s="53"/>
      <c r="CQ287" s="53"/>
      <c r="CR287" s="53"/>
      <c r="CS287" s="53"/>
      <c r="CT287" s="5"/>
      <c r="CU287" s="5"/>
      <c r="CV287" s="5"/>
      <c r="CW287" s="5"/>
      <c r="CX287" s="5"/>
      <c r="CY287" s="5"/>
    </row>
    <row r="288" spans="1:103" ht="10.25" customHeight="1">
      <c r="A288" s="216"/>
      <c r="B288" s="217"/>
      <c r="C288" s="218"/>
      <c r="D288" s="219"/>
      <c r="E288" s="217"/>
      <c r="F288" s="217"/>
      <c r="G288" s="217"/>
      <c r="H288" s="220"/>
      <c r="I288" s="217"/>
      <c r="J288" s="217"/>
      <c r="K288" s="217"/>
      <c r="L288" s="217"/>
      <c r="M288" s="217"/>
      <c r="N288" s="217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BA288" s="5"/>
      <c r="BB288" s="5"/>
      <c r="BC288" s="5"/>
      <c r="BD288" s="5"/>
      <c r="BE288" s="63"/>
      <c r="BF288" s="63"/>
      <c r="BG288" s="63"/>
      <c r="BV288" s="317"/>
      <c r="CF288" s="5"/>
      <c r="CG288" s="53"/>
      <c r="CH288" s="53"/>
      <c r="CI288" s="53"/>
      <c r="CJ288" s="53"/>
      <c r="CK288" s="53"/>
      <c r="CL288" s="53"/>
      <c r="CN288" s="53"/>
      <c r="CO288" s="53"/>
      <c r="CP288" s="53"/>
      <c r="CQ288" s="53"/>
      <c r="CR288" s="53"/>
      <c r="CS288" s="53"/>
      <c r="CT288" s="5"/>
      <c r="CU288" s="5"/>
      <c r="CV288" s="5"/>
      <c r="CW288" s="5"/>
      <c r="CX288" s="5"/>
      <c r="CY288" s="5"/>
    </row>
    <row r="289" spans="1:103" ht="10.25" customHeight="1">
      <c r="A289" s="216"/>
      <c r="B289" s="217"/>
      <c r="C289" s="218"/>
      <c r="D289" s="219"/>
      <c r="E289" s="217"/>
      <c r="F289" s="217"/>
      <c r="G289" s="217"/>
      <c r="H289" s="220"/>
      <c r="I289" s="217"/>
      <c r="J289" s="217"/>
      <c r="K289" s="217"/>
      <c r="L289" s="217"/>
      <c r="M289" s="217"/>
      <c r="N289" s="217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BA289" s="5"/>
      <c r="BB289" s="5"/>
      <c r="BC289" s="5"/>
      <c r="BD289" s="5"/>
      <c r="BE289" s="63"/>
      <c r="BF289" s="63"/>
      <c r="BG289" s="63"/>
      <c r="BV289" s="317"/>
      <c r="CF289" s="5"/>
      <c r="CG289" s="53"/>
      <c r="CH289" s="53"/>
      <c r="CI289" s="53"/>
      <c r="CJ289" s="53"/>
      <c r="CK289" s="53"/>
      <c r="CL289" s="53"/>
      <c r="CN289" s="53"/>
      <c r="CO289" s="53"/>
      <c r="CP289" s="53"/>
      <c r="CQ289" s="53"/>
      <c r="CR289" s="53"/>
      <c r="CS289" s="53"/>
      <c r="CT289" s="5"/>
      <c r="CU289" s="5"/>
      <c r="CV289" s="5"/>
      <c r="CW289" s="5"/>
      <c r="CX289" s="5"/>
      <c r="CY289" s="5"/>
    </row>
    <row r="290" spans="1:103" ht="10.25" customHeight="1">
      <c r="A290" s="216"/>
      <c r="B290" s="217"/>
      <c r="C290" s="218"/>
      <c r="D290" s="219"/>
      <c r="E290" s="217"/>
      <c r="F290" s="217"/>
      <c r="G290" s="217"/>
      <c r="H290" s="220"/>
      <c r="I290" s="217"/>
      <c r="J290" s="217"/>
      <c r="K290" s="217"/>
      <c r="L290" s="217"/>
      <c r="M290" s="217"/>
      <c r="N290" s="217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BA290" s="5"/>
      <c r="BB290" s="5"/>
      <c r="BC290" s="5"/>
      <c r="BD290" s="5"/>
      <c r="BE290" s="63"/>
      <c r="BF290" s="63"/>
      <c r="BG290" s="63"/>
      <c r="CA290" s="317"/>
      <c r="CF290" s="5"/>
      <c r="CG290" s="53"/>
      <c r="CH290" s="53"/>
      <c r="CI290" s="53"/>
      <c r="CJ290" s="53"/>
      <c r="CK290" s="53"/>
      <c r="CL290" s="53"/>
      <c r="CN290" s="53"/>
      <c r="CO290" s="53"/>
      <c r="CP290" s="53"/>
      <c r="CQ290" s="53"/>
      <c r="CR290" s="53"/>
      <c r="CS290" s="53"/>
      <c r="CT290" s="5"/>
      <c r="CU290" s="5"/>
      <c r="CV290" s="5"/>
      <c r="CW290" s="5"/>
      <c r="CX290" s="5"/>
      <c r="CY290" s="5"/>
    </row>
    <row r="291" spans="1:103" ht="10.25" customHeight="1">
      <c r="A291" s="216"/>
      <c r="B291" s="217"/>
      <c r="C291" s="218"/>
      <c r="D291" s="219"/>
      <c r="E291" s="217"/>
      <c r="F291" s="217"/>
      <c r="G291" s="217"/>
      <c r="H291" s="220"/>
      <c r="I291" s="217"/>
      <c r="J291" s="217"/>
      <c r="K291" s="217"/>
      <c r="L291" s="217"/>
      <c r="M291" s="217"/>
      <c r="N291" s="217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BA291" s="5"/>
      <c r="BB291" s="5"/>
      <c r="BC291" s="5"/>
      <c r="BD291" s="5"/>
      <c r="BE291" s="63"/>
      <c r="BF291" s="63"/>
      <c r="BG291" s="63"/>
      <c r="CA291" s="317"/>
      <c r="CF291" s="5"/>
      <c r="CG291" s="53"/>
      <c r="CH291" s="53"/>
      <c r="CI291" s="53"/>
      <c r="CJ291" s="53"/>
      <c r="CK291" s="53"/>
      <c r="CL291" s="53"/>
      <c r="CN291" s="53"/>
      <c r="CO291" s="53"/>
      <c r="CP291" s="53"/>
      <c r="CQ291" s="53"/>
      <c r="CR291" s="53"/>
      <c r="CS291" s="53"/>
      <c r="CT291" s="5"/>
      <c r="CU291" s="5"/>
      <c r="CV291" s="5"/>
      <c r="CW291" s="5"/>
      <c r="CX291" s="5"/>
      <c r="CY291" s="5"/>
    </row>
    <row r="292" spans="1:103" ht="10.25" customHeight="1">
      <c r="A292" s="216"/>
      <c r="B292" s="217"/>
      <c r="C292" s="218"/>
      <c r="D292" s="219"/>
      <c r="E292" s="217"/>
      <c r="F292" s="217"/>
      <c r="G292" s="217"/>
      <c r="H292" s="220"/>
      <c r="I292" s="217"/>
      <c r="J292" s="217"/>
      <c r="K292" s="217"/>
      <c r="L292" s="217"/>
      <c r="M292" s="217"/>
      <c r="N292" s="217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BA292" s="5"/>
      <c r="BB292" s="5"/>
      <c r="BC292" s="5"/>
      <c r="BD292" s="5"/>
      <c r="BE292" s="63"/>
      <c r="BF292" s="63"/>
      <c r="BG292" s="63"/>
      <c r="CA292" s="317"/>
      <c r="CF292" s="5"/>
      <c r="CG292" s="53"/>
      <c r="CH292" s="53"/>
      <c r="CI292" s="53"/>
      <c r="CJ292" s="53"/>
      <c r="CK292" s="53"/>
      <c r="CL292" s="53"/>
      <c r="CN292" s="53"/>
      <c r="CO292" s="53"/>
      <c r="CP292" s="53"/>
      <c r="CQ292" s="53"/>
      <c r="CR292" s="53"/>
      <c r="CS292" s="53"/>
      <c r="CT292" s="5"/>
      <c r="CU292" s="5"/>
      <c r="CV292" s="5"/>
      <c r="CW292" s="5"/>
      <c r="CX292" s="5"/>
      <c r="CY292" s="5"/>
    </row>
    <row r="293" spans="1:103" ht="10.25" customHeight="1">
      <c r="A293" s="216"/>
      <c r="B293" s="217"/>
      <c r="C293" s="218"/>
      <c r="D293" s="219"/>
      <c r="E293" s="217"/>
      <c r="F293" s="217"/>
      <c r="G293" s="217"/>
      <c r="H293" s="220"/>
      <c r="I293" s="217"/>
      <c r="J293" s="217"/>
      <c r="K293" s="217"/>
      <c r="L293" s="217"/>
      <c r="M293" s="217"/>
      <c r="N293" s="217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BA293" s="5"/>
      <c r="BB293" s="5"/>
      <c r="BC293" s="5"/>
      <c r="BD293" s="5"/>
      <c r="BE293" s="63"/>
      <c r="BF293" s="63"/>
      <c r="BG293" s="63"/>
      <c r="CA293" s="317"/>
      <c r="CF293" s="5"/>
      <c r="CG293" s="53"/>
      <c r="CH293" s="53"/>
      <c r="CI293" s="53"/>
      <c r="CJ293" s="53"/>
      <c r="CK293" s="53"/>
      <c r="CL293" s="53"/>
      <c r="CN293" s="53"/>
      <c r="CO293" s="53"/>
      <c r="CP293" s="53"/>
      <c r="CQ293" s="53"/>
      <c r="CR293" s="53"/>
      <c r="CS293" s="53"/>
      <c r="CT293" s="5"/>
      <c r="CU293" s="5"/>
      <c r="CV293" s="5"/>
      <c r="CW293" s="5"/>
      <c r="CX293" s="5"/>
      <c r="CY293" s="5"/>
    </row>
    <row r="294" spans="1:103" ht="10.25" customHeight="1">
      <c r="A294" s="216"/>
      <c r="B294" s="217"/>
      <c r="C294" s="218"/>
      <c r="D294" s="219"/>
      <c r="E294" s="217"/>
      <c r="F294" s="217"/>
      <c r="G294" s="217"/>
      <c r="H294" s="220"/>
      <c r="I294" s="217"/>
      <c r="J294" s="217"/>
      <c r="K294" s="217"/>
      <c r="L294" s="217"/>
      <c r="M294" s="217"/>
      <c r="N294" s="217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BA294" s="5"/>
      <c r="BB294" s="5"/>
      <c r="BC294" s="5"/>
      <c r="BD294" s="5"/>
      <c r="BE294" s="63"/>
      <c r="BF294" s="63"/>
      <c r="BG294" s="63"/>
      <c r="CA294" s="317"/>
      <c r="CF294" s="5"/>
      <c r="CG294" s="53"/>
      <c r="CH294" s="53"/>
      <c r="CI294" s="53"/>
      <c r="CJ294" s="53"/>
      <c r="CK294" s="53"/>
      <c r="CL294" s="53"/>
      <c r="CN294" s="53"/>
      <c r="CO294" s="53"/>
      <c r="CP294" s="53"/>
      <c r="CQ294" s="53"/>
      <c r="CR294" s="53"/>
      <c r="CS294" s="53"/>
      <c r="CT294" s="5"/>
      <c r="CU294" s="5"/>
      <c r="CV294" s="5"/>
      <c r="CW294" s="5"/>
      <c r="CX294" s="5"/>
      <c r="CY294" s="5"/>
    </row>
    <row r="295" spans="1:103" ht="10.25" customHeight="1">
      <c r="A295" s="216"/>
      <c r="B295" s="217"/>
      <c r="C295" s="218"/>
      <c r="D295" s="219"/>
      <c r="E295" s="217"/>
      <c r="F295" s="217"/>
      <c r="G295" s="217"/>
      <c r="H295" s="220"/>
      <c r="I295" s="217"/>
      <c r="J295" s="217"/>
      <c r="K295" s="217"/>
      <c r="L295" s="217"/>
      <c r="M295" s="217"/>
      <c r="N295" s="217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BA295" s="5"/>
      <c r="BB295" s="5"/>
      <c r="BC295" s="5"/>
      <c r="BD295" s="5"/>
      <c r="BE295" s="63"/>
      <c r="BF295" s="63"/>
      <c r="BG295" s="63"/>
      <c r="CA295" s="317"/>
      <c r="CF295" s="5"/>
      <c r="CG295" s="53"/>
      <c r="CH295" s="53"/>
      <c r="CI295" s="53"/>
      <c r="CJ295" s="53"/>
      <c r="CK295" s="53"/>
      <c r="CL295" s="53"/>
      <c r="CN295" s="53"/>
      <c r="CO295" s="53"/>
      <c r="CP295" s="53"/>
      <c r="CQ295" s="53"/>
      <c r="CR295" s="53"/>
      <c r="CS295" s="53"/>
      <c r="CT295" s="5"/>
      <c r="CU295" s="5"/>
      <c r="CV295" s="5"/>
      <c r="CW295" s="5"/>
      <c r="CX295" s="5"/>
      <c r="CY295" s="5"/>
    </row>
    <row r="296" spans="1:103" ht="10.25" customHeight="1">
      <c r="A296" s="216"/>
      <c r="B296" s="217"/>
      <c r="C296" s="218"/>
      <c r="D296" s="219"/>
      <c r="E296" s="217"/>
      <c r="F296" s="217"/>
      <c r="G296" s="217"/>
      <c r="H296" s="220"/>
      <c r="I296" s="217"/>
      <c r="J296" s="217"/>
      <c r="K296" s="217"/>
      <c r="L296" s="217"/>
      <c r="M296" s="217"/>
      <c r="N296" s="217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BA296" s="5"/>
      <c r="BB296" s="5"/>
      <c r="BC296" s="5"/>
      <c r="BD296" s="5"/>
      <c r="BE296" s="63"/>
      <c r="BF296" s="63"/>
      <c r="BG296" s="63"/>
      <c r="CA296" s="317"/>
      <c r="CF296" s="5"/>
      <c r="CG296" s="53"/>
      <c r="CH296" s="53"/>
      <c r="CI296" s="53"/>
      <c r="CJ296" s="53"/>
      <c r="CK296" s="53"/>
      <c r="CL296" s="53"/>
      <c r="CN296" s="53"/>
      <c r="CO296" s="53"/>
      <c r="CP296" s="53"/>
      <c r="CQ296" s="53"/>
      <c r="CR296" s="53"/>
      <c r="CS296" s="53"/>
      <c r="CT296" s="5"/>
      <c r="CU296" s="5"/>
      <c r="CV296" s="5"/>
      <c r="CW296" s="5"/>
      <c r="CX296" s="5"/>
      <c r="CY296" s="5"/>
    </row>
    <row r="297" spans="1:103" ht="10.25" customHeight="1">
      <c r="A297" s="216"/>
      <c r="B297" s="217"/>
      <c r="C297" s="218"/>
      <c r="D297" s="219"/>
      <c r="E297" s="217"/>
      <c r="F297" s="217"/>
      <c r="G297" s="217"/>
      <c r="H297" s="220"/>
      <c r="I297" s="217"/>
      <c r="J297" s="217"/>
      <c r="K297" s="217"/>
      <c r="L297" s="217"/>
      <c r="M297" s="217"/>
      <c r="N297" s="217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BA297" s="5"/>
      <c r="BB297" s="5"/>
      <c r="BC297" s="5"/>
      <c r="BD297" s="5"/>
      <c r="BE297" s="63"/>
      <c r="BF297" s="63"/>
      <c r="BG297" s="63"/>
      <c r="CA297" s="317"/>
      <c r="CF297" s="5"/>
      <c r="CG297" s="53"/>
      <c r="CH297" s="53"/>
      <c r="CI297" s="53"/>
      <c r="CJ297" s="53"/>
      <c r="CK297" s="53"/>
      <c r="CL297" s="53"/>
      <c r="CN297" s="53"/>
      <c r="CO297" s="53"/>
      <c r="CP297" s="53"/>
      <c r="CQ297" s="53"/>
      <c r="CR297" s="53"/>
      <c r="CS297" s="53"/>
      <c r="CT297" s="5"/>
      <c r="CU297" s="5"/>
      <c r="CV297" s="5"/>
      <c r="CW297" s="5"/>
      <c r="CX297" s="5"/>
      <c r="CY297" s="5"/>
    </row>
    <row r="298" spans="1:103" ht="10.25" customHeight="1">
      <c r="A298" s="216"/>
      <c r="B298" s="217"/>
      <c r="C298" s="218"/>
      <c r="D298" s="219"/>
      <c r="E298" s="217"/>
      <c r="F298" s="217"/>
      <c r="G298" s="217"/>
      <c r="H298" s="220"/>
      <c r="I298" s="217"/>
      <c r="J298" s="217"/>
      <c r="K298" s="217"/>
      <c r="L298" s="217"/>
      <c r="M298" s="217"/>
      <c r="N298" s="217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BA298" s="5"/>
      <c r="BB298" s="5"/>
      <c r="BC298" s="5"/>
      <c r="BD298" s="5"/>
      <c r="BE298" s="63"/>
      <c r="BF298" s="63"/>
      <c r="BG298" s="63"/>
      <c r="CA298" s="317"/>
      <c r="CF298" s="5"/>
      <c r="CG298" s="53"/>
      <c r="CH298" s="53"/>
      <c r="CI298" s="53"/>
      <c r="CJ298" s="53"/>
      <c r="CK298" s="53"/>
      <c r="CL298" s="53"/>
      <c r="CN298" s="53"/>
      <c r="CO298" s="53"/>
      <c r="CP298" s="53"/>
      <c r="CQ298" s="53"/>
      <c r="CR298" s="53"/>
      <c r="CS298" s="53"/>
      <c r="CT298" s="5"/>
      <c r="CU298" s="5"/>
      <c r="CV298" s="5"/>
      <c r="CW298" s="5"/>
      <c r="CX298" s="5"/>
      <c r="CY298" s="5"/>
    </row>
    <row r="299" spans="1:103" ht="10.25" customHeight="1">
      <c r="A299" s="216"/>
      <c r="B299" s="217"/>
      <c r="C299" s="218"/>
      <c r="D299" s="219"/>
      <c r="E299" s="217"/>
      <c r="F299" s="217"/>
      <c r="G299" s="217"/>
      <c r="H299" s="220"/>
      <c r="I299" s="217"/>
      <c r="J299" s="217"/>
      <c r="K299" s="217"/>
      <c r="L299" s="217"/>
      <c r="M299" s="217"/>
      <c r="N299" s="217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BA299" s="5"/>
      <c r="BB299" s="5"/>
      <c r="BC299" s="5"/>
      <c r="BD299" s="5"/>
      <c r="BE299" s="63"/>
      <c r="BF299" s="63"/>
      <c r="BG299" s="63"/>
      <c r="CA299" s="317"/>
      <c r="CF299" s="5"/>
      <c r="CG299" s="53"/>
      <c r="CH299" s="53"/>
      <c r="CI299" s="53"/>
      <c r="CJ299" s="53"/>
      <c r="CK299" s="53"/>
      <c r="CL299" s="53"/>
      <c r="CN299" s="53"/>
      <c r="CO299" s="53"/>
      <c r="CP299" s="53"/>
      <c r="CQ299" s="53"/>
      <c r="CR299" s="53"/>
      <c r="CS299" s="53"/>
      <c r="CT299" s="5"/>
      <c r="CU299" s="5"/>
      <c r="CV299" s="5"/>
      <c r="CW299" s="5"/>
      <c r="CX299" s="5"/>
      <c r="CY299" s="5"/>
    </row>
    <row r="300" spans="1:103" ht="10.25" customHeight="1">
      <c r="A300" s="216"/>
      <c r="B300" s="217"/>
      <c r="C300" s="218"/>
      <c r="D300" s="219"/>
      <c r="E300" s="217"/>
      <c r="F300" s="217"/>
      <c r="G300" s="217"/>
      <c r="H300" s="220"/>
      <c r="I300" s="217"/>
      <c r="J300" s="217"/>
      <c r="K300" s="217"/>
      <c r="L300" s="217"/>
      <c r="M300" s="217"/>
      <c r="N300" s="217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BA300" s="5"/>
      <c r="BB300" s="5"/>
      <c r="BC300" s="5"/>
      <c r="BD300" s="5"/>
      <c r="BE300" s="63"/>
      <c r="BF300" s="63"/>
      <c r="BG300" s="63"/>
      <c r="CA300" s="317"/>
      <c r="CF300" s="5"/>
      <c r="CG300" s="53"/>
      <c r="CH300" s="53"/>
      <c r="CI300" s="53"/>
      <c r="CJ300" s="53"/>
      <c r="CK300" s="53"/>
      <c r="CL300" s="53"/>
      <c r="CN300" s="53"/>
      <c r="CO300" s="53"/>
      <c r="CP300" s="53"/>
      <c r="CQ300" s="53"/>
      <c r="CR300" s="53"/>
      <c r="CS300" s="53"/>
      <c r="CT300" s="5"/>
      <c r="CU300" s="5"/>
      <c r="CV300" s="5"/>
      <c r="CW300" s="5"/>
      <c r="CX300" s="5"/>
      <c r="CY300" s="5"/>
    </row>
    <row r="301" spans="1:103" ht="10.25" customHeight="1">
      <c r="A301" s="216"/>
      <c r="B301" s="217"/>
      <c r="C301" s="218"/>
      <c r="D301" s="219"/>
      <c r="E301" s="217"/>
      <c r="F301" s="217"/>
      <c r="G301" s="217"/>
      <c r="H301" s="220"/>
      <c r="I301" s="217"/>
      <c r="J301" s="217"/>
      <c r="K301" s="217"/>
      <c r="L301" s="217"/>
      <c r="M301" s="217"/>
      <c r="N301" s="217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BA301" s="5"/>
      <c r="BB301" s="5"/>
      <c r="BC301" s="5"/>
      <c r="BD301" s="5"/>
      <c r="BE301" s="63"/>
      <c r="BF301" s="63"/>
      <c r="BG301" s="63"/>
      <c r="CA301" s="317"/>
      <c r="CF301" s="5"/>
      <c r="CG301" s="53"/>
      <c r="CH301" s="53"/>
      <c r="CI301" s="53"/>
      <c r="CJ301" s="53"/>
      <c r="CK301" s="53"/>
      <c r="CL301" s="53"/>
      <c r="CN301" s="53"/>
      <c r="CO301" s="53"/>
      <c r="CP301" s="53"/>
      <c r="CQ301" s="53"/>
      <c r="CR301" s="53"/>
      <c r="CS301" s="53"/>
      <c r="CT301" s="5"/>
      <c r="CU301" s="5"/>
      <c r="CV301" s="5"/>
      <c r="CW301" s="5"/>
      <c r="CX301" s="5"/>
      <c r="CY301" s="5"/>
    </row>
    <row r="302" spans="1:103" ht="10.25" customHeight="1">
      <c r="A302" s="216"/>
      <c r="B302" s="217"/>
      <c r="C302" s="218"/>
      <c r="D302" s="219"/>
      <c r="E302" s="217"/>
      <c r="F302" s="217"/>
      <c r="G302" s="217"/>
      <c r="H302" s="220"/>
      <c r="I302" s="217"/>
      <c r="J302" s="217"/>
      <c r="K302" s="217"/>
      <c r="L302" s="217"/>
      <c r="M302" s="217"/>
      <c r="N302" s="217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BA302" s="5"/>
      <c r="BB302" s="5"/>
      <c r="BC302" s="5"/>
      <c r="BD302" s="5"/>
      <c r="BE302" s="63"/>
      <c r="BF302" s="63"/>
      <c r="BG302" s="63"/>
      <c r="CA302" s="256"/>
      <c r="CB302" s="261"/>
      <c r="CC302" s="261"/>
      <c r="CD302" s="261"/>
      <c r="CE302" s="261"/>
      <c r="CF302" s="255"/>
      <c r="CG302" s="53"/>
      <c r="CH302" s="53"/>
      <c r="CI302" s="53"/>
      <c r="CJ302" s="53"/>
      <c r="CK302" s="53"/>
      <c r="CL302" s="53"/>
      <c r="CN302" s="53"/>
      <c r="CO302" s="53"/>
      <c r="CP302" s="53"/>
      <c r="CQ302" s="53"/>
      <c r="CR302" s="53"/>
      <c r="CS302" s="53"/>
      <c r="CT302" s="261"/>
      <c r="CU302" s="255"/>
      <c r="CV302" s="261"/>
      <c r="CW302" s="261"/>
      <c r="CX302" s="261"/>
      <c r="CY302" s="255"/>
    </row>
    <row r="303" spans="1:103" ht="10.25" customHeight="1">
      <c r="A303" s="216"/>
      <c r="B303" s="217"/>
      <c r="C303" s="218"/>
      <c r="D303" s="219"/>
      <c r="E303" s="217"/>
      <c r="F303" s="217"/>
      <c r="G303" s="217"/>
      <c r="H303" s="220"/>
      <c r="I303" s="217"/>
      <c r="J303" s="217"/>
      <c r="K303" s="217"/>
      <c r="L303" s="217"/>
      <c r="M303" s="217"/>
      <c r="N303" s="217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BA303" s="5"/>
      <c r="BB303" s="5"/>
      <c r="BC303" s="5"/>
      <c r="BD303" s="5"/>
      <c r="BE303" s="63"/>
      <c r="BF303" s="63"/>
      <c r="BG303" s="63"/>
      <c r="CA303" s="256"/>
      <c r="CB303" s="261"/>
      <c r="CC303" s="261"/>
      <c r="CD303" s="261"/>
      <c r="CE303" s="261"/>
      <c r="CF303" s="255"/>
      <c r="CG303" s="53"/>
      <c r="CH303" s="53"/>
      <c r="CI303" s="53"/>
      <c r="CJ303" s="53"/>
      <c r="CK303" s="53"/>
      <c r="CL303" s="53"/>
      <c r="CN303" s="53"/>
      <c r="CO303" s="53"/>
      <c r="CP303" s="53"/>
      <c r="CQ303" s="53"/>
      <c r="CR303" s="53"/>
      <c r="CS303" s="53"/>
      <c r="CT303" s="261"/>
      <c r="CU303" s="255"/>
      <c r="CV303" s="261"/>
      <c r="CW303" s="261"/>
      <c r="CX303" s="261"/>
      <c r="CY303" s="255"/>
    </row>
    <row r="304" spans="1:103" ht="10.25" customHeight="1">
      <c r="A304" s="216"/>
      <c r="B304" s="217"/>
      <c r="C304" s="218"/>
      <c r="D304" s="219"/>
      <c r="E304" s="217"/>
      <c r="F304" s="217"/>
      <c r="G304" s="217"/>
      <c r="H304" s="220"/>
      <c r="I304" s="217"/>
      <c r="J304" s="217"/>
      <c r="K304" s="217"/>
      <c r="L304" s="217"/>
      <c r="M304" s="217"/>
      <c r="N304" s="217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BA304" s="5"/>
      <c r="BB304" s="5"/>
      <c r="BC304" s="5"/>
      <c r="BD304" s="5"/>
      <c r="BE304" s="63"/>
      <c r="BF304" s="63"/>
      <c r="BG304" s="63"/>
      <c r="CA304" s="256"/>
      <c r="CB304" s="261"/>
      <c r="CC304" s="261"/>
      <c r="CD304" s="261"/>
      <c r="CE304" s="261"/>
      <c r="CF304" s="255"/>
      <c r="CG304" s="53"/>
      <c r="CH304" s="53"/>
      <c r="CI304" s="53"/>
      <c r="CJ304" s="53"/>
      <c r="CK304" s="53"/>
      <c r="CL304" s="53"/>
      <c r="CN304" s="53"/>
      <c r="CO304" s="53"/>
      <c r="CP304" s="53"/>
      <c r="CQ304" s="53"/>
      <c r="CR304" s="53"/>
      <c r="CS304" s="53"/>
      <c r="CT304" s="261"/>
      <c r="CU304" s="255"/>
      <c r="CV304" s="261"/>
      <c r="CW304" s="255"/>
      <c r="CX304" s="261"/>
      <c r="CY304" s="255"/>
    </row>
    <row r="305" spans="1:103" ht="10.25" customHeight="1">
      <c r="A305" s="216"/>
      <c r="B305" s="217"/>
      <c r="C305" s="218"/>
      <c r="D305" s="219"/>
      <c r="E305" s="217"/>
      <c r="F305" s="217"/>
      <c r="G305" s="217"/>
      <c r="H305" s="220"/>
      <c r="I305" s="217"/>
      <c r="J305" s="217"/>
      <c r="K305" s="217"/>
      <c r="L305" s="217"/>
      <c r="M305" s="217"/>
      <c r="N305" s="217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BA305" s="5"/>
      <c r="BB305" s="5"/>
      <c r="BC305" s="5"/>
      <c r="BD305" s="5"/>
      <c r="BE305" s="63"/>
      <c r="BF305" s="63"/>
      <c r="BG305" s="63"/>
      <c r="CA305" s="256"/>
      <c r="CB305" s="261"/>
      <c r="CC305" s="261"/>
      <c r="CD305" s="261"/>
      <c r="CE305" s="261"/>
      <c r="CF305" s="255"/>
      <c r="CG305" s="53"/>
      <c r="CH305" s="53"/>
      <c r="CI305" s="53"/>
      <c r="CJ305" s="53"/>
      <c r="CK305" s="53"/>
      <c r="CL305" s="53"/>
      <c r="CN305" s="53"/>
      <c r="CO305" s="53"/>
      <c r="CP305" s="53"/>
      <c r="CQ305" s="53"/>
      <c r="CR305" s="53"/>
      <c r="CS305" s="53"/>
      <c r="CT305" s="261"/>
      <c r="CU305" s="255"/>
      <c r="CV305" s="255"/>
      <c r="CW305" s="261"/>
      <c r="CX305" s="261"/>
      <c r="CY305" s="255"/>
    </row>
    <row r="306" spans="1:103" ht="10.25" customHeight="1">
      <c r="A306" s="216"/>
      <c r="B306" s="217"/>
      <c r="C306" s="218"/>
      <c r="D306" s="219"/>
      <c r="E306" s="217"/>
      <c r="F306" s="217"/>
      <c r="G306" s="217"/>
      <c r="H306" s="220"/>
      <c r="I306" s="217"/>
      <c r="J306" s="217"/>
      <c r="K306" s="217"/>
      <c r="L306" s="217"/>
      <c r="M306" s="217"/>
      <c r="N306" s="217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BA306" s="5"/>
      <c r="BB306" s="5"/>
      <c r="BC306" s="5"/>
      <c r="BD306" s="5"/>
      <c r="BE306" s="63"/>
      <c r="BF306" s="63"/>
      <c r="BG306" s="63"/>
      <c r="CA306" s="256"/>
      <c r="CB306" s="261"/>
      <c r="CC306" s="261"/>
      <c r="CD306" s="261"/>
      <c r="CE306" s="261"/>
      <c r="CF306" s="255"/>
      <c r="CG306" s="53"/>
      <c r="CH306" s="53"/>
      <c r="CI306" s="53"/>
      <c r="CJ306" s="53"/>
      <c r="CK306" s="53"/>
      <c r="CL306" s="53"/>
      <c r="CN306" s="53"/>
      <c r="CO306" s="53"/>
      <c r="CP306" s="53"/>
      <c r="CQ306" s="53"/>
      <c r="CR306" s="53"/>
      <c r="CS306" s="53"/>
      <c r="CT306" s="261"/>
      <c r="CU306" s="255"/>
      <c r="CV306" s="261"/>
      <c r="CW306" s="255"/>
      <c r="CX306" s="261"/>
      <c r="CY306" s="255"/>
    </row>
    <row r="307" spans="1:103" ht="10.25" customHeight="1">
      <c r="A307" s="216"/>
      <c r="B307" s="217"/>
      <c r="C307" s="218"/>
      <c r="D307" s="219"/>
      <c r="E307" s="217"/>
      <c r="F307" s="217"/>
      <c r="G307" s="217"/>
      <c r="H307" s="220"/>
      <c r="I307" s="217"/>
      <c r="J307" s="217"/>
      <c r="K307" s="217"/>
      <c r="L307" s="217"/>
      <c r="M307" s="217"/>
      <c r="N307" s="217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BA307" s="5"/>
      <c r="BB307" s="5"/>
      <c r="BC307" s="5"/>
      <c r="BD307" s="5"/>
      <c r="BE307" s="63"/>
      <c r="BF307" s="63"/>
      <c r="BG307" s="63"/>
      <c r="CA307" s="256"/>
      <c r="CB307" s="261"/>
      <c r="CC307" s="261"/>
      <c r="CD307" s="261"/>
      <c r="CE307" s="255"/>
      <c r="CF307" s="261"/>
      <c r="CG307" s="53"/>
      <c r="CH307" s="53"/>
      <c r="CI307" s="53"/>
      <c r="CJ307" s="53"/>
      <c r="CK307" s="53"/>
      <c r="CL307" s="53"/>
      <c r="CN307" s="53"/>
      <c r="CO307" s="53"/>
      <c r="CP307" s="53"/>
      <c r="CQ307" s="53"/>
      <c r="CR307" s="53"/>
      <c r="CS307" s="53"/>
      <c r="CT307" s="255"/>
      <c r="CU307" s="261"/>
      <c r="CV307" s="255"/>
      <c r="CW307" s="261"/>
      <c r="CX307" s="261"/>
      <c r="CY307" s="255"/>
    </row>
    <row r="308" spans="1:103" ht="10.25" customHeight="1">
      <c r="A308" s="216"/>
      <c r="B308" s="217"/>
      <c r="C308" s="218"/>
      <c r="D308" s="219"/>
      <c r="E308" s="217"/>
      <c r="F308" s="217"/>
      <c r="G308" s="217"/>
      <c r="H308" s="220"/>
      <c r="I308" s="217"/>
      <c r="J308" s="217"/>
      <c r="K308" s="217"/>
      <c r="L308" s="217"/>
      <c r="M308" s="217"/>
      <c r="N308" s="217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BA308" s="5"/>
      <c r="BB308" s="5"/>
      <c r="BC308" s="5"/>
      <c r="BD308" s="5"/>
      <c r="BE308" s="63"/>
      <c r="BF308" s="63"/>
      <c r="BG308" s="63"/>
      <c r="CA308" s="256"/>
      <c r="CB308" s="261"/>
      <c r="CC308" s="261"/>
      <c r="CD308" s="261"/>
      <c r="CE308" s="255"/>
      <c r="CF308" s="261"/>
      <c r="CG308" s="53"/>
      <c r="CH308" s="53"/>
      <c r="CI308" s="53"/>
      <c r="CJ308" s="53"/>
      <c r="CK308" s="53"/>
      <c r="CL308" s="53"/>
      <c r="CN308" s="53"/>
      <c r="CO308" s="53"/>
      <c r="CP308" s="53"/>
      <c r="CQ308" s="53"/>
      <c r="CR308" s="53"/>
      <c r="CS308" s="53"/>
      <c r="CT308" s="255"/>
      <c r="CU308" s="261"/>
      <c r="CV308" s="261"/>
      <c r="CW308" s="255"/>
      <c r="CX308" s="261"/>
      <c r="CY308" s="255"/>
    </row>
    <row r="309" spans="1:103" ht="10.25" customHeight="1">
      <c r="A309" s="216"/>
      <c r="B309" s="217"/>
      <c r="C309" s="218"/>
      <c r="D309" s="219"/>
      <c r="E309" s="217"/>
      <c r="F309" s="217"/>
      <c r="G309" s="217"/>
      <c r="H309" s="220"/>
      <c r="I309" s="217"/>
      <c r="J309" s="217"/>
      <c r="K309" s="217"/>
      <c r="L309" s="217"/>
      <c r="M309" s="217"/>
      <c r="N309" s="217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BA309" s="5"/>
      <c r="BB309" s="5"/>
      <c r="BC309" s="5"/>
      <c r="BD309" s="5"/>
      <c r="BE309" s="63"/>
      <c r="BF309" s="63"/>
      <c r="BG309" s="63"/>
      <c r="CA309" s="256"/>
      <c r="CB309" s="261"/>
      <c r="CC309" s="261"/>
      <c r="CD309" s="255"/>
      <c r="CE309" s="261"/>
      <c r="CF309" s="261"/>
      <c r="CG309" s="53"/>
      <c r="CH309" s="53"/>
      <c r="CI309" s="53"/>
      <c r="CJ309" s="53"/>
      <c r="CK309" s="53"/>
      <c r="CL309" s="53"/>
      <c r="CN309" s="53"/>
      <c r="CO309" s="53"/>
      <c r="CP309" s="53"/>
      <c r="CQ309" s="53"/>
      <c r="CR309" s="53"/>
      <c r="CS309" s="53"/>
      <c r="CT309" s="261"/>
      <c r="CU309" s="261"/>
      <c r="CV309" s="255"/>
      <c r="CW309" s="261"/>
      <c r="CX309" s="261"/>
      <c r="CY309" s="255"/>
    </row>
    <row r="310" spans="1:103" ht="10.25" customHeight="1">
      <c r="A310" s="216"/>
      <c r="B310" s="217"/>
      <c r="C310" s="218"/>
      <c r="D310" s="219"/>
      <c r="E310" s="217"/>
      <c r="F310" s="217"/>
      <c r="G310" s="217"/>
      <c r="H310" s="220"/>
      <c r="I310" s="217"/>
      <c r="J310" s="217"/>
      <c r="K310" s="217"/>
      <c r="L310" s="217"/>
      <c r="M310" s="217"/>
      <c r="N310" s="217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BA310" s="5"/>
      <c r="BB310" s="5"/>
      <c r="BC310" s="5"/>
      <c r="BD310" s="5"/>
      <c r="BE310" s="63"/>
      <c r="BF310" s="63"/>
      <c r="BG310" s="63"/>
      <c r="CA310" s="256"/>
      <c r="CB310" s="261"/>
      <c r="CC310" s="261"/>
      <c r="CD310" s="255"/>
      <c r="CE310" s="261"/>
      <c r="CF310" s="261"/>
      <c r="CG310" s="53"/>
      <c r="CH310" s="53"/>
      <c r="CI310" s="53"/>
      <c r="CJ310" s="53"/>
      <c r="CK310" s="53"/>
      <c r="CL310" s="53"/>
      <c r="CN310" s="53"/>
      <c r="CO310" s="53"/>
      <c r="CP310" s="53"/>
      <c r="CQ310" s="53"/>
      <c r="CR310" s="53"/>
      <c r="CS310" s="53"/>
      <c r="CT310" s="261"/>
      <c r="CU310" s="261"/>
      <c r="CV310" s="261"/>
      <c r="CW310" s="255"/>
      <c r="CX310" s="261"/>
      <c r="CY310" s="255"/>
    </row>
    <row r="311" spans="1:103" ht="10.25" customHeight="1">
      <c r="A311" s="216"/>
      <c r="B311" s="217"/>
      <c r="C311" s="218"/>
      <c r="D311" s="219"/>
      <c r="E311" s="217"/>
      <c r="F311" s="217"/>
      <c r="G311" s="217"/>
      <c r="H311" s="220"/>
      <c r="I311" s="217"/>
      <c r="J311" s="217"/>
      <c r="K311" s="217"/>
      <c r="L311" s="217"/>
      <c r="M311" s="217"/>
      <c r="N311" s="217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BA311" s="5"/>
      <c r="BB311" s="5"/>
      <c r="BC311" s="5"/>
      <c r="BD311" s="5"/>
      <c r="BE311" s="63"/>
      <c r="BF311" s="63"/>
      <c r="BG311" s="63"/>
      <c r="CA311" s="256"/>
      <c r="CB311" s="261"/>
      <c r="CC311" s="261"/>
      <c r="CD311" s="255"/>
      <c r="CE311" s="261"/>
      <c r="CF311" s="261"/>
      <c r="CG311" s="53"/>
      <c r="CH311" s="53"/>
      <c r="CI311" s="53"/>
      <c r="CJ311" s="53"/>
      <c r="CK311" s="53"/>
      <c r="CL311" s="53"/>
      <c r="CN311" s="53"/>
      <c r="CO311" s="53"/>
      <c r="CP311" s="53"/>
      <c r="CQ311" s="53"/>
      <c r="CR311" s="53"/>
      <c r="CS311" s="53"/>
      <c r="CT311" s="261"/>
      <c r="CU311" s="261"/>
      <c r="CV311" s="261"/>
      <c r="CW311" s="261"/>
      <c r="CX311" s="261"/>
      <c r="CY311" s="255"/>
    </row>
    <row r="312" spans="1:103" ht="10.25" customHeight="1">
      <c r="A312" s="216"/>
      <c r="B312" s="217"/>
      <c r="C312" s="218"/>
      <c r="D312" s="219"/>
      <c r="E312" s="217"/>
      <c r="F312" s="217"/>
      <c r="G312" s="217"/>
      <c r="H312" s="220"/>
      <c r="I312" s="217"/>
      <c r="J312" s="217"/>
      <c r="K312" s="217"/>
      <c r="L312" s="217"/>
      <c r="M312" s="217"/>
      <c r="N312" s="217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BA312" s="5"/>
      <c r="BB312" s="5"/>
      <c r="BC312" s="5"/>
      <c r="BD312" s="5"/>
      <c r="BE312" s="63"/>
      <c r="BF312" s="63"/>
      <c r="BG312" s="63"/>
      <c r="CA312" s="256"/>
      <c r="CB312" s="261"/>
      <c r="CC312" s="261"/>
      <c r="CD312" s="261"/>
      <c r="CE312" s="261"/>
      <c r="CF312" s="261"/>
      <c r="CG312" s="53"/>
      <c r="CH312" s="53"/>
      <c r="CI312" s="53"/>
      <c r="CJ312" s="53"/>
      <c r="CK312" s="53"/>
      <c r="CL312" s="53"/>
      <c r="CN312" s="53"/>
      <c r="CO312" s="53"/>
      <c r="CP312" s="53"/>
      <c r="CQ312" s="53"/>
      <c r="CR312" s="53"/>
      <c r="CS312" s="53"/>
      <c r="CT312" s="261"/>
      <c r="CU312" s="261"/>
      <c r="CV312" s="255"/>
      <c r="CW312" s="255"/>
      <c r="CX312" s="261"/>
      <c r="CY312" s="255"/>
    </row>
    <row r="313" spans="1:103" ht="10.25" customHeight="1">
      <c r="A313" s="216"/>
      <c r="B313" s="217"/>
      <c r="C313" s="218"/>
      <c r="D313" s="219"/>
      <c r="E313" s="217"/>
      <c r="F313" s="217"/>
      <c r="G313" s="217"/>
      <c r="H313" s="220"/>
      <c r="I313" s="217"/>
      <c r="J313" s="217"/>
      <c r="K313" s="217"/>
      <c r="L313" s="217"/>
      <c r="M313" s="217"/>
      <c r="N313" s="217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BA313" s="5"/>
      <c r="BB313" s="5"/>
      <c r="BC313" s="5"/>
      <c r="BD313" s="5"/>
      <c r="BE313" s="63"/>
      <c r="BF313" s="63"/>
      <c r="BG313" s="63"/>
      <c r="CA313" s="256"/>
      <c r="CB313" s="261"/>
      <c r="CC313" s="261"/>
      <c r="CD313" s="261"/>
      <c r="CE313" s="261"/>
      <c r="CF313" s="261"/>
      <c r="CG313" s="53"/>
      <c r="CH313" s="53"/>
      <c r="CI313" s="53"/>
      <c r="CJ313" s="53"/>
      <c r="CK313" s="53"/>
      <c r="CL313" s="53"/>
      <c r="CN313" s="53"/>
      <c r="CO313" s="53"/>
      <c r="CP313" s="53"/>
      <c r="CQ313" s="53"/>
      <c r="CR313" s="53"/>
      <c r="CS313" s="53"/>
      <c r="CT313" s="261"/>
      <c r="CU313" s="261"/>
      <c r="CV313" s="261"/>
      <c r="CW313" s="261"/>
      <c r="CX313" s="261"/>
      <c r="CY313" s="255"/>
    </row>
    <row r="314" spans="1:103" ht="10.25" customHeight="1">
      <c r="A314" s="216"/>
      <c r="B314" s="217"/>
      <c r="C314" s="218"/>
      <c r="D314" s="219"/>
      <c r="E314" s="217"/>
      <c r="F314" s="217"/>
      <c r="G314" s="217"/>
      <c r="H314" s="220"/>
      <c r="I314" s="217"/>
      <c r="J314" s="217"/>
      <c r="K314" s="217"/>
      <c r="L314" s="217"/>
      <c r="M314" s="217"/>
      <c r="N314" s="217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BA314" s="5"/>
      <c r="BB314" s="5"/>
      <c r="BC314" s="5"/>
      <c r="BD314" s="5"/>
      <c r="BE314" s="63"/>
      <c r="BF314" s="63"/>
      <c r="BG314" s="63"/>
      <c r="CA314" s="256"/>
      <c r="CB314" s="261"/>
      <c r="CC314" s="261"/>
      <c r="CD314" s="261"/>
      <c r="CE314" s="261"/>
      <c r="CF314" s="261"/>
      <c r="CG314" s="53"/>
      <c r="CH314" s="53"/>
      <c r="CI314" s="53"/>
      <c r="CJ314" s="53"/>
      <c r="CK314" s="53"/>
      <c r="CL314" s="53"/>
      <c r="CN314" s="53"/>
      <c r="CO314" s="53"/>
      <c r="CP314" s="53"/>
      <c r="CQ314" s="53"/>
      <c r="CR314" s="53"/>
      <c r="CS314" s="53"/>
      <c r="CT314" s="261"/>
      <c r="CU314" s="261"/>
      <c r="CV314" s="255"/>
      <c r="CW314" s="255"/>
      <c r="CX314" s="261"/>
      <c r="CY314" s="255"/>
    </row>
    <row r="315" spans="1:103" ht="10.25" customHeight="1">
      <c r="A315" s="216"/>
      <c r="B315" s="217"/>
      <c r="C315" s="218"/>
      <c r="D315" s="219"/>
      <c r="E315" s="217"/>
      <c r="F315" s="217"/>
      <c r="G315" s="217"/>
      <c r="H315" s="220"/>
      <c r="I315" s="217"/>
      <c r="J315" s="217"/>
      <c r="K315" s="217"/>
      <c r="L315" s="217"/>
      <c r="M315" s="217"/>
      <c r="N315" s="217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BA315" s="5"/>
      <c r="BB315" s="5"/>
      <c r="BC315" s="5"/>
      <c r="BD315" s="5"/>
      <c r="BE315" s="63"/>
      <c r="BF315" s="63"/>
      <c r="BG315" s="63"/>
      <c r="CA315" s="256"/>
      <c r="CB315" s="261"/>
      <c r="CC315" s="261"/>
      <c r="CD315" s="261"/>
      <c r="CE315" s="261"/>
      <c r="CF315" s="261"/>
      <c r="CG315" s="53"/>
      <c r="CH315" s="53"/>
      <c r="CI315" s="53"/>
      <c r="CJ315" s="53"/>
      <c r="CK315" s="53"/>
      <c r="CL315" s="53"/>
      <c r="CN315" s="53"/>
      <c r="CO315" s="53"/>
      <c r="CP315" s="53"/>
      <c r="CQ315" s="53"/>
      <c r="CR315" s="53"/>
      <c r="CS315" s="53"/>
      <c r="CT315" s="261"/>
      <c r="CU315" s="261"/>
      <c r="CV315" s="261"/>
      <c r="CW315" s="261"/>
      <c r="CX315" s="255"/>
      <c r="CY315" s="255"/>
    </row>
    <row r="316" spans="1:103" ht="10.25" customHeight="1">
      <c r="A316" s="216"/>
      <c r="B316" s="217"/>
      <c r="C316" s="218"/>
      <c r="D316" s="219"/>
      <c r="E316" s="217"/>
      <c r="F316" s="217"/>
      <c r="G316" s="217"/>
      <c r="H316" s="220"/>
      <c r="I316" s="217"/>
      <c r="J316" s="217"/>
      <c r="K316" s="217"/>
      <c r="L316" s="217"/>
      <c r="M316" s="217"/>
      <c r="N316" s="217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BA316" s="5"/>
      <c r="BB316" s="5"/>
      <c r="BC316" s="5"/>
      <c r="BD316" s="5"/>
      <c r="BE316" s="63"/>
      <c r="BF316" s="63"/>
      <c r="BG316" s="63"/>
      <c r="CA316" s="256"/>
      <c r="CB316" s="261"/>
      <c r="CC316" s="261"/>
      <c r="CD316" s="261"/>
      <c r="CE316" s="261"/>
      <c r="CF316" s="261"/>
      <c r="CG316" s="53"/>
      <c r="CH316" s="53"/>
      <c r="CI316" s="53"/>
      <c r="CJ316" s="53"/>
      <c r="CK316" s="53"/>
      <c r="CL316" s="53"/>
      <c r="CN316" s="53"/>
      <c r="CO316" s="53"/>
      <c r="CP316" s="53"/>
      <c r="CQ316" s="53"/>
      <c r="CR316" s="53"/>
      <c r="CS316" s="53"/>
      <c r="CT316" s="261"/>
      <c r="CU316" s="261"/>
      <c r="CV316" s="255"/>
      <c r="CW316" s="255"/>
      <c r="CX316" s="261"/>
      <c r="CY316" s="255"/>
    </row>
    <row r="317" spans="1:103" ht="10.25" customHeight="1">
      <c r="A317" s="216"/>
      <c r="B317" s="217"/>
      <c r="C317" s="218"/>
      <c r="D317" s="219"/>
      <c r="E317" s="217"/>
      <c r="F317" s="217"/>
      <c r="G317" s="217"/>
      <c r="H317" s="220"/>
      <c r="I317" s="217"/>
      <c r="J317" s="217"/>
      <c r="K317" s="217"/>
      <c r="L317" s="217"/>
      <c r="M317" s="217"/>
      <c r="N317" s="217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BA317" s="5"/>
      <c r="BB317" s="5"/>
      <c r="BC317" s="5"/>
      <c r="BD317" s="5"/>
      <c r="BE317" s="63"/>
      <c r="BF317" s="63"/>
      <c r="BG317" s="63"/>
      <c r="CA317" s="256"/>
      <c r="CB317" s="261"/>
      <c r="CC317" s="261"/>
      <c r="CD317" s="261"/>
      <c r="CE317" s="261"/>
      <c r="CF317" s="261"/>
      <c r="CG317" s="53"/>
      <c r="CH317" s="53"/>
      <c r="CI317" s="53"/>
      <c r="CJ317" s="53"/>
      <c r="CK317" s="53"/>
      <c r="CL317" s="53"/>
      <c r="CN317" s="53"/>
      <c r="CO317" s="53"/>
      <c r="CP317" s="53"/>
      <c r="CQ317" s="53"/>
      <c r="CR317" s="53"/>
      <c r="CS317" s="53"/>
      <c r="CT317" s="261"/>
      <c r="CU317" s="261"/>
      <c r="CV317" s="261"/>
      <c r="CW317" s="261"/>
      <c r="CX317" s="261"/>
      <c r="CY317" s="255"/>
    </row>
    <row r="318" spans="1:103" ht="10.25" customHeight="1">
      <c r="A318" s="216"/>
      <c r="B318" s="217"/>
      <c r="C318" s="218"/>
      <c r="D318" s="219"/>
      <c r="E318" s="217"/>
      <c r="F318" s="217"/>
      <c r="G318" s="217"/>
      <c r="H318" s="220"/>
      <c r="I318" s="217"/>
      <c r="J318" s="217"/>
      <c r="K318" s="217"/>
      <c r="L318" s="217"/>
      <c r="M318" s="217"/>
      <c r="N318" s="217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BA318" s="5"/>
      <c r="BB318" s="5"/>
      <c r="BC318" s="5"/>
      <c r="BD318" s="5"/>
      <c r="BE318" s="63"/>
      <c r="BF318" s="63"/>
      <c r="BG318" s="63"/>
      <c r="CA318" s="256"/>
      <c r="CB318" s="261"/>
      <c r="CC318" s="261"/>
      <c r="CD318" s="261"/>
      <c r="CE318" s="261"/>
      <c r="CF318" s="261"/>
      <c r="CG318" s="53"/>
      <c r="CH318" s="53"/>
      <c r="CI318" s="53"/>
      <c r="CJ318" s="53"/>
      <c r="CK318" s="53"/>
      <c r="CL318" s="53"/>
      <c r="CN318" s="53"/>
      <c r="CO318" s="53"/>
      <c r="CP318" s="53"/>
      <c r="CQ318" s="53"/>
      <c r="CR318" s="53"/>
      <c r="CS318" s="53"/>
      <c r="CT318" s="261"/>
      <c r="CU318" s="261"/>
      <c r="CV318" s="261"/>
      <c r="CW318" s="255"/>
      <c r="CX318" s="261"/>
      <c r="CY318" s="255"/>
    </row>
    <row r="319" spans="1:103" ht="10.25" customHeight="1">
      <c r="A319" s="216"/>
      <c r="B319" s="217"/>
      <c r="C319" s="218"/>
      <c r="D319" s="219"/>
      <c r="E319" s="217"/>
      <c r="F319" s="217"/>
      <c r="G319" s="217"/>
      <c r="H319" s="220"/>
      <c r="I319" s="217"/>
      <c r="J319" s="217"/>
      <c r="K319" s="217"/>
      <c r="L319" s="217"/>
      <c r="M319" s="217"/>
      <c r="N319" s="217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BA319" s="5"/>
      <c r="BB319" s="5"/>
      <c r="BC319" s="5"/>
      <c r="BD319" s="5"/>
      <c r="BE319" s="63"/>
      <c r="BF319" s="63"/>
      <c r="BG319" s="63"/>
      <c r="CA319" s="256"/>
      <c r="CB319" s="261"/>
      <c r="CC319" s="261"/>
      <c r="CD319" s="261"/>
      <c r="CE319" s="261"/>
      <c r="CF319" s="261"/>
      <c r="CG319" s="53"/>
      <c r="CH319" s="53"/>
      <c r="CI319" s="53"/>
      <c r="CJ319" s="53"/>
      <c r="CK319" s="53"/>
      <c r="CL319" s="53"/>
      <c r="CN319" s="53"/>
      <c r="CO319" s="53"/>
      <c r="CP319" s="53"/>
      <c r="CQ319" s="53"/>
      <c r="CR319" s="53"/>
      <c r="CS319" s="53"/>
      <c r="CT319" s="261"/>
      <c r="CU319" s="261"/>
      <c r="CV319" s="261"/>
      <c r="CW319" s="261"/>
      <c r="CX319" s="261"/>
      <c r="CY319" s="255"/>
    </row>
    <row r="320" spans="1:103" ht="10.25" customHeight="1">
      <c r="A320" s="216"/>
      <c r="B320" s="217"/>
      <c r="C320" s="218"/>
      <c r="D320" s="219"/>
      <c r="E320" s="217"/>
      <c r="F320" s="217"/>
      <c r="G320" s="217"/>
      <c r="H320" s="220"/>
      <c r="I320" s="217"/>
      <c r="J320" s="217"/>
      <c r="K320" s="217"/>
      <c r="L320" s="217"/>
      <c r="M320" s="217"/>
      <c r="N320" s="217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BA320" s="5"/>
      <c r="BB320" s="5"/>
      <c r="BC320" s="5"/>
      <c r="BD320" s="5"/>
      <c r="BE320" s="63"/>
      <c r="BF320" s="63"/>
      <c r="BG320" s="63"/>
      <c r="CA320" s="256"/>
      <c r="CB320" s="261"/>
      <c r="CC320" s="261"/>
      <c r="CD320" s="261"/>
      <c r="CE320" s="261"/>
      <c r="CF320" s="261"/>
      <c r="CG320" s="53"/>
      <c r="CH320" s="53"/>
      <c r="CI320" s="53"/>
      <c r="CJ320" s="53"/>
      <c r="CK320" s="53"/>
      <c r="CL320" s="53"/>
      <c r="CN320" s="53"/>
      <c r="CO320" s="53"/>
      <c r="CP320" s="53"/>
      <c r="CQ320" s="53"/>
      <c r="CR320" s="53"/>
      <c r="CS320" s="53"/>
      <c r="CT320" s="261"/>
      <c r="CU320" s="261"/>
      <c r="CV320" s="255"/>
      <c r="CW320" s="255"/>
      <c r="CX320" s="261"/>
      <c r="CY320" s="255"/>
    </row>
    <row r="321" spans="1:103" ht="10.25" customHeight="1">
      <c r="A321" s="216"/>
      <c r="B321" s="217"/>
      <c r="C321" s="218"/>
      <c r="D321" s="219"/>
      <c r="E321" s="217"/>
      <c r="F321" s="217"/>
      <c r="G321" s="217"/>
      <c r="H321" s="220"/>
      <c r="I321" s="217"/>
      <c r="J321" s="217"/>
      <c r="K321" s="217"/>
      <c r="L321" s="217"/>
      <c r="M321" s="217"/>
      <c r="N321" s="217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BA321" s="5"/>
      <c r="BB321" s="5"/>
      <c r="BC321" s="5"/>
      <c r="BD321" s="5"/>
      <c r="BE321" s="63"/>
      <c r="BF321" s="63"/>
      <c r="BG321" s="63"/>
      <c r="CA321" s="256"/>
      <c r="CB321" s="261"/>
      <c r="CC321" s="261"/>
      <c r="CD321" s="261"/>
      <c r="CE321" s="261"/>
      <c r="CF321" s="261"/>
      <c r="CG321" s="53"/>
      <c r="CH321" s="53"/>
      <c r="CI321" s="53"/>
      <c r="CJ321" s="53"/>
      <c r="CK321" s="53"/>
      <c r="CL321" s="53"/>
      <c r="CN321" s="53"/>
      <c r="CO321" s="53"/>
      <c r="CP321" s="53"/>
      <c r="CQ321" s="53"/>
      <c r="CR321" s="53"/>
      <c r="CS321" s="53"/>
      <c r="CT321" s="261"/>
      <c r="CU321" s="261"/>
      <c r="CV321" s="261"/>
      <c r="CW321" s="261"/>
      <c r="CX321" s="261"/>
      <c r="CY321" s="255"/>
    </row>
    <row r="322" spans="1:103" ht="10.25" customHeight="1">
      <c r="A322" s="216"/>
      <c r="B322" s="217"/>
      <c r="C322" s="218"/>
      <c r="D322" s="219"/>
      <c r="E322" s="217"/>
      <c r="F322" s="217"/>
      <c r="G322" s="217"/>
      <c r="H322" s="220"/>
      <c r="I322" s="217"/>
      <c r="J322" s="217"/>
      <c r="K322" s="217"/>
      <c r="L322" s="217"/>
      <c r="M322" s="217"/>
      <c r="N322" s="217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BA322" s="5"/>
      <c r="BB322" s="5"/>
      <c r="BC322" s="5"/>
      <c r="BD322" s="5"/>
      <c r="BE322" s="63"/>
      <c r="BF322" s="63"/>
      <c r="BG322" s="63"/>
      <c r="CA322" s="256"/>
      <c r="CB322" s="261"/>
      <c r="CC322" s="261"/>
      <c r="CD322" s="261"/>
      <c r="CE322" s="261"/>
      <c r="CF322" s="261"/>
      <c r="CG322" s="53"/>
      <c r="CH322" s="53"/>
      <c r="CI322" s="53"/>
      <c r="CJ322" s="53"/>
      <c r="CK322" s="53"/>
      <c r="CL322" s="53"/>
      <c r="CN322" s="53"/>
      <c r="CO322" s="53"/>
      <c r="CP322" s="53"/>
      <c r="CQ322" s="53"/>
      <c r="CR322" s="53"/>
      <c r="CS322" s="53"/>
      <c r="CT322" s="261"/>
      <c r="CU322" s="261"/>
      <c r="CV322" s="255"/>
      <c r="CW322" s="255"/>
      <c r="CX322" s="255"/>
      <c r="CY322" s="255"/>
    </row>
    <row r="323" spans="1:103" ht="10.25" customHeight="1">
      <c r="A323" s="216"/>
      <c r="B323" s="217"/>
      <c r="C323" s="218"/>
      <c r="D323" s="219"/>
      <c r="E323" s="217"/>
      <c r="F323" s="217"/>
      <c r="G323" s="217"/>
      <c r="H323" s="220"/>
      <c r="I323" s="217"/>
      <c r="J323" s="217"/>
      <c r="K323" s="217"/>
      <c r="L323" s="217"/>
      <c r="M323" s="217"/>
      <c r="N323" s="217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BA323" s="5"/>
      <c r="BB323" s="5"/>
      <c r="BC323" s="5"/>
      <c r="BD323" s="5"/>
      <c r="BE323" s="63"/>
      <c r="BF323" s="63"/>
      <c r="BG323" s="63"/>
      <c r="CA323" s="256"/>
      <c r="CB323" s="261"/>
      <c r="CC323" s="261"/>
      <c r="CD323" s="261"/>
      <c r="CE323" s="261"/>
      <c r="CF323" s="261"/>
      <c r="CG323" s="53"/>
      <c r="CH323" s="53"/>
      <c r="CI323" s="53"/>
      <c r="CJ323" s="53"/>
      <c r="CK323" s="53"/>
      <c r="CL323" s="53"/>
      <c r="CN323" s="53"/>
      <c r="CO323" s="53"/>
      <c r="CP323" s="53"/>
      <c r="CQ323" s="53"/>
      <c r="CR323" s="53"/>
      <c r="CS323" s="53"/>
      <c r="CT323" s="261"/>
      <c r="CU323" s="261"/>
      <c r="CV323" s="261"/>
      <c r="CW323" s="255"/>
      <c r="CX323" s="261"/>
      <c r="CY323" s="255"/>
    </row>
    <row r="324" spans="1:103" ht="10.25" customHeight="1">
      <c r="A324" s="216"/>
      <c r="B324" s="217"/>
      <c r="C324" s="218"/>
      <c r="D324" s="219"/>
      <c r="E324" s="217"/>
      <c r="F324" s="217"/>
      <c r="G324" s="217"/>
      <c r="H324" s="220"/>
      <c r="I324" s="217"/>
      <c r="J324" s="217"/>
      <c r="K324" s="217"/>
      <c r="L324" s="217"/>
      <c r="M324" s="217"/>
      <c r="N324" s="217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BA324" s="5"/>
      <c r="BB324" s="5"/>
      <c r="BC324" s="5"/>
      <c r="BD324" s="5"/>
      <c r="BE324" s="63"/>
      <c r="BF324" s="63"/>
      <c r="BG324" s="63"/>
      <c r="CA324" s="256"/>
      <c r="CB324" s="261"/>
      <c r="CC324" s="261"/>
      <c r="CD324" s="261"/>
      <c r="CE324" s="261"/>
      <c r="CF324" s="261"/>
      <c r="CG324" s="53"/>
      <c r="CH324" s="53"/>
      <c r="CI324" s="53"/>
      <c r="CJ324" s="53"/>
      <c r="CK324" s="53"/>
      <c r="CL324" s="53"/>
      <c r="CN324" s="53"/>
      <c r="CO324" s="53"/>
      <c r="CP324" s="53"/>
      <c r="CQ324" s="53"/>
      <c r="CR324" s="53"/>
      <c r="CS324" s="53"/>
      <c r="CT324" s="261"/>
      <c r="CU324" s="261"/>
      <c r="CV324" s="255"/>
      <c r="CW324" s="255"/>
      <c r="CX324" s="261"/>
      <c r="CY324" s="255"/>
    </row>
    <row r="325" spans="1:103" ht="10.25" customHeight="1">
      <c r="A325" s="216"/>
      <c r="B325" s="217"/>
      <c r="C325" s="218"/>
      <c r="D325" s="219"/>
      <c r="E325" s="217"/>
      <c r="F325" s="217"/>
      <c r="G325" s="217"/>
      <c r="H325" s="220"/>
      <c r="I325" s="217"/>
      <c r="J325" s="217"/>
      <c r="K325" s="217"/>
      <c r="L325" s="217"/>
      <c r="M325" s="217"/>
      <c r="N325" s="217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BA325" s="5"/>
      <c r="BB325" s="5"/>
      <c r="BC325" s="5"/>
      <c r="BD325" s="5"/>
      <c r="BE325" s="63"/>
      <c r="BF325" s="63"/>
      <c r="BG325" s="63"/>
      <c r="CA325" s="256"/>
      <c r="CB325" s="261"/>
      <c r="CC325" s="261"/>
      <c r="CD325" s="261"/>
      <c r="CE325" s="261"/>
      <c r="CF325" s="261"/>
      <c r="CG325" s="53"/>
      <c r="CH325" s="53"/>
      <c r="CI325" s="53"/>
      <c r="CJ325" s="53"/>
      <c r="CK325" s="53"/>
      <c r="CL325" s="53"/>
      <c r="CN325" s="53"/>
      <c r="CO325" s="53"/>
      <c r="CP325" s="53"/>
      <c r="CQ325" s="53"/>
      <c r="CR325" s="53"/>
      <c r="CS325" s="53"/>
      <c r="CT325" s="261"/>
      <c r="CU325" s="261"/>
      <c r="CV325" s="261"/>
      <c r="CW325" s="261"/>
      <c r="CX325" s="261"/>
      <c r="CY325" s="255"/>
    </row>
    <row r="326" spans="1:103" ht="10.25" customHeight="1">
      <c r="A326" s="216"/>
      <c r="B326" s="217"/>
      <c r="C326" s="218"/>
      <c r="D326" s="219"/>
      <c r="E326" s="217"/>
      <c r="F326" s="217"/>
      <c r="G326" s="217"/>
      <c r="H326" s="220"/>
      <c r="I326" s="217"/>
      <c r="J326" s="217"/>
      <c r="K326" s="217"/>
      <c r="L326" s="217"/>
      <c r="M326" s="217"/>
      <c r="N326" s="217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BA326" s="5"/>
      <c r="BB326" s="5"/>
      <c r="BC326" s="5"/>
      <c r="BD326" s="5"/>
      <c r="BE326" s="63"/>
      <c r="BF326" s="63"/>
      <c r="BG326" s="63"/>
      <c r="CA326" s="256"/>
      <c r="CB326" s="261"/>
      <c r="CC326" s="261"/>
      <c r="CD326" s="261"/>
      <c r="CE326" s="261"/>
      <c r="CF326" s="261"/>
      <c r="CG326" s="53"/>
      <c r="CH326" s="53"/>
      <c r="CI326" s="53"/>
      <c r="CJ326" s="53"/>
      <c r="CK326" s="53"/>
      <c r="CL326" s="53"/>
      <c r="CN326" s="53"/>
      <c r="CO326" s="53"/>
      <c r="CP326" s="53"/>
      <c r="CQ326" s="53"/>
      <c r="CR326" s="53"/>
      <c r="CS326" s="53"/>
      <c r="CT326" s="261"/>
      <c r="CU326" s="261"/>
      <c r="CV326" s="255"/>
      <c r="CW326" s="255"/>
      <c r="CX326" s="261"/>
      <c r="CY326" s="255"/>
    </row>
    <row r="327" spans="1:103" ht="10.25" customHeight="1">
      <c r="A327" s="216"/>
      <c r="B327" s="217"/>
      <c r="C327" s="218"/>
      <c r="D327" s="219"/>
      <c r="E327" s="217"/>
      <c r="F327" s="217"/>
      <c r="G327" s="217"/>
      <c r="H327" s="220"/>
      <c r="I327" s="217"/>
      <c r="J327" s="217"/>
      <c r="K327" s="217"/>
      <c r="L327" s="217"/>
      <c r="M327" s="217"/>
      <c r="N327" s="217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BA327" s="5"/>
      <c r="BB327" s="5"/>
      <c r="BC327" s="5"/>
      <c r="BD327" s="5"/>
      <c r="BE327" s="63"/>
      <c r="BF327" s="63"/>
      <c r="BG327" s="63"/>
      <c r="CA327" s="256"/>
      <c r="CB327" s="261"/>
      <c r="CC327" s="261"/>
      <c r="CD327" s="261"/>
      <c r="CE327" s="261"/>
      <c r="CF327" s="255"/>
      <c r="CG327" s="53"/>
      <c r="CH327" s="53"/>
      <c r="CI327" s="53"/>
      <c r="CJ327" s="53"/>
      <c r="CK327" s="53"/>
      <c r="CL327" s="53"/>
      <c r="CN327" s="53"/>
      <c r="CO327" s="53"/>
      <c r="CP327" s="53"/>
      <c r="CQ327" s="53"/>
      <c r="CR327" s="53"/>
      <c r="CS327" s="53"/>
      <c r="CT327" s="261"/>
      <c r="CU327" s="255"/>
      <c r="CV327" s="261"/>
      <c r="CW327" s="261"/>
      <c r="CX327" s="261"/>
      <c r="CY327" s="255"/>
    </row>
    <row r="328" spans="1:103" ht="10.25" customHeight="1">
      <c r="A328" s="216"/>
      <c r="B328" s="217"/>
      <c r="C328" s="218"/>
      <c r="D328" s="219"/>
      <c r="E328" s="217"/>
      <c r="F328" s="217"/>
      <c r="G328" s="217"/>
      <c r="H328" s="220"/>
      <c r="I328" s="217"/>
      <c r="J328" s="217"/>
      <c r="K328" s="217"/>
      <c r="L328" s="217"/>
      <c r="M328" s="217"/>
      <c r="N328" s="217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BA328" s="5"/>
      <c r="BB328" s="5"/>
      <c r="BC328" s="5"/>
      <c r="BD328" s="5"/>
      <c r="BE328" s="63"/>
      <c r="BF328" s="63"/>
      <c r="BG328" s="63"/>
      <c r="CA328" s="256"/>
      <c r="CB328" s="261"/>
      <c r="CC328" s="261"/>
      <c r="CD328" s="261"/>
      <c r="CE328" s="261"/>
      <c r="CF328" s="255"/>
      <c r="CG328" s="53"/>
      <c r="CH328" s="53"/>
      <c r="CI328" s="53"/>
      <c r="CJ328" s="53"/>
      <c r="CK328" s="53"/>
      <c r="CL328" s="53"/>
      <c r="CN328" s="53"/>
      <c r="CO328" s="53"/>
      <c r="CP328" s="53"/>
      <c r="CQ328" s="53"/>
      <c r="CR328" s="53"/>
      <c r="CS328" s="53"/>
      <c r="CT328" s="261"/>
      <c r="CU328" s="255"/>
      <c r="CV328" s="255"/>
      <c r="CW328" s="255"/>
      <c r="CX328" s="261"/>
      <c r="CY328" s="255"/>
    </row>
    <row r="329" spans="1:103" ht="10.25" customHeight="1">
      <c r="A329" s="216"/>
      <c r="B329" s="217"/>
      <c r="C329" s="218"/>
      <c r="D329" s="219"/>
      <c r="E329" s="217"/>
      <c r="F329" s="217"/>
      <c r="G329" s="217"/>
      <c r="H329" s="220"/>
      <c r="I329" s="217"/>
      <c r="J329" s="217"/>
      <c r="K329" s="217"/>
      <c r="L329" s="217"/>
      <c r="M329" s="217"/>
      <c r="N329" s="217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BA329" s="5"/>
      <c r="BB329" s="5"/>
      <c r="BC329" s="5"/>
      <c r="BD329" s="5"/>
      <c r="BE329" s="63"/>
      <c r="BF329" s="63"/>
      <c r="BG329" s="63"/>
      <c r="CA329" s="256"/>
      <c r="CB329" s="261"/>
      <c r="CC329" s="261"/>
      <c r="CD329" s="261"/>
      <c r="CE329" s="255"/>
      <c r="CF329" s="261"/>
      <c r="CG329" s="53"/>
      <c r="CH329" s="53"/>
      <c r="CI329" s="53"/>
      <c r="CJ329" s="53"/>
      <c r="CK329" s="53"/>
      <c r="CL329" s="53"/>
      <c r="CN329" s="53"/>
      <c r="CO329" s="53"/>
      <c r="CP329" s="53"/>
      <c r="CQ329" s="53"/>
      <c r="CR329" s="53"/>
      <c r="CS329" s="53"/>
      <c r="CT329" s="255"/>
      <c r="CU329" s="261"/>
      <c r="CV329" s="261"/>
      <c r="CW329" s="261"/>
      <c r="CX329" s="261"/>
      <c r="CY329" s="255"/>
    </row>
    <row r="330" spans="1:103" ht="10.25" customHeight="1">
      <c r="A330" s="216"/>
      <c r="B330" s="217"/>
      <c r="C330" s="218"/>
      <c r="D330" s="219"/>
      <c r="E330" s="217"/>
      <c r="F330" s="217"/>
      <c r="G330" s="217"/>
      <c r="H330" s="220"/>
      <c r="I330" s="217"/>
      <c r="J330" s="217"/>
      <c r="K330" s="217"/>
      <c r="L330" s="217"/>
      <c r="M330" s="217"/>
      <c r="N330" s="217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BA330" s="5"/>
      <c r="BB330" s="5"/>
      <c r="BC330" s="5"/>
      <c r="BD330" s="5"/>
      <c r="BE330" s="63"/>
      <c r="BF330" s="63"/>
      <c r="BG330" s="63"/>
      <c r="CA330" s="256"/>
      <c r="CB330" s="261"/>
      <c r="CC330" s="261"/>
      <c r="CD330" s="261"/>
      <c r="CE330" s="255"/>
      <c r="CF330" s="261"/>
      <c r="CG330" s="53"/>
      <c r="CH330" s="53"/>
      <c r="CI330" s="53"/>
      <c r="CJ330" s="53"/>
      <c r="CK330" s="53"/>
      <c r="CL330" s="53"/>
      <c r="CN330" s="53"/>
      <c r="CO330" s="53"/>
      <c r="CP330" s="53"/>
      <c r="CQ330" s="53"/>
      <c r="CR330" s="53"/>
      <c r="CS330" s="53"/>
      <c r="CT330" s="255"/>
      <c r="CU330" s="261"/>
      <c r="CV330" s="255"/>
      <c r="CW330" s="255"/>
      <c r="CX330" s="261"/>
      <c r="CY330" s="255"/>
    </row>
    <row r="331" spans="1:103" ht="10.25" customHeight="1">
      <c r="A331" s="216"/>
      <c r="B331" s="217"/>
      <c r="C331" s="218"/>
      <c r="D331" s="219"/>
      <c r="E331" s="217"/>
      <c r="F331" s="217"/>
      <c r="G331" s="217"/>
      <c r="H331" s="220"/>
      <c r="I331" s="217"/>
      <c r="J331" s="217"/>
      <c r="K331" s="217"/>
      <c r="L331" s="217"/>
      <c r="M331" s="217"/>
      <c r="N331" s="217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BA331" s="5"/>
      <c r="BB331" s="5"/>
      <c r="BC331" s="5"/>
      <c r="BD331" s="5"/>
      <c r="BE331" s="63"/>
      <c r="BF331" s="63"/>
      <c r="BG331" s="63"/>
      <c r="CA331" s="256"/>
      <c r="CB331" s="261"/>
      <c r="CC331" s="261"/>
      <c r="CD331" s="261"/>
      <c r="CE331" s="261"/>
      <c r="CF331" s="261"/>
      <c r="CG331" s="53"/>
      <c r="CH331" s="53"/>
      <c r="CI331" s="53"/>
      <c r="CJ331" s="53"/>
      <c r="CK331" s="53"/>
      <c r="CL331" s="53"/>
      <c r="CN331" s="53"/>
      <c r="CO331" s="53"/>
      <c r="CP331" s="53"/>
      <c r="CQ331" s="53"/>
      <c r="CR331" s="53"/>
      <c r="CS331" s="53"/>
      <c r="CT331" s="261"/>
      <c r="CU331" s="261"/>
      <c r="CV331" s="261"/>
      <c r="CW331" s="261"/>
      <c r="CX331" s="255"/>
      <c r="CY331" s="255"/>
    </row>
    <row r="332" spans="1:103" ht="10.25" customHeight="1">
      <c r="A332" s="216"/>
      <c r="B332" s="217"/>
      <c r="C332" s="218"/>
      <c r="D332" s="219"/>
      <c r="E332" s="217"/>
      <c r="F332" s="217"/>
      <c r="G332" s="217"/>
      <c r="H332" s="220"/>
      <c r="I332" s="217"/>
      <c r="J332" s="217"/>
      <c r="K332" s="217"/>
      <c r="L332" s="217"/>
      <c r="M332" s="217"/>
      <c r="N332" s="217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BA332" s="5"/>
      <c r="BB332" s="5"/>
      <c r="BC332" s="5"/>
      <c r="BD332" s="5"/>
      <c r="BE332" s="63"/>
      <c r="BF332" s="63"/>
      <c r="BG332" s="63"/>
      <c r="CA332" s="256"/>
      <c r="CB332" s="261"/>
      <c r="CC332" s="261"/>
      <c r="CD332" s="261"/>
      <c r="CE332" s="261"/>
      <c r="CF332" s="261"/>
      <c r="CG332" s="53"/>
      <c r="CH332" s="53"/>
      <c r="CI332" s="53"/>
      <c r="CJ332" s="53"/>
      <c r="CK332" s="53"/>
      <c r="CL332" s="53"/>
      <c r="CN332" s="53"/>
      <c r="CO332" s="53"/>
      <c r="CP332" s="53"/>
      <c r="CQ332" s="53"/>
      <c r="CR332" s="53"/>
      <c r="CS332" s="53"/>
      <c r="CT332" s="261"/>
      <c r="CU332" s="261"/>
      <c r="CV332" s="255"/>
      <c r="CW332" s="255"/>
      <c r="CX332" s="261"/>
      <c r="CY332" s="255"/>
    </row>
    <row r="333" spans="1:103" ht="10.25" customHeight="1">
      <c r="A333" s="216"/>
      <c r="B333" s="217"/>
      <c r="C333" s="218"/>
      <c r="D333" s="219"/>
      <c r="E333" s="217"/>
      <c r="F333" s="217"/>
      <c r="G333" s="217"/>
      <c r="H333" s="220"/>
      <c r="I333" s="217"/>
      <c r="J333" s="217"/>
      <c r="K333" s="217"/>
      <c r="L333" s="217"/>
      <c r="M333" s="217"/>
      <c r="N333" s="217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BA333" s="5"/>
      <c r="BB333" s="5"/>
      <c r="BC333" s="5"/>
      <c r="BD333" s="5"/>
      <c r="BE333" s="63"/>
      <c r="BF333" s="63"/>
      <c r="BG333" s="63"/>
      <c r="CA333" s="256"/>
      <c r="CB333" s="261"/>
      <c r="CC333" s="261"/>
      <c r="CD333" s="261"/>
      <c r="CE333" s="261"/>
      <c r="CF333" s="261"/>
      <c r="CG333" s="53"/>
      <c r="CH333" s="53"/>
      <c r="CI333" s="53"/>
      <c r="CJ333" s="53"/>
      <c r="CK333" s="53"/>
      <c r="CL333" s="53"/>
      <c r="CN333" s="53"/>
      <c r="CO333" s="53"/>
      <c r="CP333" s="53"/>
      <c r="CQ333" s="53"/>
      <c r="CR333" s="53"/>
      <c r="CS333" s="53"/>
      <c r="CT333" s="261"/>
      <c r="CU333" s="261"/>
      <c r="CV333" s="261"/>
      <c r="CW333" s="255"/>
      <c r="CX333" s="261"/>
      <c r="CY333" s="255"/>
    </row>
    <row r="334" spans="1:103" ht="10.25" customHeight="1">
      <c r="A334" s="216"/>
      <c r="B334" s="217"/>
      <c r="C334" s="218"/>
      <c r="D334" s="219"/>
      <c r="E334" s="217"/>
      <c r="F334" s="217"/>
      <c r="G334" s="217"/>
      <c r="H334" s="220"/>
      <c r="I334" s="217"/>
      <c r="J334" s="217"/>
      <c r="K334" s="217"/>
      <c r="L334" s="217"/>
      <c r="M334" s="217"/>
      <c r="N334" s="217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BA334" s="5"/>
      <c r="BB334" s="5"/>
      <c r="BC334" s="5"/>
      <c r="BD334" s="5"/>
      <c r="BE334" s="63"/>
      <c r="BF334" s="63"/>
      <c r="BG334" s="63"/>
      <c r="CA334" s="256"/>
      <c r="CB334" s="261"/>
      <c r="CC334" s="261"/>
      <c r="CD334" s="261"/>
      <c r="CE334" s="261"/>
      <c r="CF334" s="261"/>
      <c r="CG334" s="53"/>
      <c r="CH334" s="53"/>
      <c r="CI334" s="53"/>
      <c r="CJ334" s="53"/>
      <c r="CK334" s="53"/>
      <c r="CL334" s="53"/>
      <c r="CN334" s="53"/>
      <c r="CO334" s="53"/>
      <c r="CP334" s="53"/>
      <c r="CQ334" s="53"/>
      <c r="CR334" s="53"/>
      <c r="CS334" s="53"/>
      <c r="CT334" s="261"/>
      <c r="CU334" s="261"/>
      <c r="CV334" s="255"/>
      <c r="CW334" s="255"/>
      <c r="CX334" s="261"/>
      <c r="CY334" s="255"/>
    </row>
    <row r="335" spans="1:103" ht="10.25" customHeight="1">
      <c r="A335" s="216"/>
      <c r="B335" s="217"/>
      <c r="C335" s="218"/>
      <c r="D335" s="219"/>
      <c r="E335" s="217"/>
      <c r="F335" s="217"/>
      <c r="G335" s="217"/>
      <c r="H335" s="220"/>
      <c r="I335" s="217"/>
      <c r="J335" s="217"/>
      <c r="K335" s="217"/>
      <c r="L335" s="217"/>
      <c r="M335" s="217"/>
      <c r="N335" s="217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BA335" s="5"/>
      <c r="BB335" s="5"/>
      <c r="BC335" s="5"/>
      <c r="BD335" s="5"/>
      <c r="BE335" s="63"/>
      <c r="BF335" s="63"/>
      <c r="BG335" s="63"/>
      <c r="CA335" s="256"/>
      <c r="CB335" s="261"/>
      <c r="CC335" s="261"/>
      <c r="CD335" s="261"/>
      <c r="CE335" s="261"/>
      <c r="CF335" s="261"/>
      <c r="CG335" s="53"/>
      <c r="CH335" s="53"/>
      <c r="CI335" s="53"/>
      <c r="CJ335" s="53"/>
      <c r="CK335" s="53"/>
      <c r="CL335" s="53"/>
      <c r="CN335" s="53"/>
      <c r="CO335" s="53"/>
      <c r="CP335" s="53"/>
      <c r="CQ335" s="53"/>
      <c r="CR335" s="53"/>
      <c r="CS335" s="53"/>
      <c r="CT335" s="261"/>
      <c r="CU335" s="261"/>
      <c r="CV335" s="261"/>
      <c r="CW335" s="261"/>
      <c r="CX335" s="261"/>
      <c r="CY335" s="255"/>
    </row>
    <row r="336" spans="1:103" ht="10.25" customHeight="1">
      <c r="A336" s="216"/>
      <c r="B336" s="217"/>
      <c r="C336" s="218"/>
      <c r="D336" s="219"/>
      <c r="E336" s="217"/>
      <c r="F336" s="217"/>
      <c r="G336" s="217"/>
      <c r="H336" s="220"/>
      <c r="I336" s="217"/>
      <c r="J336" s="217"/>
      <c r="K336" s="217"/>
      <c r="L336" s="217"/>
      <c r="M336" s="217"/>
      <c r="N336" s="217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BA336" s="5"/>
      <c r="BB336" s="5"/>
      <c r="BC336" s="5"/>
      <c r="BD336" s="5"/>
      <c r="BE336" s="63"/>
      <c r="BF336" s="63"/>
      <c r="BG336" s="63"/>
      <c r="CA336" s="256"/>
      <c r="CB336" s="261"/>
      <c r="CC336" s="261"/>
      <c r="CD336" s="255"/>
      <c r="CE336" s="261"/>
      <c r="CF336" s="261"/>
      <c r="CG336" s="53"/>
      <c r="CH336" s="53"/>
      <c r="CI336" s="53"/>
      <c r="CJ336" s="53"/>
      <c r="CK336" s="53"/>
      <c r="CL336" s="53"/>
      <c r="CN336" s="53"/>
      <c r="CO336" s="53"/>
      <c r="CP336" s="53"/>
      <c r="CQ336" s="53"/>
      <c r="CR336" s="53"/>
      <c r="CS336" s="53"/>
      <c r="CT336" s="261"/>
      <c r="CU336" s="261"/>
      <c r="CV336" s="261"/>
      <c r="CW336" s="261"/>
      <c r="CX336" s="261"/>
      <c r="CY336" s="255"/>
    </row>
    <row r="337" spans="1:103" ht="10.25" customHeight="1">
      <c r="A337" s="216"/>
      <c r="B337" s="217"/>
      <c r="C337" s="218"/>
      <c r="D337" s="219"/>
      <c r="E337" s="217"/>
      <c r="F337" s="217"/>
      <c r="G337" s="217"/>
      <c r="H337" s="220"/>
      <c r="I337" s="217"/>
      <c r="J337" s="217"/>
      <c r="K337" s="217"/>
      <c r="L337" s="217"/>
      <c r="M337" s="217"/>
      <c r="N337" s="217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BA337" s="5"/>
      <c r="BB337" s="5"/>
      <c r="BC337" s="5"/>
      <c r="BD337" s="5"/>
      <c r="BE337" s="63"/>
      <c r="BF337" s="63"/>
      <c r="BG337" s="63"/>
      <c r="CA337" s="256"/>
      <c r="CB337" s="261"/>
      <c r="CC337" s="261"/>
      <c r="CD337" s="255"/>
      <c r="CE337" s="261"/>
      <c r="CF337" s="261"/>
      <c r="CG337" s="53"/>
      <c r="CH337" s="53"/>
      <c r="CI337" s="53"/>
      <c r="CJ337" s="53"/>
      <c r="CK337" s="53"/>
      <c r="CL337" s="53"/>
      <c r="CN337" s="53"/>
      <c r="CO337" s="53"/>
      <c r="CP337" s="53"/>
      <c r="CQ337" s="53"/>
      <c r="CR337" s="53"/>
      <c r="CS337" s="53"/>
      <c r="CT337" s="261"/>
      <c r="CU337" s="261"/>
      <c r="CV337" s="261"/>
      <c r="CW337" s="261"/>
      <c r="CX337" s="261"/>
      <c r="CY337" s="255"/>
    </row>
    <row r="338" spans="1:103" ht="10.25" customHeight="1">
      <c r="A338" s="216"/>
      <c r="B338" s="217"/>
      <c r="C338" s="218"/>
      <c r="D338" s="219"/>
      <c r="E338" s="217"/>
      <c r="F338" s="217"/>
      <c r="G338" s="217"/>
      <c r="H338" s="220"/>
      <c r="I338" s="217"/>
      <c r="J338" s="217"/>
      <c r="K338" s="217"/>
      <c r="L338" s="217"/>
      <c r="M338" s="217"/>
      <c r="N338" s="217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BA338" s="5"/>
      <c r="BB338" s="5"/>
      <c r="BC338" s="5"/>
      <c r="BD338" s="5"/>
      <c r="BE338" s="63"/>
      <c r="BF338" s="63"/>
      <c r="BG338" s="63"/>
      <c r="CA338" s="256"/>
      <c r="CB338" s="261"/>
      <c r="CC338" s="261"/>
      <c r="CD338" s="255"/>
      <c r="CE338" s="261"/>
      <c r="CF338" s="261"/>
      <c r="CG338" s="53"/>
      <c r="CH338" s="53"/>
      <c r="CI338" s="53"/>
      <c r="CJ338" s="53"/>
      <c r="CK338" s="53"/>
      <c r="CL338" s="53"/>
      <c r="CN338" s="53"/>
      <c r="CO338" s="53"/>
      <c r="CP338" s="53"/>
      <c r="CQ338" s="53"/>
      <c r="CR338" s="53"/>
      <c r="CS338" s="53"/>
      <c r="CT338" s="261"/>
      <c r="CU338" s="261"/>
      <c r="CV338" s="261"/>
      <c r="CW338" s="261"/>
      <c r="CX338" s="261"/>
      <c r="CY338" s="255"/>
    </row>
    <row r="339" spans="1:103" ht="10.25" customHeight="1">
      <c r="A339" s="216"/>
      <c r="B339" s="217"/>
      <c r="C339" s="218"/>
      <c r="D339" s="219"/>
      <c r="E339" s="217"/>
      <c r="F339" s="217"/>
      <c r="G339" s="217"/>
      <c r="H339" s="220"/>
      <c r="I339" s="217"/>
      <c r="J339" s="217"/>
      <c r="K339" s="217"/>
      <c r="L339" s="217"/>
      <c r="M339" s="217"/>
      <c r="N339" s="217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BA339" s="5"/>
      <c r="BB339" s="5"/>
      <c r="BC339" s="5"/>
      <c r="BD339" s="5"/>
      <c r="BE339" s="63"/>
      <c r="BF339" s="63"/>
      <c r="BG339" s="63"/>
      <c r="CA339" s="256"/>
      <c r="CB339" s="261"/>
      <c r="CC339" s="255"/>
      <c r="CD339" s="261"/>
      <c r="CE339" s="261"/>
      <c r="CF339" s="261"/>
      <c r="CG339" s="53"/>
      <c r="CH339" s="53"/>
      <c r="CI339" s="53"/>
      <c r="CJ339" s="53"/>
      <c r="CK339" s="53"/>
      <c r="CL339" s="53"/>
      <c r="CN339" s="53"/>
      <c r="CO339" s="53"/>
      <c r="CP339" s="53"/>
      <c r="CQ339" s="53"/>
      <c r="CR339" s="53"/>
      <c r="CS339" s="53"/>
      <c r="CT339" s="261"/>
      <c r="CU339" s="261"/>
      <c r="CV339" s="261"/>
      <c r="CW339" s="261"/>
      <c r="CX339" s="261"/>
      <c r="CY339" s="255"/>
    </row>
    <row r="340" spans="1:103" ht="10.25" customHeight="1">
      <c r="A340" s="216"/>
      <c r="B340" s="217"/>
      <c r="C340" s="218"/>
      <c r="D340" s="219"/>
      <c r="E340" s="217"/>
      <c r="F340" s="217"/>
      <c r="G340" s="217"/>
      <c r="H340" s="220"/>
      <c r="I340" s="217"/>
      <c r="J340" s="217"/>
      <c r="K340" s="217"/>
      <c r="L340" s="217"/>
      <c r="M340" s="217"/>
      <c r="N340" s="217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BA340" s="5"/>
      <c r="BB340" s="5"/>
      <c r="BC340" s="5"/>
      <c r="BD340" s="5"/>
      <c r="BE340" s="63"/>
      <c r="BF340" s="63"/>
      <c r="BG340" s="63"/>
      <c r="CA340" s="256"/>
      <c r="CB340" s="261"/>
      <c r="CC340" s="255"/>
      <c r="CD340" s="261"/>
      <c r="CE340" s="261"/>
      <c r="CF340" s="261"/>
      <c r="CG340" s="53"/>
      <c r="CH340" s="53"/>
      <c r="CI340" s="53"/>
      <c r="CJ340" s="53"/>
      <c r="CK340" s="53"/>
      <c r="CL340" s="53"/>
      <c r="CN340" s="53"/>
      <c r="CO340" s="53"/>
      <c r="CP340" s="53"/>
      <c r="CQ340" s="53"/>
      <c r="CR340" s="53"/>
      <c r="CS340" s="53"/>
      <c r="CT340" s="261"/>
      <c r="CU340" s="261"/>
      <c r="CV340" s="261"/>
      <c r="CW340" s="261"/>
      <c r="CX340" s="261"/>
      <c r="CY340" s="255"/>
    </row>
    <row r="341" spans="1:103" ht="10.25" customHeight="1">
      <c r="A341" s="371"/>
      <c r="B341" s="371"/>
      <c r="C341" s="371"/>
      <c r="D341" s="269"/>
      <c r="L341" s="269"/>
      <c r="M341" s="269"/>
      <c r="N341" s="269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  <c r="AP341" s="63"/>
      <c r="AQ341" s="63"/>
      <c r="CA341" s="256"/>
      <c r="CB341" s="261"/>
      <c r="CC341" s="255"/>
      <c r="CD341" s="261"/>
      <c r="CE341" s="261"/>
      <c r="CF341" s="261"/>
      <c r="CG341" s="261"/>
      <c r="CH341" s="261"/>
      <c r="CI341" s="261"/>
      <c r="CJ341" s="261"/>
      <c r="CK341" s="261"/>
      <c r="CL341" s="255"/>
      <c r="CN341" s="256"/>
      <c r="CO341" s="256"/>
      <c r="CP341" s="261"/>
      <c r="CQ341" s="261"/>
      <c r="CR341" s="255"/>
      <c r="CS341" s="261"/>
      <c r="CT341" s="261"/>
      <c r="CU341" s="261"/>
      <c r="CV341" s="261"/>
      <c r="CW341" s="261"/>
      <c r="CX341" s="261"/>
      <c r="CY341" s="255"/>
    </row>
    <row r="342" spans="1:103" ht="12.65" customHeight="1">
      <c r="A342" s="270"/>
      <c r="C342" s="271"/>
      <c r="D342" s="372"/>
      <c r="E342" s="372"/>
      <c r="F342" s="272"/>
      <c r="G342" s="272"/>
      <c r="H342" s="273"/>
      <c r="L342" s="269"/>
      <c r="M342" s="269"/>
      <c r="N342" s="269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  <c r="AP342" s="63"/>
      <c r="AQ342" s="63"/>
      <c r="CA342" s="256"/>
      <c r="CB342" s="261"/>
      <c r="CC342" s="255"/>
      <c r="CD342" s="261"/>
      <c r="CE342" s="261"/>
      <c r="CF342" s="261"/>
      <c r="CG342" s="261"/>
      <c r="CH342" s="261"/>
      <c r="CI342" s="261"/>
      <c r="CJ342" s="261"/>
      <c r="CK342" s="255"/>
      <c r="CL342" s="255"/>
      <c r="CN342" s="256"/>
      <c r="CO342" s="256"/>
      <c r="CP342" s="261"/>
      <c r="CQ342" s="261"/>
      <c r="CR342" s="255"/>
      <c r="CS342" s="261"/>
      <c r="CT342" s="261"/>
      <c r="CU342" s="261"/>
      <c r="CV342" s="261"/>
      <c r="CW342" s="261"/>
      <c r="CX342" s="255"/>
      <c r="CY342" s="255"/>
    </row>
    <row r="343" spans="1:103" ht="10.25" customHeight="1">
      <c r="A343" s="270"/>
      <c r="D343" s="372"/>
      <c r="E343" s="372"/>
      <c r="F343" s="272"/>
      <c r="G343" s="272"/>
      <c r="H343" s="273"/>
      <c r="L343" s="269"/>
      <c r="M343" s="269"/>
      <c r="N343" s="269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3"/>
      <c r="AP343" s="63"/>
      <c r="AQ343" s="63"/>
      <c r="CA343" s="256"/>
      <c r="CB343" s="261"/>
      <c r="CC343" s="255"/>
      <c r="CD343" s="261"/>
      <c r="CE343" s="261"/>
      <c r="CF343" s="261"/>
      <c r="CG343" s="261"/>
      <c r="CH343" s="261"/>
      <c r="CI343" s="261"/>
      <c r="CJ343" s="261"/>
      <c r="CK343" s="261"/>
      <c r="CL343" s="255"/>
      <c r="CN343" s="256"/>
      <c r="CO343" s="256"/>
      <c r="CP343" s="261"/>
      <c r="CQ343" s="261"/>
      <c r="CR343" s="255"/>
      <c r="CS343" s="261"/>
      <c r="CT343" s="261"/>
      <c r="CU343" s="261"/>
      <c r="CV343" s="261"/>
      <c r="CW343" s="261"/>
      <c r="CX343" s="261"/>
      <c r="CY343" s="255"/>
    </row>
    <row r="344" spans="1:103" ht="10.25" customHeight="1">
      <c r="C344" s="270"/>
      <c r="D344" s="274"/>
      <c r="E344" s="214"/>
      <c r="F344" s="272"/>
      <c r="G344" s="272"/>
      <c r="H344" s="272"/>
      <c r="I344" s="273"/>
      <c r="J344" s="273"/>
      <c r="K344" s="273"/>
      <c r="L344" s="275"/>
      <c r="M344" s="269"/>
      <c r="N344" s="269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  <c r="AN344" s="63"/>
      <c r="AO344" s="63"/>
      <c r="AP344" s="63"/>
      <c r="AQ344" s="63"/>
      <c r="CA344" s="256"/>
      <c r="CB344" s="261"/>
      <c r="CC344" s="255"/>
      <c r="CD344" s="261"/>
      <c r="CE344" s="261"/>
      <c r="CF344" s="261"/>
      <c r="CG344" s="261"/>
      <c r="CH344" s="261"/>
      <c r="CI344" s="261"/>
      <c r="CJ344" s="261"/>
      <c r="CK344" s="261"/>
      <c r="CL344" s="255"/>
      <c r="CN344" s="256"/>
      <c r="CO344" s="256"/>
      <c r="CP344" s="261"/>
      <c r="CQ344" s="261"/>
      <c r="CR344" s="255"/>
      <c r="CS344" s="261"/>
      <c r="CT344" s="261"/>
      <c r="CU344" s="261"/>
      <c r="CV344" s="261"/>
      <c r="CW344" s="261"/>
      <c r="CX344" s="261"/>
      <c r="CY344" s="255"/>
    </row>
    <row r="345" spans="1:103" ht="10.25" customHeight="1">
      <c r="A345" s="270"/>
      <c r="D345" s="372"/>
      <c r="E345" s="372"/>
      <c r="F345" s="272"/>
      <c r="G345" s="272"/>
      <c r="H345" s="272"/>
      <c r="I345" s="273"/>
      <c r="J345" s="273"/>
      <c r="K345" s="273"/>
      <c r="L345" s="275"/>
      <c r="M345" s="269"/>
      <c r="N345" s="269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  <c r="AO345" s="63"/>
      <c r="AP345" s="63"/>
      <c r="AQ345" s="63"/>
      <c r="CA345" s="256"/>
      <c r="CB345" s="261"/>
      <c r="CC345" s="255"/>
      <c r="CD345" s="261"/>
      <c r="CE345" s="261"/>
      <c r="CF345" s="261"/>
      <c r="CG345" s="261"/>
      <c r="CH345" s="261"/>
      <c r="CI345" s="255"/>
      <c r="CJ345" s="255"/>
      <c r="CK345" s="261"/>
      <c r="CL345" s="255"/>
      <c r="CN345" s="256"/>
      <c r="CO345" s="256"/>
      <c r="CP345" s="261"/>
      <c r="CQ345" s="261"/>
      <c r="CR345" s="255"/>
      <c r="CS345" s="261"/>
      <c r="CT345" s="261"/>
      <c r="CU345" s="261"/>
      <c r="CV345" s="261"/>
      <c r="CW345" s="255"/>
      <c r="CX345" s="261"/>
      <c r="CY345" s="255"/>
    </row>
    <row r="346" spans="1:103" ht="10.25" customHeight="1">
      <c r="A346" s="270"/>
      <c r="D346" s="372"/>
      <c r="E346" s="372"/>
      <c r="F346" s="272"/>
      <c r="G346" s="272"/>
      <c r="H346" s="272"/>
      <c r="I346" s="273"/>
      <c r="J346" s="273"/>
      <c r="K346" s="273"/>
      <c r="L346" s="275"/>
      <c r="M346" s="269"/>
      <c r="N346" s="269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  <c r="AO346" s="63"/>
      <c r="AP346" s="63"/>
      <c r="AQ346" s="63"/>
      <c r="CA346" s="256"/>
      <c r="CB346" s="261"/>
      <c r="CC346" s="255"/>
      <c r="CD346" s="261"/>
      <c r="CE346" s="261"/>
      <c r="CF346" s="261"/>
      <c r="CG346" s="255"/>
      <c r="CH346" s="255"/>
      <c r="CI346" s="261"/>
      <c r="CJ346" s="261"/>
      <c r="CK346" s="261"/>
      <c r="CL346" s="255"/>
      <c r="CN346" s="256"/>
      <c r="CO346" s="256"/>
      <c r="CP346" s="261"/>
      <c r="CQ346" s="261"/>
      <c r="CR346" s="255"/>
      <c r="CS346" s="261"/>
      <c r="CT346" s="261"/>
      <c r="CU346" s="261"/>
      <c r="CV346" s="255"/>
      <c r="CW346" s="261"/>
      <c r="CX346" s="261"/>
      <c r="CY346" s="255"/>
    </row>
    <row r="347" spans="1:103" ht="10.25" customHeight="1">
      <c r="A347" s="270"/>
      <c r="D347" s="372"/>
      <c r="E347" s="372"/>
      <c r="F347" s="272"/>
      <c r="G347" s="272"/>
      <c r="H347" s="272"/>
      <c r="I347" s="273"/>
      <c r="J347" s="273"/>
      <c r="K347" s="273"/>
      <c r="L347" s="275"/>
      <c r="M347" s="269"/>
      <c r="N347" s="269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3"/>
      <c r="AP347" s="63"/>
      <c r="AQ347" s="63"/>
      <c r="CA347" s="256"/>
      <c r="CB347" s="261"/>
      <c r="CC347" s="255"/>
      <c r="CD347" s="261"/>
      <c r="CE347" s="261"/>
      <c r="CF347" s="261"/>
      <c r="CG347" s="255"/>
      <c r="CH347" s="255"/>
      <c r="CI347" s="261"/>
      <c r="CJ347" s="261"/>
      <c r="CK347" s="261"/>
      <c r="CL347" s="255"/>
      <c r="CN347" s="256"/>
      <c r="CO347" s="256"/>
      <c r="CP347" s="261"/>
      <c r="CQ347" s="261"/>
      <c r="CR347" s="255"/>
      <c r="CS347" s="261"/>
      <c r="CT347" s="261"/>
      <c r="CU347" s="261"/>
      <c r="CV347" s="255"/>
      <c r="CW347" s="261"/>
      <c r="CX347" s="261"/>
      <c r="CY347" s="255"/>
    </row>
    <row r="348" spans="1:103" ht="10.25" customHeight="1">
      <c r="A348" s="270"/>
      <c r="D348" s="372"/>
      <c r="E348" s="372"/>
      <c r="F348" s="272"/>
      <c r="G348" s="272"/>
      <c r="H348" s="272"/>
      <c r="I348" s="375"/>
      <c r="J348" s="375"/>
      <c r="K348" s="375"/>
      <c r="L348" s="375"/>
      <c r="M348" s="269"/>
      <c r="N348" s="269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  <c r="AN348" s="63"/>
      <c r="AO348" s="63"/>
      <c r="AP348" s="63"/>
      <c r="AQ348" s="63"/>
      <c r="CA348" s="256"/>
      <c r="CB348" s="261"/>
      <c r="CC348" s="255"/>
      <c r="CD348" s="261"/>
      <c r="CE348" s="261"/>
      <c r="CF348" s="261"/>
      <c r="CG348" s="261"/>
      <c r="CH348" s="261"/>
      <c r="CI348" s="261"/>
      <c r="CJ348" s="261"/>
      <c r="CK348" s="261"/>
      <c r="CL348" s="255"/>
      <c r="CN348" s="256"/>
      <c r="CO348" s="256"/>
      <c r="CP348" s="261"/>
      <c r="CQ348" s="261"/>
      <c r="CR348" s="255"/>
      <c r="CS348" s="261"/>
      <c r="CT348" s="261"/>
      <c r="CU348" s="261"/>
      <c r="CV348" s="261"/>
      <c r="CW348" s="261"/>
      <c r="CX348" s="261"/>
      <c r="CY348" s="255"/>
    </row>
    <row r="349" spans="1:103" ht="10.25" customHeight="1">
      <c r="A349" s="270"/>
      <c r="D349" s="372"/>
      <c r="E349" s="372"/>
      <c r="H349" s="209"/>
      <c r="I349" s="213"/>
      <c r="J349" s="213"/>
      <c r="K349" s="213"/>
      <c r="L349" s="213"/>
      <c r="M349" s="213"/>
      <c r="N349" s="213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CA349" s="256"/>
      <c r="CB349" s="261"/>
      <c r="CC349" s="255"/>
      <c r="CD349" s="261"/>
      <c r="CE349" s="261"/>
      <c r="CF349" s="261"/>
      <c r="CG349" s="261"/>
      <c r="CH349" s="261"/>
      <c r="CI349" s="261"/>
      <c r="CJ349" s="261"/>
      <c r="CK349" s="261"/>
      <c r="CL349" s="255"/>
      <c r="CN349" s="256"/>
      <c r="CO349" s="256"/>
      <c r="CP349" s="261"/>
      <c r="CQ349" s="261"/>
      <c r="CR349" s="255"/>
      <c r="CS349" s="261"/>
      <c r="CT349" s="261"/>
      <c r="CU349" s="261"/>
      <c r="CV349" s="261"/>
      <c r="CW349" s="261"/>
      <c r="CX349" s="261"/>
      <c r="CY349" s="255"/>
    </row>
    <row r="350" spans="1:103" ht="10.25" customHeight="1">
      <c r="A350" s="270"/>
      <c r="C350" s="269"/>
      <c r="D350" s="275"/>
      <c r="E350" s="275"/>
      <c r="F350" s="209"/>
      <c r="G350" s="209"/>
      <c r="H350" s="209"/>
      <c r="I350" s="209"/>
      <c r="J350" s="209"/>
      <c r="K350" s="209"/>
      <c r="L350" s="376"/>
      <c r="M350" s="376"/>
      <c r="N350" s="279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51"/>
      <c r="AM350" s="51"/>
      <c r="AN350" s="51"/>
      <c r="AO350" s="51"/>
      <c r="AP350" s="51"/>
      <c r="AQ350" s="51"/>
      <c r="CA350" s="256"/>
      <c r="CB350" s="261"/>
      <c r="CC350" s="255"/>
      <c r="CD350" s="261"/>
      <c r="CE350" s="261"/>
      <c r="CF350" s="261"/>
      <c r="CG350" s="261"/>
      <c r="CH350" s="261"/>
      <c r="CI350" s="261"/>
      <c r="CJ350" s="261"/>
      <c r="CK350" s="261"/>
      <c r="CL350" s="255"/>
      <c r="CN350" s="256"/>
      <c r="CO350" s="256"/>
      <c r="CP350" s="261"/>
      <c r="CQ350" s="261"/>
      <c r="CR350" s="255"/>
      <c r="CS350" s="261"/>
      <c r="CT350" s="261"/>
      <c r="CU350" s="261"/>
      <c r="CV350" s="261"/>
      <c r="CW350" s="261"/>
      <c r="CX350" s="261"/>
      <c r="CY350" s="255"/>
    </row>
    <row r="351" spans="1:103" ht="10.25" customHeight="1">
      <c r="A351" s="270"/>
      <c r="C351" s="269"/>
      <c r="D351" s="269"/>
      <c r="F351" s="209"/>
      <c r="G351" s="209"/>
      <c r="H351" s="276"/>
      <c r="I351" s="276"/>
      <c r="J351" s="276"/>
      <c r="K351" s="276"/>
      <c r="L351" s="374"/>
      <c r="M351" s="374"/>
      <c r="N351" s="213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CA351" s="256"/>
      <c r="CB351" s="261"/>
      <c r="CC351" s="255"/>
      <c r="CD351" s="261"/>
      <c r="CE351" s="261"/>
      <c r="CF351" s="261"/>
      <c r="CG351" s="261"/>
      <c r="CH351" s="261"/>
      <c r="CI351" s="261"/>
      <c r="CJ351" s="261"/>
      <c r="CK351" s="261"/>
      <c r="CL351" s="255"/>
      <c r="CN351" s="256"/>
      <c r="CO351" s="256"/>
      <c r="CP351" s="261"/>
      <c r="CQ351" s="261"/>
      <c r="CR351" s="255"/>
      <c r="CS351" s="261"/>
      <c r="CT351" s="261"/>
      <c r="CU351" s="261"/>
      <c r="CV351" s="261"/>
      <c r="CW351" s="261"/>
      <c r="CX351" s="261"/>
      <c r="CY351" s="255"/>
    </row>
    <row r="352" spans="1:103" ht="10.25" customHeight="1">
      <c r="A352" s="270"/>
      <c r="D352" s="269"/>
      <c r="F352" s="208"/>
      <c r="G352" s="208"/>
      <c r="H352" s="277"/>
      <c r="I352" s="277"/>
      <c r="J352" s="277"/>
      <c r="K352" s="277"/>
      <c r="L352" s="372"/>
      <c r="M352" s="372"/>
      <c r="N352" s="214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CA352" s="256"/>
      <c r="CB352" s="261"/>
      <c r="CC352" s="255"/>
      <c r="CD352" s="261"/>
      <c r="CE352" s="261"/>
      <c r="CF352" s="261"/>
      <c r="CG352" s="261"/>
      <c r="CH352" s="261"/>
      <c r="CI352" s="261"/>
      <c r="CJ352" s="261"/>
      <c r="CK352" s="261"/>
      <c r="CL352" s="255"/>
      <c r="CN352" s="256"/>
      <c r="CO352" s="256"/>
      <c r="CP352" s="261"/>
      <c r="CQ352" s="261"/>
      <c r="CR352" s="255"/>
      <c r="CS352" s="261"/>
      <c r="CT352" s="261"/>
      <c r="CU352" s="261"/>
      <c r="CV352" s="261"/>
      <c r="CW352" s="261"/>
      <c r="CX352" s="261"/>
      <c r="CY352" s="255"/>
    </row>
    <row r="353" spans="1:103" ht="10.25" customHeight="1">
      <c r="CA353" s="256"/>
      <c r="CB353" s="261"/>
      <c r="CC353" s="255"/>
      <c r="CD353" s="261"/>
      <c r="CE353" s="261"/>
      <c r="CF353" s="255"/>
      <c r="CG353" s="261"/>
      <c r="CH353" s="261"/>
      <c r="CI353" s="261"/>
      <c r="CJ353" s="261"/>
      <c r="CK353" s="261"/>
      <c r="CL353" s="255"/>
      <c r="CN353" s="256"/>
      <c r="CO353" s="256"/>
      <c r="CP353" s="261"/>
      <c r="CQ353" s="261"/>
      <c r="CR353" s="255"/>
      <c r="CS353" s="261"/>
      <c r="CT353" s="261"/>
      <c r="CU353" s="255"/>
      <c r="CV353" s="261"/>
      <c r="CW353" s="261"/>
      <c r="CX353" s="261"/>
      <c r="CY353" s="255"/>
    </row>
    <row r="354" spans="1:103" ht="10.25" customHeight="1">
      <c r="C354" s="278"/>
      <c r="CA354" s="256"/>
      <c r="CB354" s="261"/>
      <c r="CC354" s="255"/>
      <c r="CD354" s="261"/>
      <c r="CE354" s="261"/>
      <c r="CF354" s="255"/>
      <c r="CG354" s="261"/>
      <c r="CH354" s="261"/>
      <c r="CI354" s="261"/>
      <c r="CJ354" s="261"/>
      <c r="CK354" s="261"/>
      <c r="CL354" s="255"/>
      <c r="CN354" s="256"/>
      <c r="CO354" s="256"/>
      <c r="CP354" s="261"/>
      <c r="CQ354" s="261"/>
      <c r="CR354" s="255"/>
      <c r="CS354" s="261"/>
      <c r="CT354" s="261"/>
      <c r="CU354" s="255"/>
      <c r="CV354" s="261"/>
      <c r="CW354" s="261"/>
      <c r="CX354" s="261"/>
      <c r="CY354" s="255"/>
    </row>
    <row r="355" spans="1:103" ht="10.25" customHeight="1">
      <c r="C355" s="278"/>
      <c r="F355" s="377"/>
      <c r="G355" s="377"/>
      <c r="H355" s="377"/>
      <c r="I355" s="377"/>
      <c r="J355" s="377"/>
      <c r="K355" s="377"/>
      <c r="L355" s="377"/>
      <c r="M355" s="377"/>
      <c r="N355" s="269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3"/>
      <c r="AP355" s="63"/>
      <c r="AQ355" s="63"/>
      <c r="CA355" s="256"/>
      <c r="CB355" s="261"/>
      <c r="CC355" s="255"/>
      <c r="CD355" s="261"/>
      <c r="CE355" s="261"/>
      <c r="CF355" s="255"/>
      <c r="CG355" s="261"/>
      <c r="CH355" s="261"/>
      <c r="CI355" s="261"/>
      <c r="CJ355" s="261"/>
      <c r="CK355" s="261"/>
      <c r="CL355" s="255"/>
      <c r="CN355" s="256"/>
      <c r="CO355" s="256"/>
      <c r="CP355" s="261"/>
      <c r="CQ355" s="261"/>
      <c r="CR355" s="255"/>
      <c r="CS355" s="261"/>
      <c r="CT355" s="261"/>
      <c r="CU355" s="255"/>
      <c r="CV355" s="261"/>
      <c r="CW355" s="261"/>
      <c r="CX355" s="261"/>
      <c r="CY355" s="255"/>
    </row>
    <row r="356" spans="1:103" ht="10.4" customHeight="1">
      <c r="C356" s="278"/>
      <c r="F356" s="377"/>
      <c r="G356" s="377"/>
      <c r="H356" s="377"/>
      <c r="I356" s="377"/>
      <c r="J356" s="377"/>
      <c r="K356" s="377"/>
      <c r="L356" s="377"/>
      <c r="M356" s="377"/>
      <c r="N356" s="269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  <c r="AP356" s="63"/>
      <c r="AQ356" s="63"/>
      <c r="AS356" s="236"/>
      <c r="BE356" s="63"/>
      <c r="BF356" s="63"/>
      <c r="BG356" s="63"/>
      <c r="BK356" s="317"/>
      <c r="BL356" s="5"/>
      <c r="BM356" s="5"/>
      <c r="BN356" s="5"/>
      <c r="BO356" s="5"/>
      <c r="BP356" s="5"/>
      <c r="BQ356" s="5"/>
      <c r="BR356" s="5"/>
      <c r="BS356" s="5"/>
      <c r="BT356" s="5"/>
      <c r="BV356" s="317"/>
      <c r="CF356" s="5"/>
      <c r="CG356" s="5"/>
      <c r="CH356" s="5"/>
      <c r="CI356" s="5"/>
      <c r="CJ356" s="5"/>
      <c r="CK356" s="5"/>
      <c r="CL356" s="5"/>
    </row>
    <row r="357" spans="1:103" ht="10.25" customHeight="1">
      <c r="A357" s="377"/>
      <c r="B357" s="377"/>
      <c r="C357" s="377"/>
      <c r="D357" s="377"/>
      <c r="E357" s="377"/>
      <c r="F357" s="377"/>
      <c r="G357" s="377"/>
      <c r="H357" s="377"/>
      <c r="I357" s="377"/>
      <c r="J357" s="377"/>
      <c r="K357" s="377"/>
      <c r="L357" s="377"/>
      <c r="M357" s="377"/>
      <c r="N357" s="269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3"/>
      <c r="AP357" s="63"/>
      <c r="AQ357" s="63"/>
      <c r="BE357" s="63"/>
      <c r="BF357" s="63"/>
      <c r="BG357" s="63"/>
      <c r="BK357" s="317"/>
      <c r="BL357" s="5"/>
      <c r="BM357" s="5"/>
      <c r="BN357" s="5"/>
      <c r="BO357" s="5"/>
      <c r="BP357" s="5"/>
      <c r="BQ357" s="5"/>
      <c r="BR357" s="5"/>
      <c r="BS357" s="5"/>
      <c r="BT357" s="5"/>
      <c r="BV357" s="317"/>
      <c r="CF357" s="5"/>
      <c r="CG357" s="5"/>
      <c r="CH357" s="5"/>
      <c r="CI357" s="5"/>
      <c r="CJ357" s="5"/>
      <c r="CK357" s="5"/>
      <c r="CL357" s="5"/>
    </row>
    <row r="358" spans="1:103" ht="10.25" customHeight="1">
      <c r="A358" s="376"/>
      <c r="B358" s="376"/>
      <c r="C358" s="376"/>
      <c r="D358" s="376"/>
      <c r="E358" s="376"/>
      <c r="F358" s="376"/>
      <c r="G358" s="376"/>
      <c r="H358" s="376"/>
      <c r="I358" s="376"/>
      <c r="J358" s="376"/>
      <c r="K358" s="376"/>
      <c r="L358" s="376"/>
      <c r="M358" s="376"/>
      <c r="N358" s="279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  <c r="AN358" s="51"/>
      <c r="AO358" s="51"/>
      <c r="AP358" s="51"/>
      <c r="AQ358" s="51"/>
      <c r="BE358" s="63"/>
      <c r="BF358" s="63"/>
      <c r="BG358" s="63"/>
      <c r="BK358" s="317"/>
      <c r="BL358" s="5"/>
      <c r="BM358" s="5"/>
      <c r="BN358" s="5"/>
      <c r="BO358" s="5"/>
      <c r="BP358" s="5"/>
      <c r="BQ358" s="5"/>
      <c r="BR358" s="5"/>
      <c r="BS358" s="5"/>
      <c r="BT358" s="5"/>
      <c r="BV358" s="317"/>
      <c r="CF358" s="5"/>
      <c r="CG358" s="5"/>
      <c r="CH358" s="5"/>
      <c r="CI358" s="5"/>
      <c r="CJ358" s="5"/>
      <c r="CK358" s="5"/>
      <c r="CL358" s="5"/>
    </row>
    <row r="359" spans="1:103" ht="10.25" customHeight="1">
      <c r="A359" s="374"/>
      <c r="B359" s="374"/>
      <c r="C359" s="374"/>
      <c r="D359" s="374"/>
      <c r="E359" s="374"/>
      <c r="F359" s="374"/>
      <c r="G359" s="374"/>
      <c r="H359" s="374"/>
      <c r="I359" s="374"/>
      <c r="J359" s="374"/>
      <c r="K359" s="374"/>
      <c r="L359" s="374"/>
      <c r="M359" s="374"/>
      <c r="N359" s="213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BE359" s="63"/>
      <c r="BF359" s="63"/>
      <c r="BG359" s="63"/>
      <c r="BK359" s="317"/>
      <c r="BL359" s="5"/>
      <c r="BM359" s="5"/>
      <c r="BN359" s="5"/>
      <c r="BO359" s="5"/>
      <c r="BP359" s="5"/>
      <c r="BQ359" s="5"/>
      <c r="BR359" s="5"/>
      <c r="BS359" s="5"/>
      <c r="BT359" s="5"/>
      <c r="BV359" s="317"/>
      <c r="CF359" s="5"/>
      <c r="CG359" s="5"/>
      <c r="CH359" s="5"/>
      <c r="CI359" s="5"/>
      <c r="CJ359" s="5"/>
      <c r="CK359" s="5"/>
      <c r="CL359" s="5"/>
    </row>
    <row r="360" spans="1:103" ht="6" customHeight="1">
      <c r="A360" s="208"/>
      <c r="B360" s="209"/>
      <c r="C360" s="209"/>
      <c r="D360" s="209"/>
      <c r="E360" s="209"/>
      <c r="F360" s="280"/>
      <c r="G360" s="280"/>
      <c r="H360" s="280"/>
      <c r="I360" s="280"/>
      <c r="J360" s="280"/>
      <c r="K360" s="280"/>
      <c r="L360" s="280"/>
      <c r="M360" s="280"/>
      <c r="N360" s="280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42"/>
      <c r="AQ360" s="42"/>
      <c r="BK360" s="317"/>
      <c r="BL360" s="5"/>
      <c r="BM360" s="5"/>
      <c r="BN360" s="5"/>
      <c r="BO360" s="5"/>
      <c r="BP360" s="5"/>
      <c r="BQ360" s="5"/>
      <c r="BR360" s="5"/>
      <c r="BS360" s="5"/>
      <c r="BT360" s="5"/>
      <c r="BV360" s="317"/>
      <c r="CF360" s="5"/>
      <c r="CG360" s="5"/>
      <c r="CH360" s="5"/>
      <c r="CI360" s="5"/>
      <c r="CJ360" s="5"/>
      <c r="CK360" s="5"/>
      <c r="CL360" s="5"/>
    </row>
    <row r="361" spans="1:103" ht="10.25" customHeight="1">
      <c r="A361" s="208"/>
      <c r="B361" s="209"/>
      <c r="C361" s="209"/>
      <c r="D361" s="210"/>
      <c r="E361" s="211"/>
      <c r="F361" s="369"/>
      <c r="G361" s="369"/>
      <c r="H361" s="369"/>
      <c r="I361" s="369"/>
      <c r="J361" s="369"/>
      <c r="K361" s="369"/>
      <c r="L361" s="369"/>
      <c r="M361" s="230"/>
      <c r="N361" s="230"/>
      <c r="O361" s="235"/>
      <c r="P361" s="235"/>
      <c r="Q361" s="235"/>
      <c r="R361" s="235"/>
      <c r="S361" s="235"/>
      <c r="T361" s="235"/>
      <c r="U361" s="235"/>
      <c r="V361" s="235"/>
      <c r="W361" s="235"/>
      <c r="X361" s="235"/>
      <c r="Y361" s="235"/>
      <c r="Z361" s="235"/>
      <c r="AA361" s="235"/>
      <c r="AB361" s="235"/>
      <c r="AC361" s="235"/>
      <c r="AD361" s="235"/>
      <c r="AE361" s="235"/>
      <c r="AF361" s="235"/>
      <c r="AG361" s="235"/>
      <c r="AH361" s="235"/>
      <c r="AI361" s="235"/>
      <c r="AJ361" s="235"/>
      <c r="AK361" s="235"/>
      <c r="AL361" s="235"/>
      <c r="AM361" s="235"/>
      <c r="AN361" s="235"/>
      <c r="AO361" s="235"/>
      <c r="AP361" s="235"/>
      <c r="AQ361" s="235"/>
      <c r="BK361" s="317"/>
      <c r="BL361" s="5"/>
      <c r="BM361" s="5"/>
      <c r="BN361" s="5"/>
      <c r="BO361" s="5"/>
      <c r="BP361" s="5"/>
      <c r="BQ361" s="5"/>
      <c r="BR361" s="5"/>
      <c r="BS361" s="5"/>
      <c r="BT361" s="5"/>
      <c r="BV361" s="317"/>
      <c r="CF361" s="5"/>
      <c r="CG361" s="5"/>
      <c r="CH361" s="5"/>
      <c r="CI361" s="5"/>
      <c r="CJ361" s="5"/>
      <c r="CK361" s="5"/>
      <c r="CL361" s="5"/>
    </row>
    <row r="362" spans="1:103" ht="2" customHeight="1">
      <c r="A362" s="209"/>
      <c r="B362" s="209"/>
      <c r="C362" s="212"/>
      <c r="D362" s="213"/>
      <c r="E362" s="209"/>
      <c r="F362" s="209"/>
      <c r="G362" s="209"/>
      <c r="H362" s="209"/>
      <c r="I362" s="209"/>
      <c r="J362" s="209"/>
      <c r="K362" s="209"/>
      <c r="L362" s="209"/>
      <c r="M362" s="209"/>
      <c r="N362" s="209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6"/>
      <c r="BK362" s="317"/>
      <c r="BL362" s="5"/>
      <c r="BM362" s="5"/>
      <c r="BN362" s="5"/>
      <c r="BO362" s="5"/>
      <c r="BP362" s="5"/>
      <c r="BQ362" s="5"/>
      <c r="BR362" s="5"/>
      <c r="BS362" s="5"/>
      <c r="BT362" s="5"/>
      <c r="BV362" s="317"/>
      <c r="CF362" s="5"/>
      <c r="CG362" s="5"/>
      <c r="CH362" s="5"/>
      <c r="CI362" s="5"/>
      <c r="CJ362" s="5"/>
      <c r="CK362" s="5"/>
      <c r="CL362" s="5"/>
    </row>
    <row r="363" spans="1:103" ht="26.4" customHeight="1">
      <c r="A363" s="374"/>
      <c r="B363" s="374"/>
      <c r="C363" s="374"/>
      <c r="D363" s="372"/>
      <c r="E363" s="373"/>
      <c r="F363" s="370"/>
      <c r="G363" s="215"/>
      <c r="H363" s="373"/>
      <c r="I363" s="370"/>
      <c r="J363" s="370"/>
      <c r="K363" s="370"/>
      <c r="L363" s="373"/>
      <c r="M363" s="374"/>
      <c r="N363" s="213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BK363" s="317"/>
      <c r="BL363" s="5"/>
      <c r="BM363" s="5"/>
      <c r="BN363" s="5"/>
      <c r="BO363" s="5"/>
      <c r="BP363" s="5"/>
      <c r="BQ363" s="5"/>
      <c r="BR363" s="5"/>
      <c r="BS363" s="5"/>
      <c r="BT363" s="5"/>
      <c r="BV363" s="317"/>
      <c r="CF363" s="5"/>
      <c r="CG363" s="5"/>
      <c r="CH363" s="5"/>
      <c r="CI363" s="5"/>
      <c r="CJ363" s="5"/>
      <c r="CK363" s="5"/>
      <c r="CL363" s="5"/>
    </row>
    <row r="364" spans="1:103" ht="9.65" customHeight="1">
      <c r="A364" s="374"/>
      <c r="B364" s="374"/>
      <c r="C364" s="374"/>
      <c r="D364" s="372"/>
      <c r="E364" s="373"/>
      <c r="F364" s="370"/>
      <c r="G364" s="215"/>
      <c r="H364" s="373"/>
      <c r="I364" s="233"/>
      <c r="J364" s="233"/>
      <c r="K364" s="233"/>
      <c r="L364" s="373"/>
      <c r="M364" s="374"/>
      <c r="N364" s="213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BK364" s="317"/>
      <c r="BL364" s="5"/>
      <c r="BM364" s="5"/>
      <c r="BN364" s="5"/>
      <c r="BO364" s="5"/>
      <c r="BP364" s="5"/>
      <c r="BQ364" s="5"/>
      <c r="BR364" s="5"/>
      <c r="BS364" s="5"/>
      <c r="BT364" s="5"/>
      <c r="BV364" s="317"/>
      <c r="CF364" s="5"/>
      <c r="CG364" s="5"/>
      <c r="CH364" s="5"/>
      <c r="CI364" s="5"/>
      <c r="CJ364" s="5"/>
      <c r="CK364" s="5"/>
      <c r="CL364" s="5"/>
    </row>
    <row r="365" spans="1:103" ht="10.25" customHeight="1">
      <c r="A365" s="216"/>
      <c r="B365" s="217"/>
      <c r="C365" s="218"/>
      <c r="D365" s="219"/>
      <c r="E365" s="217"/>
      <c r="F365" s="217"/>
      <c r="G365" s="217"/>
      <c r="H365" s="220"/>
      <c r="I365" s="217"/>
      <c r="J365" s="217"/>
      <c r="K365" s="217"/>
      <c r="L365" s="217"/>
      <c r="M365" s="217"/>
      <c r="N365" s="217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BA365" s="5"/>
      <c r="BB365" s="5"/>
      <c r="BC365" s="5"/>
      <c r="BD365" s="5"/>
      <c r="BE365" s="63"/>
      <c r="BF365" s="63"/>
      <c r="BG365" s="63"/>
      <c r="BK365" s="317"/>
      <c r="BL365" s="5"/>
      <c r="BM365" s="5"/>
      <c r="BN365" s="5"/>
      <c r="BO365" s="5"/>
      <c r="BP365" s="5"/>
      <c r="BQ365" s="5"/>
      <c r="BR365" s="5"/>
      <c r="BS365" s="5"/>
      <c r="BT365" s="5"/>
      <c r="BV365" s="317"/>
      <c r="CF365" s="5"/>
      <c r="CG365" s="53"/>
      <c r="CH365" s="53"/>
      <c r="CI365" s="53"/>
      <c r="CJ365" s="53"/>
      <c r="CK365" s="53"/>
      <c r="CL365" s="53"/>
      <c r="CN365" s="53"/>
      <c r="CO365" s="53"/>
      <c r="CP365" s="53"/>
      <c r="CQ365" s="53"/>
      <c r="CR365" s="53"/>
      <c r="CS365" s="53"/>
    </row>
    <row r="366" spans="1:103" ht="10.25" customHeight="1">
      <c r="A366" s="216"/>
      <c r="B366" s="217"/>
      <c r="C366" s="218"/>
      <c r="D366" s="219"/>
      <c r="E366" s="217"/>
      <c r="F366" s="217"/>
      <c r="G366" s="217"/>
      <c r="H366" s="220"/>
      <c r="I366" s="217"/>
      <c r="J366" s="217"/>
      <c r="K366" s="217"/>
      <c r="L366" s="217"/>
      <c r="M366" s="217"/>
      <c r="N366" s="217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BA366" s="5"/>
      <c r="BB366" s="5"/>
      <c r="BC366" s="5"/>
      <c r="BD366" s="5"/>
      <c r="BE366" s="63"/>
      <c r="BF366" s="63"/>
      <c r="BG366" s="63"/>
      <c r="BK366" s="317"/>
      <c r="BL366" s="5"/>
      <c r="BM366" s="5"/>
      <c r="BN366" s="5"/>
      <c r="BO366" s="5"/>
      <c r="BP366" s="5"/>
      <c r="BQ366" s="5"/>
      <c r="BR366" s="5"/>
      <c r="BS366" s="5"/>
      <c r="BT366" s="5"/>
      <c r="BV366" s="317"/>
      <c r="CF366" s="5"/>
      <c r="CG366" s="53"/>
      <c r="CH366" s="53"/>
      <c r="CI366" s="53"/>
      <c r="CJ366" s="53"/>
      <c r="CK366" s="53"/>
      <c r="CL366" s="53"/>
      <c r="CN366" s="53"/>
      <c r="CO366" s="53"/>
      <c r="CP366" s="53"/>
      <c r="CQ366" s="53"/>
      <c r="CR366" s="53"/>
      <c r="CS366" s="53"/>
    </row>
    <row r="367" spans="1:103" ht="10.25" customHeight="1">
      <c r="A367" s="216"/>
      <c r="B367" s="217"/>
      <c r="C367" s="218"/>
      <c r="D367" s="219"/>
      <c r="E367" s="217"/>
      <c r="F367" s="217"/>
      <c r="G367" s="217"/>
      <c r="H367" s="220"/>
      <c r="I367" s="217"/>
      <c r="J367" s="217"/>
      <c r="K367" s="217"/>
      <c r="L367" s="217"/>
      <c r="M367" s="217"/>
      <c r="N367" s="217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BA367" s="5"/>
      <c r="BB367" s="5"/>
      <c r="BC367" s="5"/>
      <c r="BD367" s="5"/>
      <c r="BE367" s="63"/>
      <c r="BF367" s="63"/>
      <c r="BG367" s="63"/>
      <c r="BK367" s="317"/>
      <c r="BL367" s="5"/>
      <c r="BM367" s="5"/>
      <c r="BN367" s="5"/>
      <c r="BO367" s="5"/>
      <c r="BP367" s="5"/>
      <c r="BQ367" s="5"/>
      <c r="BR367" s="5"/>
      <c r="BS367" s="5"/>
      <c r="BT367" s="5"/>
      <c r="BV367" s="317"/>
      <c r="CF367" s="5"/>
      <c r="CG367" s="53"/>
      <c r="CH367" s="53"/>
      <c r="CI367" s="53"/>
      <c r="CJ367" s="53"/>
      <c r="CK367" s="53"/>
      <c r="CL367" s="53"/>
      <c r="CN367" s="53"/>
      <c r="CO367" s="53"/>
      <c r="CP367" s="53"/>
      <c r="CQ367" s="53"/>
      <c r="CR367" s="53"/>
      <c r="CS367" s="53"/>
    </row>
    <row r="368" spans="1:103" ht="10.25" customHeight="1">
      <c r="A368" s="216"/>
      <c r="B368" s="217"/>
      <c r="C368" s="218"/>
      <c r="D368" s="219"/>
      <c r="E368" s="217"/>
      <c r="F368" s="217"/>
      <c r="G368" s="217"/>
      <c r="H368" s="220"/>
      <c r="I368" s="217"/>
      <c r="J368" s="217"/>
      <c r="K368" s="217"/>
      <c r="L368" s="217"/>
      <c r="M368" s="217"/>
      <c r="N368" s="217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BA368" s="5"/>
      <c r="BB368" s="5"/>
      <c r="BC368" s="5"/>
      <c r="BD368" s="5"/>
      <c r="BE368" s="63"/>
      <c r="BF368" s="63"/>
      <c r="BG368" s="63"/>
      <c r="BK368" s="317"/>
      <c r="BL368" s="5"/>
      <c r="BM368" s="5"/>
      <c r="BN368" s="5"/>
      <c r="BO368" s="5"/>
      <c r="BP368" s="5"/>
      <c r="BQ368" s="5"/>
      <c r="BR368" s="5"/>
      <c r="BS368" s="5"/>
      <c r="BT368" s="5"/>
      <c r="BV368" s="317"/>
      <c r="CF368" s="5"/>
      <c r="CG368" s="53"/>
      <c r="CH368" s="53"/>
      <c r="CI368" s="53"/>
      <c r="CJ368" s="53"/>
      <c r="CK368" s="53"/>
      <c r="CL368" s="53"/>
      <c r="CN368" s="53"/>
      <c r="CO368" s="53"/>
      <c r="CP368" s="53"/>
      <c r="CQ368" s="53"/>
      <c r="CR368" s="53"/>
      <c r="CS368" s="53"/>
    </row>
    <row r="369" spans="1:103" ht="10.25" customHeight="1">
      <c r="A369" s="216"/>
      <c r="B369" s="217"/>
      <c r="C369" s="218"/>
      <c r="D369" s="219"/>
      <c r="E369" s="217"/>
      <c r="F369" s="217"/>
      <c r="G369" s="217"/>
      <c r="H369" s="220"/>
      <c r="I369" s="217"/>
      <c r="J369" s="217"/>
      <c r="K369" s="217"/>
      <c r="L369" s="217"/>
      <c r="M369" s="217"/>
      <c r="N369" s="217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BA369" s="5"/>
      <c r="BB369" s="5"/>
      <c r="BC369" s="5"/>
      <c r="BD369" s="5"/>
      <c r="BE369" s="63"/>
      <c r="BF369" s="63"/>
      <c r="BG369" s="63"/>
      <c r="BK369" s="317"/>
      <c r="BL369" s="5"/>
      <c r="BM369" s="5"/>
      <c r="BN369" s="5"/>
      <c r="BO369" s="5"/>
      <c r="BP369" s="5"/>
      <c r="BQ369" s="5"/>
      <c r="BR369" s="5"/>
      <c r="BS369" s="5"/>
      <c r="BT369" s="5"/>
      <c r="BV369" s="317"/>
      <c r="CF369" s="5"/>
      <c r="CG369" s="53"/>
      <c r="CH369" s="53"/>
      <c r="CI369" s="53"/>
      <c r="CJ369" s="53"/>
      <c r="CK369" s="53"/>
      <c r="CL369" s="53"/>
      <c r="CN369" s="53"/>
      <c r="CO369" s="53"/>
      <c r="CP369" s="53"/>
      <c r="CQ369" s="53"/>
      <c r="CR369" s="53"/>
      <c r="CS369" s="53"/>
    </row>
    <row r="370" spans="1:103" ht="10.25" customHeight="1">
      <c r="A370" s="216"/>
      <c r="B370" s="217"/>
      <c r="C370" s="218"/>
      <c r="D370" s="219"/>
      <c r="E370" s="217"/>
      <c r="F370" s="217"/>
      <c r="G370" s="217"/>
      <c r="H370" s="220"/>
      <c r="I370" s="217"/>
      <c r="J370" s="217"/>
      <c r="K370" s="217"/>
      <c r="L370" s="217"/>
      <c r="M370" s="217"/>
      <c r="N370" s="217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BA370" s="5"/>
      <c r="BB370" s="5"/>
      <c r="BC370" s="5"/>
      <c r="BD370" s="5"/>
      <c r="BE370" s="63"/>
      <c r="BF370" s="63"/>
      <c r="BG370" s="63"/>
      <c r="BK370" s="317"/>
      <c r="BL370" s="5"/>
      <c r="BM370" s="5"/>
      <c r="BN370" s="5"/>
      <c r="BO370" s="5"/>
      <c r="BP370" s="5"/>
      <c r="BQ370" s="5"/>
      <c r="BR370" s="5"/>
      <c r="BS370" s="5"/>
      <c r="BT370" s="5"/>
      <c r="BV370" s="317"/>
      <c r="CF370" s="5"/>
      <c r="CG370" s="53"/>
      <c r="CH370" s="53"/>
      <c r="CI370" s="53"/>
      <c r="CJ370" s="53"/>
      <c r="CK370" s="53"/>
      <c r="CL370" s="53"/>
      <c r="CN370" s="53"/>
      <c r="CO370" s="53"/>
      <c r="CP370" s="53"/>
      <c r="CQ370" s="53"/>
      <c r="CR370" s="53"/>
      <c r="CS370" s="53"/>
    </row>
    <row r="371" spans="1:103" ht="10.25" customHeight="1">
      <c r="A371" s="216"/>
      <c r="B371" s="217"/>
      <c r="C371" s="218"/>
      <c r="D371" s="219"/>
      <c r="E371" s="217"/>
      <c r="F371" s="217"/>
      <c r="G371" s="217"/>
      <c r="H371" s="220"/>
      <c r="I371" s="217"/>
      <c r="J371" s="217"/>
      <c r="K371" s="217"/>
      <c r="L371" s="217"/>
      <c r="M371" s="217"/>
      <c r="N371" s="217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BA371" s="5"/>
      <c r="BB371" s="5"/>
      <c r="BC371" s="5"/>
      <c r="BD371" s="5"/>
      <c r="BE371" s="63"/>
      <c r="BF371" s="63"/>
      <c r="BG371" s="63"/>
      <c r="BK371" s="317"/>
      <c r="BL371" s="5"/>
      <c r="BM371" s="5"/>
      <c r="BN371" s="5"/>
      <c r="BO371" s="5"/>
      <c r="BP371" s="5"/>
      <c r="BQ371" s="5"/>
      <c r="BR371" s="5"/>
      <c r="BS371" s="5"/>
      <c r="BT371" s="5"/>
      <c r="BV371" s="317"/>
      <c r="CF371" s="5"/>
      <c r="CG371" s="53"/>
      <c r="CH371" s="53"/>
      <c r="CI371" s="53"/>
      <c r="CJ371" s="53"/>
      <c r="CK371" s="53"/>
      <c r="CL371" s="53"/>
      <c r="CN371" s="53"/>
      <c r="CO371" s="53"/>
      <c r="CP371" s="53"/>
      <c r="CQ371" s="53"/>
      <c r="CR371" s="53"/>
      <c r="CS371" s="53"/>
    </row>
    <row r="372" spans="1:103" ht="10.25" customHeight="1">
      <c r="A372" s="216"/>
      <c r="B372" s="217"/>
      <c r="C372" s="218"/>
      <c r="D372" s="219"/>
      <c r="E372" s="217"/>
      <c r="F372" s="217"/>
      <c r="G372" s="217"/>
      <c r="H372" s="220"/>
      <c r="I372" s="217"/>
      <c r="J372" s="217"/>
      <c r="K372" s="217"/>
      <c r="L372" s="217"/>
      <c r="M372" s="217"/>
      <c r="N372" s="217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W372" s="63"/>
      <c r="AX372" s="63"/>
      <c r="AY372" s="63"/>
      <c r="AZ372" s="63"/>
      <c r="BA372" s="5"/>
      <c r="BB372" s="5"/>
      <c r="BC372" s="5"/>
      <c r="BD372" s="5"/>
      <c r="BE372" s="63"/>
      <c r="BF372" s="63"/>
      <c r="BG372" s="63"/>
      <c r="BV372" s="317"/>
      <c r="CF372" s="5"/>
      <c r="CG372" s="53"/>
      <c r="CH372" s="53"/>
      <c r="CI372" s="53"/>
      <c r="CJ372" s="53"/>
      <c r="CK372" s="53"/>
      <c r="CL372" s="53"/>
      <c r="CN372" s="53"/>
      <c r="CO372" s="53"/>
      <c r="CP372" s="53"/>
      <c r="CQ372" s="53"/>
      <c r="CR372" s="53"/>
      <c r="CS372" s="53"/>
    </row>
    <row r="373" spans="1:103" ht="10.25" customHeight="1">
      <c r="A373" s="216"/>
      <c r="B373" s="217"/>
      <c r="C373" s="218"/>
      <c r="D373" s="219"/>
      <c r="E373" s="217"/>
      <c r="F373" s="217"/>
      <c r="G373" s="217"/>
      <c r="H373" s="220"/>
      <c r="I373" s="217"/>
      <c r="J373" s="217"/>
      <c r="K373" s="217"/>
      <c r="L373" s="217"/>
      <c r="M373" s="217"/>
      <c r="N373" s="217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W373" s="63"/>
      <c r="AX373" s="63"/>
      <c r="AY373" s="63"/>
      <c r="AZ373" s="63"/>
      <c r="BA373" s="5"/>
      <c r="BB373" s="5"/>
      <c r="BC373" s="5"/>
      <c r="BD373" s="5"/>
      <c r="BE373" s="63"/>
      <c r="BF373" s="63"/>
      <c r="BG373" s="63"/>
      <c r="BV373" s="317"/>
      <c r="CF373" s="5"/>
      <c r="CG373" s="53"/>
      <c r="CH373" s="53"/>
      <c r="CI373" s="53"/>
      <c r="CJ373" s="53"/>
      <c r="CK373" s="53"/>
      <c r="CL373" s="53"/>
      <c r="CN373" s="53"/>
      <c r="CO373" s="53"/>
      <c r="CP373" s="53"/>
      <c r="CQ373" s="53"/>
      <c r="CR373" s="53"/>
      <c r="CS373" s="53"/>
    </row>
    <row r="374" spans="1:103" ht="10.25" customHeight="1">
      <c r="A374" s="216"/>
      <c r="B374" s="217"/>
      <c r="C374" s="218"/>
      <c r="D374" s="219"/>
      <c r="E374" s="217"/>
      <c r="F374" s="217"/>
      <c r="G374" s="217"/>
      <c r="H374" s="220"/>
      <c r="I374" s="217"/>
      <c r="J374" s="217"/>
      <c r="K374" s="217"/>
      <c r="L374" s="217"/>
      <c r="M374" s="217"/>
      <c r="N374" s="217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W374" s="63"/>
      <c r="AX374" s="63"/>
      <c r="AY374" s="63"/>
      <c r="AZ374" s="63"/>
      <c r="BA374" s="5"/>
      <c r="BB374" s="5"/>
      <c r="BC374" s="5"/>
      <c r="BD374" s="5"/>
      <c r="BE374" s="63"/>
      <c r="BF374" s="63"/>
      <c r="BG374" s="63"/>
      <c r="BV374" s="317"/>
      <c r="CF374" s="5"/>
      <c r="CG374" s="53"/>
      <c r="CH374" s="53"/>
      <c r="CI374" s="53"/>
      <c r="CJ374" s="53"/>
      <c r="CK374" s="53"/>
      <c r="CL374" s="53"/>
      <c r="CN374" s="53"/>
      <c r="CO374" s="53"/>
      <c r="CP374" s="53"/>
      <c r="CQ374" s="53"/>
      <c r="CR374" s="53"/>
      <c r="CS374" s="53"/>
      <c r="CT374" s="5"/>
      <c r="CU374" s="5"/>
      <c r="CV374" s="5"/>
      <c r="CW374" s="5"/>
      <c r="CX374" s="5"/>
      <c r="CY374" s="5"/>
    </row>
    <row r="375" spans="1:103" ht="10.25" customHeight="1">
      <c r="A375" s="216"/>
      <c r="B375" s="217"/>
      <c r="C375" s="218"/>
      <c r="D375" s="219"/>
      <c r="E375" s="217"/>
      <c r="F375" s="217"/>
      <c r="G375" s="217"/>
      <c r="H375" s="220"/>
      <c r="I375" s="217"/>
      <c r="J375" s="217"/>
      <c r="K375" s="217"/>
      <c r="L375" s="217"/>
      <c r="M375" s="217"/>
      <c r="N375" s="217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W375" s="63"/>
      <c r="AX375" s="63"/>
      <c r="AY375" s="63"/>
      <c r="AZ375" s="63"/>
      <c r="BA375" s="5"/>
      <c r="BB375" s="5"/>
      <c r="BC375" s="5"/>
      <c r="BD375" s="5"/>
      <c r="BE375" s="63"/>
      <c r="BF375" s="63"/>
      <c r="BG375" s="63"/>
      <c r="BV375" s="317"/>
      <c r="CF375" s="5"/>
      <c r="CG375" s="53"/>
      <c r="CH375" s="53"/>
      <c r="CI375" s="53"/>
      <c r="CJ375" s="53"/>
      <c r="CK375" s="53"/>
      <c r="CL375" s="53"/>
      <c r="CN375" s="53"/>
      <c r="CO375" s="53"/>
      <c r="CP375" s="53"/>
      <c r="CQ375" s="53"/>
      <c r="CR375" s="53"/>
      <c r="CS375" s="53"/>
      <c r="CT375" s="5"/>
      <c r="CU375" s="5"/>
      <c r="CV375" s="5"/>
      <c r="CW375" s="5"/>
      <c r="CX375" s="5"/>
      <c r="CY375" s="5"/>
    </row>
    <row r="376" spans="1:103" ht="10.25" customHeight="1">
      <c r="A376" s="216"/>
      <c r="B376" s="217"/>
      <c r="C376" s="218"/>
      <c r="D376" s="219"/>
      <c r="E376" s="217"/>
      <c r="F376" s="217"/>
      <c r="G376" s="217"/>
      <c r="H376" s="220"/>
      <c r="I376" s="217"/>
      <c r="J376" s="217"/>
      <c r="K376" s="217"/>
      <c r="L376" s="217"/>
      <c r="M376" s="217"/>
      <c r="N376" s="217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W376" s="63"/>
      <c r="AX376" s="63"/>
      <c r="AY376" s="63"/>
      <c r="AZ376" s="63"/>
      <c r="BA376" s="5"/>
      <c r="BB376" s="5"/>
      <c r="BC376" s="5"/>
      <c r="BD376" s="5"/>
      <c r="BE376" s="63"/>
      <c r="BF376" s="63"/>
      <c r="BG376" s="63"/>
      <c r="BV376" s="317"/>
      <c r="CF376" s="5"/>
      <c r="CG376" s="53"/>
      <c r="CH376" s="53"/>
      <c r="CI376" s="53"/>
      <c r="CJ376" s="53"/>
      <c r="CK376" s="53"/>
      <c r="CL376" s="53"/>
      <c r="CN376" s="53"/>
      <c r="CO376" s="53"/>
      <c r="CP376" s="53"/>
      <c r="CQ376" s="53"/>
      <c r="CR376" s="53"/>
      <c r="CS376" s="53"/>
      <c r="CT376" s="5"/>
      <c r="CU376" s="5"/>
      <c r="CV376" s="5"/>
      <c r="CW376" s="5"/>
      <c r="CX376" s="5"/>
      <c r="CY376" s="5"/>
    </row>
    <row r="377" spans="1:103" ht="10.25" customHeight="1">
      <c r="A377" s="216"/>
      <c r="B377" s="217"/>
      <c r="C377" s="218"/>
      <c r="D377" s="219"/>
      <c r="E377" s="217"/>
      <c r="F377" s="217"/>
      <c r="G377" s="217"/>
      <c r="H377" s="220"/>
      <c r="I377" s="217"/>
      <c r="J377" s="217"/>
      <c r="K377" s="217"/>
      <c r="L377" s="217"/>
      <c r="M377" s="217"/>
      <c r="N377" s="217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BA377" s="5"/>
      <c r="BB377" s="5"/>
      <c r="BC377" s="5"/>
      <c r="BD377" s="5"/>
      <c r="BE377" s="63"/>
      <c r="BF377" s="63"/>
      <c r="BG377" s="63"/>
      <c r="BV377" s="317"/>
      <c r="CF377" s="5"/>
      <c r="CG377" s="53"/>
      <c r="CH377" s="53"/>
      <c r="CI377" s="53"/>
      <c r="CJ377" s="53"/>
      <c r="CK377" s="53"/>
      <c r="CL377" s="53"/>
      <c r="CN377" s="53"/>
      <c r="CO377" s="53"/>
      <c r="CP377" s="53"/>
      <c r="CQ377" s="53"/>
      <c r="CR377" s="53"/>
      <c r="CS377" s="53"/>
      <c r="CT377" s="5"/>
      <c r="CU377" s="5"/>
      <c r="CV377" s="5"/>
      <c r="CW377" s="5"/>
      <c r="CX377" s="5"/>
      <c r="CY377" s="5"/>
    </row>
    <row r="378" spans="1:103" ht="10.25" customHeight="1">
      <c r="A378" s="216"/>
      <c r="B378" s="217"/>
      <c r="C378" s="218"/>
      <c r="D378" s="219"/>
      <c r="E378" s="217"/>
      <c r="F378" s="217"/>
      <c r="G378" s="217"/>
      <c r="H378" s="220"/>
      <c r="I378" s="217"/>
      <c r="J378" s="217"/>
      <c r="K378" s="217"/>
      <c r="L378" s="217"/>
      <c r="M378" s="217"/>
      <c r="N378" s="217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BA378" s="5"/>
      <c r="BB378" s="5"/>
      <c r="BC378" s="5"/>
      <c r="BD378" s="5"/>
      <c r="BE378" s="63"/>
      <c r="BF378" s="63"/>
      <c r="BG378" s="63"/>
      <c r="BV378" s="317"/>
      <c r="CF378" s="5"/>
      <c r="CG378" s="53"/>
      <c r="CH378" s="53"/>
      <c r="CI378" s="53"/>
      <c r="CJ378" s="53"/>
      <c r="CK378" s="53"/>
      <c r="CL378" s="53"/>
      <c r="CN378" s="53"/>
      <c r="CO378" s="53"/>
      <c r="CP378" s="53"/>
      <c r="CQ378" s="53"/>
      <c r="CR378" s="53"/>
      <c r="CS378" s="53"/>
      <c r="CT378" s="5"/>
      <c r="CU378" s="5"/>
      <c r="CV378" s="5"/>
      <c r="CW378" s="5"/>
      <c r="CX378" s="5"/>
      <c r="CY378" s="5"/>
    </row>
    <row r="379" spans="1:103" ht="10.25" customHeight="1">
      <c r="A379" s="216"/>
      <c r="B379" s="217"/>
      <c r="C379" s="218"/>
      <c r="D379" s="219"/>
      <c r="E379" s="217"/>
      <c r="F379" s="217"/>
      <c r="G379" s="217"/>
      <c r="H379" s="220"/>
      <c r="I379" s="217"/>
      <c r="J379" s="217"/>
      <c r="K379" s="217"/>
      <c r="L379" s="217"/>
      <c r="M379" s="217"/>
      <c r="N379" s="217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BA379" s="5"/>
      <c r="BB379" s="5"/>
      <c r="BC379" s="5"/>
      <c r="BD379" s="5"/>
      <c r="BE379" s="63"/>
      <c r="BF379" s="63"/>
      <c r="BG379" s="63"/>
      <c r="CA379" s="317"/>
      <c r="CF379" s="5"/>
      <c r="CG379" s="53"/>
      <c r="CH379" s="53"/>
      <c r="CI379" s="53"/>
      <c r="CJ379" s="53"/>
      <c r="CK379" s="53"/>
      <c r="CL379" s="53"/>
      <c r="CN379" s="53"/>
      <c r="CO379" s="53"/>
      <c r="CP379" s="53"/>
      <c r="CQ379" s="53"/>
      <c r="CR379" s="53"/>
      <c r="CS379" s="53"/>
      <c r="CT379" s="5"/>
      <c r="CU379" s="5"/>
      <c r="CV379" s="5"/>
      <c r="CW379" s="5"/>
      <c r="CX379" s="5"/>
      <c r="CY379" s="5"/>
    </row>
    <row r="380" spans="1:103" ht="10.25" customHeight="1">
      <c r="A380" s="216"/>
      <c r="B380" s="217"/>
      <c r="C380" s="218"/>
      <c r="D380" s="219"/>
      <c r="E380" s="217"/>
      <c r="F380" s="217"/>
      <c r="G380" s="217"/>
      <c r="H380" s="220"/>
      <c r="I380" s="217"/>
      <c r="J380" s="217"/>
      <c r="K380" s="217"/>
      <c r="L380" s="217"/>
      <c r="M380" s="217"/>
      <c r="N380" s="217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BA380" s="5"/>
      <c r="BB380" s="5"/>
      <c r="BC380" s="5"/>
      <c r="BD380" s="5"/>
      <c r="BE380" s="63"/>
      <c r="BF380" s="63"/>
      <c r="BG380" s="63"/>
      <c r="CA380" s="317"/>
      <c r="CF380" s="5"/>
      <c r="CG380" s="53"/>
      <c r="CH380" s="53"/>
      <c r="CI380" s="53"/>
      <c r="CJ380" s="53"/>
      <c r="CK380" s="53"/>
      <c r="CL380" s="53"/>
      <c r="CN380" s="53"/>
      <c r="CO380" s="53"/>
      <c r="CP380" s="53"/>
      <c r="CQ380" s="53"/>
      <c r="CR380" s="53"/>
      <c r="CS380" s="53"/>
      <c r="CT380" s="5"/>
      <c r="CU380" s="5"/>
      <c r="CV380" s="5"/>
      <c r="CW380" s="5"/>
      <c r="CX380" s="5"/>
      <c r="CY380" s="5"/>
    </row>
    <row r="381" spans="1:103" ht="10.25" customHeight="1">
      <c r="A381" s="216"/>
      <c r="B381" s="217"/>
      <c r="C381" s="218"/>
      <c r="D381" s="219"/>
      <c r="E381" s="217"/>
      <c r="F381" s="217"/>
      <c r="G381" s="217"/>
      <c r="H381" s="220"/>
      <c r="I381" s="217"/>
      <c r="J381" s="217"/>
      <c r="K381" s="217"/>
      <c r="L381" s="217"/>
      <c r="M381" s="217"/>
      <c r="N381" s="217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BA381" s="5"/>
      <c r="BB381" s="5"/>
      <c r="BC381" s="5"/>
      <c r="BD381" s="5"/>
      <c r="BE381" s="63"/>
      <c r="BF381" s="63"/>
      <c r="BG381" s="63"/>
      <c r="CA381" s="317"/>
      <c r="CF381" s="5"/>
      <c r="CG381" s="53"/>
      <c r="CH381" s="53"/>
      <c r="CI381" s="53"/>
      <c r="CJ381" s="53"/>
      <c r="CK381" s="53"/>
      <c r="CL381" s="53"/>
      <c r="CN381" s="53"/>
      <c r="CO381" s="53"/>
      <c r="CP381" s="53"/>
      <c r="CQ381" s="53"/>
      <c r="CR381" s="53"/>
      <c r="CS381" s="53"/>
      <c r="CT381" s="5"/>
      <c r="CU381" s="5"/>
      <c r="CV381" s="5"/>
      <c r="CW381" s="5"/>
      <c r="CX381" s="5"/>
      <c r="CY381" s="5"/>
    </row>
    <row r="382" spans="1:103" ht="10.25" customHeight="1">
      <c r="A382" s="216"/>
      <c r="B382" s="217"/>
      <c r="C382" s="218"/>
      <c r="D382" s="219"/>
      <c r="E382" s="217"/>
      <c r="F382" s="217"/>
      <c r="G382" s="217"/>
      <c r="H382" s="220"/>
      <c r="I382" s="217"/>
      <c r="J382" s="217"/>
      <c r="K382" s="217"/>
      <c r="L382" s="217"/>
      <c r="M382" s="217"/>
      <c r="N382" s="217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BA382" s="5"/>
      <c r="BB382" s="5"/>
      <c r="BC382" s="5"/>
      <c r="BD382" s="5"/>
      <c r="BE382" s="63"/>
      <c r="BF382" s="63"/>
      <c r="BG382" s="63"/>
      <c r="CA382" s="317"/>
      <c r="CF382" s="5"/>
      <c r="CG382" s="53"/>
      <c r="CH382" s="53"/>
      <c r="CI382" s="53"/>
      <c r="CJ382" s="53"/>
      <c r="CK382" s="53"/>
      <c r="CL382" s="53"/>
      <c r="CN382" s="53"/>
      <c r="CO382" s="53"/>
      <c r="CP382" s="53"/>
      <c r="CQ382" s="53"/>
      <c r="CR382" s="53"/>
      <c r="CS382" s="53"/>
      <c r="CT382" s="5"/>
      <c r="CU382" s="5"/>
      <c r="CV382" s="5"/>
      <c r="CW382" s="5"/>
      <c r="CX382" s="5"/>
      <c r="CY382" s="5"/>
    </row>
    <row r="383" spans="1:103" ht="10.25" customHeight="1">
      <c r="A383" s="216"/>
      <c r="B383" s="217"/>
      <c r="C383" s="218"/>
      <c r="D383" s="219"/>
      <c r="E383" s="217"/>
      <c r="F383" s="217"/>
      <c r="G383" s="217"/>
      <c r="H383" s="220"/>
      <c r="I383" s="217"/>
      <c r="J383" s="217"/>
      <c r="K383" s="217"/>
      <c r="L383" s="217"/>
      <c r="M383" s="217"/>
      <c r="N383" s="217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BA383" s="5"/>
      <c r="BB383" s="5"/>
      <c r="BC383" s="5"/>
      <c r="BD383" s="5"/>
      <c r="BE383" s="63"/>
      <c r="BF383" s="63"/>
      <c r="BG383" s="63"/>
      <c r="CA383" s="317"/>
      <c r="CF383" s="5"/>
      <c r="CG383" s="53"/>
      <c r="CH383" s="53"/>
      <c r="CI383" s="53"/>
      <c r="CJ383" s="53"/>
      <c r="CK383" s="53"/>
      <c r="CL383" s="53"/>
      <c r="CN383" s="53"/>
      <c r="CO383" s="53"/>
      <c r="CP383" s="53"/>
      <c r="CQ383" s="53"/>
      <c r="CR383" s="53"/>
      <c r="CS383" s="53"/>
      <c r="CT383" s="5"/>
      <c r="CU383" s="5"/>
      <c r="CV383" s="5"/>
      <c r="CW383" s="5"/>
      <c r="CX383" s="5"/>
      <c r="CY383" s="5"/>
    </row>
    <row r="384" spans="1:103" ht="10.25" customHeight="1">
      <c r="A384" s="216"/>
      <c r="B384" s="217"/>
      <c r="C384" s="218"/>
      <c r="D384" s="219"/>
      <c r="E384" s="217"/>
      <c r="F384" s="217"/>
      <c r="G384" s="217"/>
      <c r="H384" s="220"/>
      <c r="I384" s="217"/>
      <c r="J384" s="217"/>
      <c r="K384" s="217"/>
      <c r="L384" s="217"/>
      <c r="M384" s="217"/>
      <c r="N384" s="217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BA384" s="5"/>
      <c r="BB384" s="5"/>
      <c r="BC384" s="5"/>
      <c r="BD384" s="5"/>
      <c r="BE384" s="63"/>
      <c r="BF384" s="63"/>
      <c r="BG384" s="63"/>
      <c r="CA384" s="317"/>
      <c r="CF384" s="5"/>
      <c r="CG384" s="53"/>
      <c r="CH384" s="53"/>
      <c r="CI384" s="53"/>
      <c r="CJ384" s="53"/>
      <c r="CK384" s="53"/>
      <c r="CL384" s="53"/>
      <c r="CN384" s="53"/>
      <c r="CO384" s="53"/>
      <c r="CP384" s="53"/>
      <c r="CQ384" s="53"/>
      <c r="CR384" s="53"/>
      <c r="CS384" s="53"/>
      <c r="CT384" s="5"/>
      <c r="CU384" s="5"/>
      <c r="CV384" s="5"/>
      <c r="CW384" s="5"/>
      <c r="CX384" s="5"/>
      <c r="CY384" s="5"/>
    </row>
    <row r="385" spans="1:103" ht="10.25" customHeight="1">
      <c r="A385" s="216"/>
      <c r="B385" s="217"/>
      <c r="C385" s="218"/>
      <c r="D385" s="219"/>
      <c r="E385" s="217"/>
      <c r="F385" s="217"/>
      <c r="G385" s="217"/>
      <c r="H385" s="220"/>
      <c r="I385" s="217"/>
      <c r="J385" s="217"/>
      <c r="K385" s="217"/>
      <c r="L385" s="217"/>
      <c r="M385" s="217"/>
      <c r="N385" s="217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BA385" s="5"/>
      <c r="BB385" s="5"/>
      <c r="BC385" s="5"/>
      <c r="BD385" s="5"/>
      <c r="BE385" s="63"/>
      <c r="BF385" s="63"/>
      <c r="BG385" s="63"/>
      <c r="CA385" s="317"/>
      <c r="CF385" s="5"/>
      <c r="CG385" s="53"/>
      <c r="CH385" s="53"/>
      <c r="CI385" s="53"/>
      <c r="CJ385" s="53"/>
      <c r="CK385" s="53"/>
      <c r="CL385" s="53"/>
      <c r="CN385" s="53"/>
      <c r="CO385" s="53"/>
      <c r="CP385" s="53"/>
      <c r="CQ385" s="53"/>
      <c r="CR385" s="53"/>
      <c r="CS385" s="53"/>
      <c r="CT385" s="5"/>
      <c r="CU385" s="5"/>
      <c r="CV385" s="5"/>
      <c r="CW385" s="5"/>
      <c r="CX385" s="5"/>
      <c r="CY385" s="5"/>
    </row>
    <row r="386" spans="1:103" ht="10.25" customHeight="1">
      <c r="A386" s="216"/>
      <c r="B386" s="217"/>
      <c r="C386" s="218"/>
      <c r="D386" s="219"/>
      <c r="E386" s="217"/>
      <c r="F386" s="217"/>
      <c r="G386" s="217"/>
      <c r="H386" s="220"/>
      <c r="I386" s="217"/>
      <c r="J386" s="217"/>
      <c r="K386" s="217"/>
      <c r="L386" s="217"/>
      <c r="M386" s="217"/>
      <c r="N386" s="217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BA386" s="5"/>
      <c r="BB386" s="5"/>
      <c r="BC386" s="5"/>
      <c r="BD386" s="5"/>
      <c r="BE386" s="63"/>
      <c r="BF386" s="63"/>
      <c r="BG386" s="63"/>
      <c r="CA386" s="317"/>
      <c r="CF386" s="5"/>
      <c r="CG386" s="53"/>
      <c r="CH386" s="53"/>
      <c r="CI386" s="53"/>
      <c r="CJ386" s="53"/>
      <c r="CK386" s="53"/>
      <c r="CL386" s="53"/>
      <c r="CN386" s="53"/>
      <c r="CO386" s="53"/>
      <c r="CP386" s="53"/>
      <c r="CQ386" s="53"/>
      <c r="CR386" s="53"/>
      <c r="CS386" s="53"/>
      <c r="CT386" s="5"/>
      <c r="CU386" s="5"/>
      <c r="CV386" s="5"/>
      <c r="CW386" s="5"/>
      <c r="CX386" s="5"/>
      <c r="CY386" s="5"/>
    </row>
    <row r="387" spans="1:103" ht="10.25" customHeight="1">
      <c r="A387" s="216"/>
      <c r="B387" s="217"/>
      <c r="C387" s="218"/>
      <c r="D387" s="219"/>
      <c r="E387" s="217"/>
      <c r="F387" s="217"/>
      <c r="G387" s="217"/>
      <c r="H387" s="220"/>
      <c r="I387" s="217"/>
      <c r="J387" s="217"/>
      <c r="K387" s="217"/>
      <c r="L387" s="217"/>
      <c r="M387" s="217"/>
      <c r="N387" s="217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BA387" s="5"/>
      <c r="BB387" s="5"/>
      <c r="BC387" s="5"/>
      <c r="BD387" s="5"/>
      <c r="BE387" s="63"/>
      <c r="BF387" s="63"/>
      <c r="BG387" s="63"/>
      <c r="CA387" s="317"/>
      <c r="CF387" s="5"/>
      <c r="CG387" s="53"/>
      <c r="CH387" s="53"/>
      <c r="CI387" s="53"/>
      <c r="CJ387" s="53"/>
      <c r="CK387" s="53"/>
      <c r="CL387" s="53"/>
      <c r="CN387" s="53"/>
      <c r="CO387" s="53"/>
      <c r="CP387" s="53"/>
      <c r="CQ387" s="53"/>
      <c r="CR387" s="53"/>
      <c r="CS387" s="53"/>
      <c r="CT387" s="5"/>
      <c r="CU387" s="5"/>
      <c r="CV387" s="5"/>
      <c r="CW387" s="5"/>
      <c r="CX387" s="5"/>
      <c r="CY387" s="5"/>
    </row>
    <row r="388" spans="1:103" ht="10.25" customHeight="1">
      <c r="A388" s="216"/>
      <c r="B388" s="217"/>
      <c r="C388" s="218"/>
      <c r="D388" s="219"/>
      <c r="E388" s="217"/>
      <c r="F388" s="217"/>
      <c r="G388" s="217"/>
      <c r="H388" s="220"/>
      <c r="I388" s="217"/>
      <c r="J388" s="217"/>
      <c r="K388" s="217"/>
      <c r="L388" s="217"/>
      <c r="M388" s="217"/>
      <c r="N388" s="217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BA388" s="5"/>
      <c r="BB388" s="5"/>
      <c r="BC388" s="5"/>
      <c r="BD388" s="5"/>
      <c r="BE388" s="63"/>
      <c r="BF388" s="63"/>
      <c r="BG388" s="63"/>
      <c r="CA388" s="317"/>
      <c r="CF388" s="5"/>
      <c r="CG388" s="53"/>
      <c r="CH388" s="53"/>
      <c r="CI388" s="53"/>
      <c r="CJ388" s="53"/>
      <c r="CK388" s="53"/>
      <c r="CL388" s="53"/>
      <c r="CN388" s="53"/>
      <c r="CO388" s="53"/>
      <c r="CP388" s="53"/>
      <c r="CQ388" s="53"/>
      <c r="CR388" s="53"/>
      <c r="CS388" s="53"/>
      <c r="CT388" s="5"/>
      <c r="CU388" s="5"/>
      <c r="CV388" s="5"/>
      <c r="CW388" s="5"/>
      <c r="CX388" s="5"/>
      <c r="CY388" s="5"/>
    </row>
    <row r="389" spans="1:103" ht="10.25" customHeight="1">
      <c r="A389" s="216"/>
      <c r="B389" s="217"/>
      <c r="C389" s="218"/>
      <c r="D389" s="219"/>
      <c r="E389" s="217"/>
      <c r="F389" s="217"/>
      <c r="G389" s="217"/>
      <c r="H389" s="220"/>
      <c r="I389" s="217"/>
      <c r="J389" s="217"/>
      <c r="K389" s="217"/>
      <c r="L389" s="217"/>
      <c r="M389" s="217"/>
      <c r="N389" s="217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BA389" s="5"/>
      <c r="BB389" s="5"/>
      <c r="BC389" s="5"/>
      <c r="BD389" s="5"/>
      <c r="BE389" s="63"/>
      <c r="BF389" s="63"/>
      <c r="BG389" s="63"/>
      <c r="CA389" s="317"/>
      <c r="CF389" s="5"/>
      <c r="CG389" s="53"/>
      <c r="CH389" s="53"/>
      <c r="CI389" s="53"/>
      <c r="CJ389" s="53"/>
      <c r="CK389" s="53"/>
      <c r="CL389" s="53"/>
      <c r="CN389" s="53"/>
      <c r="CO389" s="53"/>
      <c r="CP389" s="53"/>
      <c r="CQ389" s="53"/>
      <c r="CR389" s="53"/>
      <c r="CS389" s="53"/>
      <c r="CT389" s="5"/>
      <c r="CU389" s="5"/>
      <c r="CV389" s="5"/>
      <c r="CW389" s="5"/>
      <c r="CX389" s="5"/>
      <c r="CY389" s="5"/>
    </row>
    <row r="390" spans="1:103" ht="10.25" customHeight="1">
      <c r="A390" s="216"/>
      <c r="B390" s="217"/>
      <c r="C390" s="218"/>
      <c r="D390" s="219"/>
      <c r="E390" s="217"/>
      <c r="F390" s="217"/>
      <c r="G390" s="217"/>
      <c r="H390" s="220"/>
      <c r="I390" s="217"/>
      <c r="J390" s="217"/>
      <c r="K390" s="217"/>
      <c r="L390" s="217"/>
      <c r="M390" s="217"/>
      <c r="N390" s="217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BA390" s="5"/>
      <c r="BB390" s="5"/>
      <c r="BC390" s="5"/>
      <c r="BD390" s="5"/>
      <c r="BE390" s="63"/>
      <c r="BF390" s="63"/>
      <c r="BG390" s="63"/>
      <c r="CA390" s="317"/>
      <c r="CF390" s="5"/>
      <c r="CG390" s="53"/>
      <c r="CH390" s="53"/>
      <c r="CI390" s="53"/>
      <c r="CJ390" s="53"/>
      <c r="CK390" s="53"/>
      <c r="CL390" s="53"/>
      <c r="CN390" s="53"/>
      <c r="CO390" s="53"/>
      <c r="CP390" s="53"/>
      <c r="CQ390" s="53"/>
      <c r="CR390" s="53"/>
      <c r="CS390" s="53"/>
      <c r="CT390" s="5"/>
      <c r="CU390" s="5"/>
      <c r="CV390" s="5"/>
      <c r="CW390" s="5"/>
      <c r="CX390" s="5"/>
      <c r="CY390" s="5"/>
    </row>
    <row r="391" spans="1:103" ht="10.25" customHeight="1">
      <c r="A391" s="216"/>
      <c r="B391" s="217"/>
      <c r="C391" s="218"/>
      <c r="D391" s="219"/>
      <c r="E391" s="217"/>
      <c r="F391" s="217"/>
      <c r="G391" s="217"/>
      <c r="H391" s="220"/>
      <c r="I391" s="217"/>
      <c r="J391" s="217"/>
      <c r="K391" s="217"/>
      <c r="L391" s="217"/>
      <c r="M391" s="217"/>
      <c r="N391" s="217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BA391" s="5"/>
      <c r="BB391" s="5"/>
      <c r="BC391" s="5"/>
      <c r="BD391" s="5"/>
      <c r="BE391" s="63"/>
      <c r="BF391" s="63"/>
      <c r="BG391" s="63"/>
      <c r="CA391" s="256"/>
      <c r="CB391" s="261"/>
      <c r="CC391" s="261"/>
      <c r="CD391" s="261"/>
      <c r="CE391" s="261"/>
      <c r="CF391" s="255"/>
      <c r="CG391" s="53"/>
      <c r="CH391" s="53"/>
      <c r="CI391" s="53"/>
      <c r="CJ391" s="53"/>
      <c r="CK391" s="53"/>
      <c r="CL391" s="53"/>
      <c r="CN391" s="53"/>
      <c r="CO391" s="53"/>
      <c r="CP391" s="53"/>
      <c r="CQ391" s="53"/>
      <c r="CR391" s="53"/>
      <c r="CS391" s="53"/>
      <c r="CT391" s="261"/>
      <c r="CU391" s="255"/>
      <c r="CV391" s="261"/>
      <c r="CW391" s="261"/>
      <c r="CX391" s="261"/>
      <c r="CY391" s="255"/>
    </row>
    <row r="392" spans="1:103" ht="10.25" customHeight="1">
      <c r="A392" s="216"/>
      <c r="B392" s="217"/>
      <c r="C392" s="218"/>
      <c r="D392" s="219"/>
      <c r="E392" s="217"/>
      <c r="F392" s="217"/>
      <c r="G392" s="217"/>
      <c r="H392" s="220"/>
      <c r="I392" s="217"/>
      <c r="J392" s="217"/>
      <c r="K392" s="217"/>
      <c r="L392" s="217"/>
      <c r="M392" s="217"/>
      <c r="N392" s="217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BA392" s="5"/>
      <c r="BB392" s="5"/>
      <c r="BC392" s="5"/>
      <c r="BD392" s="5"/>
      <c r="BE392" s="63"/>
      <c r="BF392" s="63"/>
      <c r="BG392" s="63"/>
      <c r="CA392" s="256"/>
      <c r="CB392" s="261"/>
      <c r="CC392" s="261"/>
      <c r="CD392" s="261"/>
      <c r="CE392" s="261"/>
      <c r="CF392" s="255"/>
      <c r="CG392" s="53"/>
      <c r="CH392" s="53"/>
      <c r="CI392" s="53"/>
      <c r="CJ392" s="53"/>
      <c r="CK392" s="53"/>
      <c r="CL392" s="53"/>
      <c r="CN392" s="53"/>
      <c r="CO392" s="53"/>
      <c r="CP392" s="53"/>
      <c r="CQ392" s="53"/>
      <c r="CR392" s="53"/>
      <c r="CS392" s="53"/>
      <c r="CT392" s="261"/>
      <c r="CU392" s="255"/>
      <c r="CV392" s="261"/>
      <c r="CW392" s="261"/>
      <c r="CX392" s="261"/>
      <c r="CY392" s="255"/>
    </row>
    <row r="393" spans="1:103" ht="10.25" customHeight="1">
      <c r="A393" s="216"/>
      <c r="B393" s="217"/>
      <c r="C393" s="218"/>
      <c r="D393" s="219"/>
      <c r="E393" s="217"/>
      <c r="F393" s="217"/>
      <c r="G393" s="217"/>
      <c r="H393" s="220"/>
      <c r="I393" s="217"/>
      <c r="J393" s="217"/>
      <c r="K393" s="217"/>
      <c r="L393" s="217"/>
      <c r="M393" s="217"/>
      <c r="N393" s="217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BA393" s="5"/>
      <c r="BB393" s="5"/>
      <c r="BC393" s="5"/>
      <c r="BD393" s="5"/>
      <c r="BE393" s="63"/>
      <c r="BF393" s="63"/>
      <c r="BG393" s="63"/>
      <c r="CA393" s="256"/>
      <c r="CB393" s="261"/>
      <c r="CC393" s="261"/>
      <c r="CD393" s="261"/>
      <c r="CE393" s="261"/>
      <c r="CF393" s="255"/>
      <c r="CG393" s="53"/>
      <c r="CH393" s="53"/>
      <c r="CI393" s="53"/>
      <c r="CJ393" s="53"/>
      <c r="CK393" s="53"/>
      <c r="CL393" s="53"/>
      <c r="CN393" s="53"/>
      <c r="CO393" s="53"/>
      <c r="CP393" s="53"/>
      <c r="CQ393" s="53"/>
      <c r="CR393" s="53"/>
      <c r="CS393" s="53"/>
      <c r="CT393" s="261"/>
      <c r="CU393" s="255"/>
      <c r="CV393" s="261"/>
      <c r="CW393" s="255"/>
      <c r="CX393" s="261"/>
      <c r="CY393" s="255"/>
    </row>
    <row r="394" spans="1:103" ht="10.25" customHeight="1">
      <c r="A394" s="216"/>
      <c r="B394" s="217"/>
      <c r="C394" s="218"/>
      <c r="D394" s="219"/>
      <c r="E394" s="217"/>
      <c r="F394" s="217"/>
      <c r="G394" s="217"/>
      <c r="H394" s="220"/>
      <c r="I394" s="217"/>
      <c r="J394" s="217"/>
      <c r="K394" s="217"/>
      <c r="L394" s="217"/>
      <c r="M394" s="217"/>
      <c r="N394" s="217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BA394" s="5"/>
      <c r="BB394" s="5"/>
      <c r="BC394" s="5"/>
      <c r="BD394" s="5"/>
      <c r="BE394" s="63"/>
      <c r="BF394" s="63"/>
      <c r="BG394" s="63"/>
      <c r="CA394" s="256"/>
      <c r="CB394" s="261"/>
      <c r="CC394" s="261"/>
      <c r="CD394" s="261"/>
      <c r="CE394" s="261"/>
      <c r="CF394" s="255"/>
      <c r="CG394" s="53"/>
      <c r="CH394" s="53"/>
      <c r="CI394" s="53"/>
      <c r="CJ394" s="53"/>
      <c r="CK394" s="53"/>
      <c r="CL394" s="53"/>
      <c r="CN394" s="53"/>
      <c r="CO394" s="53"/>
      <c r="CP394" s="53"/>
      <c r="CQ394" s="53"/>
      <c r="CR394" s="53"/>
      <c r="CS394" s="53"/>
      <c r="CT394" s="261"/>
      <c r="CU394" s="255"/>
      <c r="CV394" s="255"/>
      <c r="CW394" s="261"/>
      <c r="CX394" s="261"/>
      <c r="CY394" s="255"/>
    </row>
    <row r="395" spans="1:103" ht="10.25" customHeight="1">
      <c r="A395" s="216"/>
      <c r="B395" s="217"/>
      <c r="C395" s="218"/>
      <c r="D395" s="219"/>
      <c r="E395" s="217"/>
      <c r="F395" s="217"/>
      <c r="G395" s="217"/>
      <c r="H395" s="220"/>
      <c r="I395" s="217"/>
      <c r="J395" s="217"/>
      <c r="K395" s="217"/>
      <c r="L395" s="217"/>
      <c r="M395" s="217"/>
      <c r="N395" s="217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BA395" s="5"/>
      <c r="BB395" s="5"/>
      <c r="BC395" s="5"/>
      <c r="BD395" s="5"/>
      <c r="BE395" s="63"/>
      <c r="BF395" s="63"/>
      <c r="BG395" s="63"/>
      <c r="CA395" s="256"/>
      <c r="CB395" s="261"/>
      <c r="CC395" s="261"/>
      <c r="CD395" s="261"/>
      <c r="CE395" s="261"/>
      <c r="CF395" s="255"/>
      <c r="CG395" s="53"/>
      <c r="CH395" s="53"/>
      <c r="CI395" s="53"/>
      <c r="CJ395" s="53"/>
      <c r="CK395" s="53"/>
      <c r="CL395" s="53"/>
      <c r="CN395" s="53"/>
      <c r="CO395" s="53"/>
      <c r="CP395" s="53"/>
      <c r="CQ395" s="53"/>
      <c r="CR395" s="53"/>
      <c r="CS395" s="53"/>
      <c r="CT395" s="261"/>
      <c r="CU395" s="255"/>
      <c r="CV395" s="261"/>
      <c r="CW395" s="255"/>
      <c r="CX395" s="261"/>
      <c r="CY395" s="255"/>
    </row>
    <row r="396" spans="1:103" ht="10.25" customHeight="1">
      <c r="A396" s="216"/>
      <c r="B396" s="217"/>
      <c r="C396" s="218"/>
      <c r="D396" s="219"/>
      <c r="E396" s="217"/>
      <c r="F396" s="217"/>
      <c r="G396" s="217"/>
      <c r="H396" s="220"/>
      <c r="I396" s="217"/>
      <c r="J396" s="217"/>
      <c r="K396" s="217"/>
      <c r="L396" s="217"/>
      <c r="M396" s="217"/>
      <c r="N396" s="217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BA396" s="5"/>
      <c r="BB396" s="5"/>
      <c r="BC396" s="5"/>
      <c r="BD396" s="5"/>
      <c r="BE396" s="63"/>
      <c r="BF396" s="63"/>
      <c r="BG396" s="63"/>
      <c r="CA396" s="256"/>
      <c r="CB396" s="261"/>
      <c r="CC396" s="261"/>
      <c r="CD396" s="261"/>
      <c r="CE396" s="255"/>
      <c r="CF396" s="261"/>
      <c r="CG396" s="53"/>
      <c r="CH396" s="53"/>
      <c r="CI396" s="53"/>
      <c r="CJ396" s="53"/>
      <c r="CK396" s="53"/>
      <c r="CL396" s="53"/>
      <c r="CN396" s="53"/>
      <c r="CO396" s="53"/>
      <c r="CP396" s="53"/>
      <c r="CQ396" s="53"/>
      <c r="CR396" s="53"/>
      <c r="CS396" s="53"/>
      <c r="CT396" s="255"/>
      <c r="CU396" s="261"/>
      <c r="CV396" s="255"/>
      <c r="CW396" s="261"/>
      <c r="CX396" s="261"/>
      <c r="CY396" s="255"/>
    </row>
    <row r="397" spans="1:103" ht="10.25" customHeight="1">
      <c r="A397" s="216"/>
      <c r="B397" s="217"/>
      <c r="C397" s="218"/>
      <c r="D397" s="219"/>
      <c r="E397" s="217"/>
      <c r="F397" s="217"/>
      <c r="G397" s="217"/>
      <c r="H397" s="220"/>
      <c r="I397" s="217"/>
      <c r="J397" s="217"/>
      <c r="K397" s="217"/>
      <c r="L397" s="217"/>
      <c r="M397" s="217"/>
      <c r="N397" s="217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BA397" s="5"/>
      <c r="BB397" s="5"/>
      <c r="BC397" s="5"/>
      <c r="BD397" s="5"/>
      <c r="BE397" s="63"/>
      <c r="BF397" s="63"/>
      <c r="BG397" s="63"/>
      <c r="CA397" s="256"/>
      <c r="CB397" s="261"/>
      <c r="CC397" s="261"/>
      <c r="CD397" s="261"/>
      <c r="CE397" s="255"/>
      <c r="CF397" s="261"/>
      <c r="CG397" s="53"/>
      <c r="CH397" s="53"/>
      <c r="CI397" s="53"/>
      <c r="CJ397" s="53"/>
      <c r="CK397" s="53"/>
      <c r="CL397" s="53"/>
      <c r="CN397" s="53"/>
      <c r="CO397" s="53"/>
      <c r="CP397" s="53"/>
      <c r="CQ397" s="53"/>
      <c r="CR397" s="53"/>
      <c r="CS397" s="53"/>
      <c r="CT397" s="255"/>
      <c r="CU397" s="261"/>
      <c r="CV397" s="261"/>
      <c r="CW397" s="255"/>
      <c r="CX397" s="261"/>
      <c r="CY397" s="255"/>
    </row>
    <row r="398" spans="1:103" ht="10.25" customHeight="1">
      <c r="A398" s="216"/>
      <c r="B398" s="217"/>
      <c r="C398" s="218"/>
      <c r="D398" s="219"/>
      <c r="E398" s="217"/>
      <c r="F398" s="217"/>
      <c r="G398" s="217"/>
      <c r="H398" s="220"/>
      <c r="I398" s="217"/>
      <c r="J398" s="217"/>
      <c r="K398" s="217"/>
      <c r="L398" s="217"/>
      <c r="M398" s="217"/>
      <c r="N398" s="217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BA398" s="5"/>
      <c r="BB398" s="5"/>
      <c r="BC398" s="5"/>
      <c r="BD398" s="5"/>
      <c r="BE398" s="63"/>
      <c r="BF398" s="63"/>
      <c r="BG398" s="63"/>
      <c r="CA398" s="256"/>
      <c r="CB398" s="261"/>
      <c r="CC398" s="261"/>
      <c r="CD398" s="255"/>
      <c r="CE398" s="261"/>
      <c r="CF398" s="261"/>
      <c r="CG398" s="53"/>
      <c r="CH398" s="53"/>
      <c r="CI398" s="53"/>
      <c r="CJ398" s="53"/>
      <c r="CK398" s="53"/>
      <c r="CL398" s="53"/>
      <c r="CN398" s="53"/>
      <c r="CO398" s="53"/>
      <c r="CP398" s="53"/>
      <c r="CQ398" s="53"/>
      <c r="CR398" s="53"/>
      <c r="CS398" s="53"/>
      <c r="CT398" s="261"/>
      <c r="CU398" s="261"/>
      <c r="CV398" s="255"/>
      <c r="CW398" s="261"/>
      <c r="CX398" s="261"/>
      <c r="CY398" s="255"/>
    </row>
    <row r="399" spans="1:103" ht="10.25" customHeight="1">
      <c r="A399" s="216"/>
      <c r="B399" s="217"/>
      <c r="C399" s="218"/>
      <c r="D399" s="219"/>
      <c r="E399" s="217"/>
      <c r="F399" s="217"/>
      <c r="G399" s="217"/>
      <c r="H399" s="220"/>
      <c r="I399" s="217"/>
      <c r="J399" s="217"/>
      <c r="K399" s="217"/>
      <c r="L399" s="217"/>
      <c r="M399" s="217"/>
      <c r="N399" s="217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BA399" s="5"/>
      <c r="BB399" s="5"/>
      <c r="BC399" s="5"/>
      <c r="BD399" s="5"/>
      <c r="BE399" s="63"/>
      <c r="BF399" s="63"/>
      <c r="BG399" s="63"/>
      <c r="CA399" s="256"/>
      <c r="CB399" s="261"/>
      <c r="CC399" s="261"/>
      <c r="CD399" s="255"/>
      <c r="CE399" s="261"/>
      <c r="CF399" s="261"/>
      <c r="CG399" s="53"/>
      <c r="CH399" s="53"/>
      <c r="CI399" s="53"/>
      <c r="CJ399" s="53"/>
      <c r="CK399" s="53"/>
      <c r="CL399" s="53"/>
      <c r="CN399" s="53"/>
      <c r="CO399" s="53"/>
      <c r="CP399" s="53"/>
      <c r="CQ399" s="53"/>
      <c r="CR399" s="53"/>
      <c r="CS399" s="53"/>
      <c r="CT399" s="261"/>
      <c r="CU399" s="261"/>
      <c r="CV399" s="261"/>
      <c r="CW399" s="255"/>
      <c r="CX399" s="261"/>
      <c r="CY399" s="255"/>
    </row>
    <row r="400" spans="1:103" ht="10.25" customHeight="1">
      <c r="A400" s="216"/>
      <c r="B400" s="217"/>
      <c r="C400" s="218"/>
      <c r="D400" s="219"/>
      <c r="E400" s="217"/>
      <c r="F400" s="217"/>
      <c r="G400" s="217"/>
      <c r="H400" s="220"/>
      <c r="I400" s="217"/>
      <c r="J400" s="217"/>
      <c r="K400" s="217"/>
      <c r="L400" s="217"/>
      <c r="M400" s="217"/>
      <c r="N400" s="217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BA400" s="5"/>
      <c r="BB400" s="5"/>
      <c r="BC400" s="5"/>
      <c r="BD400" s="5"/>
      <c r="BE400" s="63"/>
      <c r="BF400" s="63"/>
      <c r="BG400" s="63"/>
      <c r="CA400" s="256"/>
      <c r="CB400" s="261"/>
      <c r="CC400" s="261"/>
      <c r="CD400" s="255"/>
      <c r="CE400" s="261"/>
      <c r="CF400" s="261"/>
      <c r="CG400" s="53"/>
      <c r="CH400" s="53"/>
      <c r="CI400" s="53"/>
      <c r="CJ400" s="53"/>
      <c r="CK400" s="53"/>
      <c r="CL400" s="53"/>
      <c r="CN400" s="53"/>
      <c r="CO400" s="53"/>
      <c r="CP400" s="53"/>
      <c r="CQ400" s="53"/>
      <c r="CR400" s="53"/>
      <c r="CS400" s="53"/>
      <c r="CT400" s="261"/>
      <c r="CU400" s="261"/>
      <c r="CV400" s="261"/>
      <c r="CW400" s="261"/>
      <c r="CX400" s="261"/>
      <c r="CY400" s="255"/>
    </row>
    <row r="401" spans="1:103" ht="10.25" customHeight="1">
      <c r="A401" s="216"/>
      <c r="B401" s="217"/>
      <c r="C401" s="218"/>
      <c r="D401" s="219"/>
      <c r="E401" s="217"/>
      <c r="F401" s="217"/>
      <c r="G401" s="217"/>
      <c r="H401" s="220"/>
      <c r="I401" s="217"/>
      <c r="J401" s="217"/>
      <c r="K401" s="217"/>
      <c r="L401" s="217"/>
      <c r="M401" s="217"/>
      <c r="N401" s="217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BA401" s="5"/>
      <c r="BB401" s="5"/>
      <c r="BC401" s="5"/>
      <c r="BD401" s="5"/>
      <c r="BE401" s="63"/>
      <c r="BF401" s="63"/>
      <c r="BG401" s="63"/>
      <c r="CA401" s="256"/>
      <c r="CB401" s="261"/>
      <c r="CC401" s="261"/>
      <c r="CD401" s="261"/>
      <c r="CE401" s="261"/>
      <c r="CF401" s="261"/>
      <c r="CG401" s="53"/>
      <c r="CH401" s="53"/>
      <c r="CI401" s="53"/>
      <c r="CJ401" s="53"/>
      <c r="CK401" s="53"/>
      <c r="CL401" s="53"/>
      <c r="CN401" s="53"/>
      <c r="CO401" s="53"/>
      <c r="CP401" s="53"/>
      <c r="CQ401" s="53"/>
      <c r="CR401" s="53"/>
      <c r="CS401" s="53"/>
      <c r="CT401" s="261"/>
      <c r="CU401" s="261"/>
      <c r="CV401" s="255"/>
      <c r="CW401" s="255"/>
      <c r="CX401" s="261"/>
      <c r="CY401" s="255"/>
    </row>
    <row r="402" spans="1:103" ht="10.25" customHeight="1">
      <c r="A402" s="216"/>
      <c r="B402" s="217"/>
      <c r="C402" s="218"/>
      <c r="D402" s="219"/>
      <c r="E402" s="217"/>
      <c r="F402" s="217"/>
      <c r="G402" s="217"/>
      <c r="H402" s="220"/>
      <c r="I402" s="217"/>
      <c r="J402" s="217"/>
      <c r="K402" s="217"/>
      <c r="L402" s="217"/>
      <c r="M402" s="217"/>
      <c r="N402" s="217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BA402" s="5"/>
      <c r="BB402" s="5"/>
      <c r="BC402" s="5"/>
      <c r="BD402" s="5"/>
      <c r="BE402" s="63"/>
      <c r="BF402" s="63"/>
      <c r="BG402" s="63"/>
      <c r="CA402" s="256"/>
      <c r="CB402" s="261"/>
      <c r="CC402" s="261"/>
      <c r="CD402" s="261"/>
      <c r="CE402" s="261"/>
      <c r="CF402" s="261"/>
      <c r="CG402" s="53"/>
      <c r="CH402" s="53"/>
      <c r="CI402" s="53"/>
      <c r="CJ402" s="53"/>
      <c r="CK402" s="53"/>
      <c r="CL402" s="53"/>
      <c r="CN402" s="53"/>
      <c r="CO402" s="53"/>
      <c r="CP402" s="53"/>
      <c r="CQ402" s="53"/>
      <c r="CR402" s="53"/>
      <c r="CS402" s="53"/>
      <c r="CT402" s="261"/>
      <c r="CU402" s="261"/>
      <c r="CV402" s="261"/>
      <c r="CW402" s="261"/>
      <c r="CX402" s="261"/>
      <c r="CY402" s="255"/>
    </row>
    <row r="403" spans="1:103" ht="10.25" customHeight="1">
      <c r="A403" s="216"/>
      <c r="B403" s="217"/>
      <c r="C403" s="218"/>
      <c r="D403" s="219"/>
      <c r="E403" s="217"/>
      <c r="F403" s="217"/>
      <c r="G403" s="217"/>
      <c r="H403" s="220"/>
      <c r="I403" s="217"/>
      <c r="J403" s="217"/>
      <c r="K403" s="217"/>
      <c r="L403" s="217"/>
      <c r="M403" s="217"/>
      <c r="N403" s="217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BA403" s="5"/>
      <c r="BB403" s="5"/>
      <c r="BC403" s="5"/>
      <c r="BD403" s="5"/>
      <c r="BE403" s="63"/>
      <c r="BF403" s="63"/>
      <c r="BG403" s="63"/>
      <c r="CA403" s="256"/>
      <c r="CB403" s="261"/>
      <c r="CC403" s="261"/>
      <c r="CD403" s="261"/>
      <c r="CE403" s="261"/>
      <c r="CF403" s="261"/>
      <c r="CG403" s="53"/>
      <c r="CH403" s="53"/>
      <c r="CI403" s="53"/>
      <c r="CJ403" s="53"/>
      <c r="CK403" s="53"/>
      <c r="CL403" s="53"/>
      <c r="CN403" s="53"/>
      <c r="CO403" s="53"/>
      <c r="CP403" s="53"/>
      <c r="CQ403" s="53"/>
      <c r="CR403" s="53"/>
      <c r="CS403" s="53"/>
      <c r="CT403" s="261"/>
      <c r="CU403" s="261"/>
      <c r="CV403" s="255"/>
      <c r="CW403" s="255"/>
      <c r="CX403" s="261"/>
      <c r="CY403" s="255"/>
    </row>
    <row r="404" spans="1:103" ht="10.25" customHeight="1">
      <c r="A404" s="216"/>
      <c r="B404" s="217"/>
      <c r="C404" s="218"/>
      <c r="D404" s="219"/>
      <c r="E404" s="217"/>
      <c r="F404" s="217"/>
      <c r="G404" s="217"/>
      <c r="H404" s="220"/>
      <c r="I404" s="217"/>
      <c r="J404" s="217"/>
      <c r="K404" s="217"/>
      <c r="L404" s="217"/>
      <c r="M404" s="217"/>
      <c r="N404" s="217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BA404" s="5"/>
      <c r="BB404" s="5"/>
      <c r="BC404" s="5"/>
      <c r="BD404" s="5"/>
      <c r="BE404" s="63"/>
      <c r="BF404" s="63"/>
      <c r="BG404" s="63"/>
      <c r="CA404" s="256"/>
      <c r="CB404" s="261"/>
      <c r="CC404" s="261"/>
      <c r="CD404" s="261"/>
      <c r="CE404" s="261"/>
      <c r="CF404" s="261"/>
      <c r="CG404" s="53"/>
      <c r="CH404" s="53"/>
      <c r="CI404" s="53"/>
      <c r="CJ404" s="53"/>
      <c r="CK404" s="53"/>
      <c r="CL404" s="53"/>
      <c r="CN404" s="53"/>
      <c r="CO404" s="53"/>
      <c r="CP404" s="53"/>
      <c r="CQ404" s="53"/>
      <c r="CR404" s="53"/>
      <c r="CS404" s="53"/>
      <c r="CT404" s="261"/>
      <c r="CU404" s="261"/>
      <c r="CV404" s="261"/>
      <c r="CW404" s="261"/>
      <c r="CX404" s="255"/>
      <c r="CY404" s="255"/>
    </row>
    <row r="405" spans="1:103" ht="10.25" customHeight="1">
      <c r="A405" s="216"/>
      <c r="B405" s="217"/>
      <c r="C405" s="218"/>
      <c r="D405" s="219"/>
      <c r="E405" s="217"/>
      <c r="F405" s="217"/>
      <c r="G405" s="217"/>
      <c r="H405" s="220"/>
      <c r="I405" s="217"/>
      <c r="J405" s="217"/>
      <c r="K405" s="217"/>
      <c r="L405" s="217"/>
      <c r="M405" s="217"/>
      <c r="N405" s="217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BA405" s="5"/>
      <c r="BB405" s="5"/>
      <c r="BC405" s="5"/>
      <c r="BD405" s="5"/>
      <c r="BE405" s="63"/>
      <c r="BF405" s="63"/>
      <c r="BG405" s="63"/>
      <c r="CA405" s="256"/>
      <c r="CB405" s="261"/>
      <c r="CC405" s="261"/>
      <c r="CD405" s="261"/>
      <c r="CE405" s="261"/>
      <c r="CF405" s="261"/>
      <c r="CG405" s="53"/>
      <c r="CH405" s="53"/>
      <c r="CI405" s="53"/>
      <c r="CJ405" s="53"/>
      <c r="CK405" s="53"/>
      <c r="CL405" s="53"/>
      <c r="CN405" s="53"/>
      <c r="CO405" s="53"/>
      <c r="CP405" s="53"/>
      <c r="CQ405" s="53"/>
      <c r="CR405" s="53"/>
      <c r="CS405" s="53"/>
      <c r="CT405" s="261"/>
      <c r="CU405" s="261"/>
      <c r="CV405" s="255"/>
      <c r="CW405" s="255"/>
      <c r="CX405" s="261"/>
      <c r="CY405" s="255"/>
    </row>
    <row r="406" spans="1:103" ht="10.25" customHeight="1">
      <c r="A406" s="216"/>
      <c r="B406" s="217"/>
      <c r="C406" s="218"/>
      <c r="D406" s="219"/>
      <c r="E406" s="217"/>
      <c r="F406" s="217"/>
      <c r="G406" s="217"/>
      <c r="H406" s="220"/>
      <c r="I406" s="217"/>
      <c r="J406" s="217"/>
      <c r="K406" s="217"/>
      <c r="L406" s="217"/>
      <c r="M406" s="217"/>
      <c r="N406" s="217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BA406" s="5"/>
      <c r="BB406" s="5"/>
      <c r="BC406" s="5"/>
      <c r="BD406" s="5"/>
      <c r="BE406" s="63"/>
      <c r="BF406" s="63"/>
      <c r="BG406" s="63"/>
      <c r="CA406" s="256"/>
      <c r="CB406" s="261"/>
      <c r="CC406" s="261"/>
      <c r="CD406" s="261"/>
      <c r="CE406" s="261"/>
      <c r="CF406" s="261"/>
      <c r="CG406" s="53"/>
      <c r="CH406" s="53"/>
      <c r="CI406" s="53"/>
      <c r="CJ406" s="53"/>
      <c r="CK406" s="53"/>
      <c r="CL406" s="53"/>
      <c r="CN406" s="53"/>
      <c r="CO406" s="53"/>
      <c r="CP406" s="53"/>
      <c r="CQ406" s="53"/>
      <c r="CR406" s="53"/>
      <c r="CS406" s="53"/>
      <c r="CT406" s="261"/>
      <c r="CU406" s="261"/>
      <c r="CV406" s="261"/>
      <c r="CW406" s="261"/>
      <c r="CX406" s="261"/>
      <c r="CY406" s="255"/>
    </row>
    <row r="407" spans="1:103" ht="10.25" customHeight="1">
      <c r="A407" s="216"/>
      <c r="B407" s="217"/>
      <c r="C407" s="218"/>
      <c r="D407" s="219"/>
      <c r="E407" s="217"/>
      <c r="F407" s="217"/>
      <c r="G407" s="217"/>
      <c r="H407" s="220"/>
      <c r="I407" s="217"/>
      <c r="J407" s="217"/>
      <c r="K407" s="217"/>
      <c r="L407" s="217"/>
      <c r="M407" s="217"/>
      <c r="N407" s="217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BA407" s="5"/>
      <c r="BB407" s="5"/>
      <c r="BC407" s="5"/>
      <c r="BD407" s="5"/>
      <c r="BE407" s="63"/>
      <c r="BF407" s="63"/>
      <c r="BG407" s="63"/>
      <c r="CA407" s="256"/>
      <c r="CB407" s="261"/>
      <c r="CC407" s="261"/>
      <c r="CD407" s="261"/>
      <c r="CE407" s="261"/>
      <c r="CF407" s="261"/>
      <c r="CG407" s="53"/>
      <c r="CH407" s="53"/>
      <c r="CI407" s="53"/>
      <c r="CJ407" s="53"/>
      <c r="CK407" s="53"/>
      <c r="CL407" s="53"/>
      <c r="CN407" s="53"/>
      <c r="CO407" s="53"/>
      <c r="CP407" s="53"/>
      <c r="CQ407" s="53"/>
      <c r="CR407" s="53"/>
      <c r="CS407" s="53"/>
      <c r="CT407" s="261"/>
      <c r="CU407" s="261"/>
      <c r="CV407" s="261"/>
      <c r="CW407" s="255"/>
      <c r="CX407" s="261"/>
      <c r="CY407" s="255"/>
    </row>
    <row r="408" spans="1:103" ht="10.25" customHeight="1">
      <c r="A408" s="216"/>
      <c r="B408" s="217"/>
      <c r="C408" s="218"/>
      <c r="D408" s="219"/>
      <c r="E408" s="217"/>
      <c r="F408" s="217"/>
      <c r="G408" s="217"/>
      <c r="H408" s="220"/>
      <c r="I408" s="217"/>
      <c r="J408" s="217"/>
      <c r="K408" s="217"/>
      <c r="L408" s="217"/>
      <c r="M408" s="217"/>
      <c r="N408" s="217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BA408" s="5"/>
      <c r="BB408" s="5"/>
      <c r="BC408" s="5"/>
      <c r="BD408" s="5"/>
      <c r="BE408" s="63"/>
      <c r="BF408" s="63"/>
      <c r="BG408" s="63"/>
      <c r="CA408" s="256"/>
      <c r="CB408" s="261"/>
      <c r="CC408" s="261"/>
      <c r="CD408" s="261"/>
      <c r="CE408" s="261"/>
      <c r="CF408" s="261"/>
      <c r="CG408" s="53"/>
      <c r="CH408" s="53"/>
      <c r="CI408" s="53"/>
      <c r="CJ408" s="53"/>
      <c r="CK408" s="53"/>
      <c r="CL408" s="53"/>
      <c r="CN408" s="53"/>
      <c r="CO408" s="53"/>
      <c r="CP408" s="53"/>
      <c r="CQ408" s="53"/>
      <c r="CR408" s="53"/>
      <c r="CS408" s="53"/>
      <c r="CT408" s="261"/>
      <c r="CU408" s="261"/>
      <c r="CV408" s="261"/>
      <c r="CW408" s="261"/>
      <c r="CX408" s="261"/>
      <c r="CY408" s="255"/>
    </row>
    <row r="409" spans="1:103" ht="10.25" customHeight="1">
      <c r="A409" s="216"/>
      <c r="B409" s="217"/>
      <c r="C409" s="218"/>
      <c r="D409" s="219"/>
      <c r="E409" s="217"/>
      <c r="F409" s="217"/>
      <c r="G409" s="217"/>
      <c r="H409" s="220"/>
      <c r="I409" s="217"/>
      <c r="J409" s="217"/>
      <c r="K409" s="217"/>
      <c r="L409" s="217"/>
      <c r="M409" s="217"/>
      <c r="N409" s="217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BA409" s="5"/>
      <c r="BB409" s="5"/>
      <c r="BC409" s="5"/>
      <c r="BD409" s="5"/>
      <c r="BE409" s="63"/>
      <c r="BF409" s="63"/>
      <c r="BG409" s="63"/>
      <c r="CA409" s="256"/>
      <c r="CB409" s="261"/>
      <c r="CC409" s="261"/>
      <c r="CD409" s="261"/>
      <c r="CE409" s="261"/>
      <c r="CF409" s="261"/>
      <c r="CG409" s="53"/>
      <c r="CH409" s="53"/>
      <c r="CI409" s="53"/>
      <c r="CJ409" s="53"/>
      <c r="CK409" s="53"/>
      <c r="CL409" s="53"/>
      <c r="CN409" s="53"/>
      <c r="CO409" s="53"/>
      <c r="CP409" s="53"/>
      <c r="CQ409" s="53"/>
      <c r="CR409" s="53"/>
      <c r="CS409" s="53"/>
      <c r="CT409" s="261"/>
      <c r="CU409" s="261"/>
      <c r="CV409" s="255"/>
      <c r="CW409" s="255"/>
      <c r="CX409" s="261"/>
      <c r="CY409" s="255"/>
    </row>
    <row r="410" spans="1:103" ht="10.25" customHeight="1">
      <c r="A410" s="216"/>
      <c r="B410" s="217"/>
      <c r="C410" s="218"/>
      <c r="D410" s="219"/>
      <c r="E410" s="217"/>
      <c r="F410" s="217"/>
      <c r="G410" s="217"/>
      <c r="H410" s="220"/>
      <c r="I410" s="217"/>
      <c r="J410" s="217"/>
      <c r="K410" s="217"/>
      <c r="L410" s="217"/>
      <c r="M410" s="217"/>
      <c r="N410" s="217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BA410" s="5"/>
      <c r="BB410" s="5"/>
      <c r="BC410" s="5"/>
      <c r="BD410" s="5"/>
      <c r="BE410" s="63"/>
      <c r="BF410" s="63"/>
      <c r="BG410" s="63"/>
      <c r="CA410" s="256"/>
      <c r="CB410" s="261"/>
      <c r="CC410" s="261"/>
      <c r="CD410" s="261"/>
      <c r="CE410" s="261"/>
      <c r="CF410" s="261"/>
      <c r="CG410" s="53"/>
      <c r="CH410" s="53"/>
      <c r="CI410" s="53"/>
      <c r="CJ410" s="53"/>
      <c r="CK410" s="53"/>
      <c r="CL410" s="53"/>
      <c r="CN410" s="53"/>
      <c r="CO410" s="53"/>
      <c r="CP410" s="53"/>
      <c r="CQ410" s="53"/>
      <c r="CR410" s="53"/>
      <c r="CS410" s="53"/>
      <c r="CT410" s="261"/>
      <c r="CU410" s="261"/>
      <c r="CV410" s="261"/>
      <c r="CW410" s="261"/>
      <c r="CX410" s="261"/>
      <c r="CY410" s="255"/>
    </row>
    <row r="411" spans="1:103" ht="10.25" customHeight="1">
      <c r="A411" s="216"/>
      <c r="B411" s="217"/>
      <c r="C411" s="218"/>
      <c r="D411" s="219"/>
      <c r="E411" s="217"/>
      <c r="F411" s="217"/>
      <c r="G411" s="217"/>
      <c r="H411" s="220"/>
      <c r="I411" s="217"/>
      <c r="J411" s="217"/>
      <c r="K411" s="217"/>
      <c r="L411" s="217"/>
      <c r="M411" s="217"/>
      <c r="N411" s="217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BA411" s="5"/>
      <c r="BB411" s="5"/>
      <c r="BC411" s="5"/>
      <c r="BD411" s="5"/>
      <c r="BE411" s="63"/>
      <c r="BF411" s="63"/>
      <c r="BG411" s="63"/>
      <c r="CA411" s="256"/>
      <c r="CB411" s="261"/>
      <c r="CC411" s="261"/>
      <c r="CD411" s="261"/>
      <c r="CE411" s="261"/>
      <c r="CF411" s="261"/>
      <c r="CG411" s="53"/>
      <c r="CH411" s="53"/>
      <c r="CI411" s="53"/>
      <c r="CJ411" s="53"/>
      <c r="CK411" s="53"/>
      <c r="CL411" s="53"/>
      <c r="CN411" s="53"/>
      <c r="CO411" s="53"/>
      <c r="CP411" s="53"/>
      <c r="CQ411" s="53"/>
      <c r="CR411" s="53"/>
      <c r="CS411" s="53"/>
      <c r="CT411" s="261"/>
      <c r="CU411" s="261"/>
      <c r="CV411" s="255"/>
      <c r="CW411" s="255"/>
      <c r="CX411" s="255"/>
      <c r="CY411" s="255"/>
    </row>
    <row r="412" spans="1:103" ht="10.25" customHeight="1">
      <c r="A412" s="216"/>
      <c r="B412" s="217"/>
      <c r="C412" s="218"/>
      <c r="D412" s="219"/>
      <c r="E412" s="217"/>
      <c r="F412" s="217"/>
      <c r="G412" s="217"/>
      <c r="H412" s="220"/>
      <c r="I412" s="217"/>
      <c r="J412" s="217"/>
      <c r="K412" s="217"/>
      <c r="L412" s="217"/>
      <c r="M412" s="217"/>
      <c r="N412" s="217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BA412" s="5"/>
      <c r="BB412" s="5"/>
      <c r="BC412" s="5"/>
      <c r="BD412" s="5"/>
      <c r="BE412" s="63"/>
      <c r="BF412" s="63"/>
      <c r="BG412" s="63"/>
      <c r="CA412" s="256"/>
      <c r="CB412" s="261"/>
      <c r="CC412" s="261"/>
      <c r="CD412" s="261"/>
      <c r="CE412" s="261"/>
      <c r="CF412" s="261"/>
      <c r="CG412" s="53"/>
      <c r="CH412" s="53"/>
      <c r="CI412" s="53"/>
      <c r="CJ412" s="53"/>
      <c r="CK412" s="53"/>
      <c r="CL412" s="53"/>
      <c r="CN412" s="53"/>
      <c r="CO412" s="53"/>
      <c r="CP412" s="53"/>
      <c r="CQ412" s="53"/>
      <c r="CR412" s="53"/>
      <c r="CS412" s="53"/>
      <c r="CT412" s="261"/>
      <c r="CU412" s="261"/>
      <c r="CV412" s="261"/>
      <c r="CW412" s="255"/>
      <c r="CX412" s="261"/>
      <c r="CY412" s="255"/>
    </row>
    <row r="413" spans="1:103" ht="10.25" customHeight="1">
      <c r="A413" s="216"/>
      <c r="B413" s="217"/>
      <c r="C413" s="218"/>
      <c r="D413" s="219"/>
      <c r="E413" s="217"/>
      <c r="F413" s="217"/>
      <c r="G413" s="217"/>
      <c r="H413" s="220"/>
      <c r="I413" s="217"/>
      <c r="J413" s="217"/>
      <c r="K413" s="217"/>
      <c r="L413" s="217"/>
      <c r="M413" s="217"/>
      <c r="N413" s="217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BA413" s="5"/>
      <c r="BB413" s="5"/>
      <c r="BC413" s="5"/>
      <c r="BD413" s="5"/>
      <c r="BE413" s="63"/>
      <c r="BF413" s="63"/>
      <c r="BG413" s="63"/>
      <c r="CA413" s="256"/>
      <c r="CB413" s="261"/>
      <c r="CC413" s="261"/>
      <c r="CD413" s="261"/>
      <c r="CE413" s="261"/>
      <c r="CF413" s="261"/>
      <c r="CG413" s="53"/>
      <c r="CH413" s="53"/>
      <c r="CI413" s="53"/>
      <c r="CJ413" s="53"/>
      <c r="CK413" s="53"/>
      <c r="CL413" s="53"/>
      <c r="CN413" s="53"/>
      <c r="CO413" s="53"/>
      <c r="CP413" s="53"/>
      <c r="CQ413" s="53"/>
      <c r="CR413" s="53"/>
      <c r="CS413" s="53"/>
      <c r="CT413" s="261"/>
      <c r="CU413" s="261"/>
      <c r="CV413" s="255"/>
      <c r="CW413" s="255"/>
      <c r="CX413" s="261"/>
      <c r="CY413" s="255"/>
    </row>
    <row r="414" spans="1:103" ht="10.25" customHeight="1">
      <c r="A414" s="216"/>
      <c r="B414" s="217"/>
      <c r="C414" s="218"/>
      <c r="D414" s="219"/>
      <c r="E414" s="217"/>
      <c r="F414" s="217"/>
      <c r="G414" s="217"/>
      <c r="H414" s="220"/>
      <c r="I414" s="217"/>
      <c r="J414" s="217"/>
      <c r="K414" s="217"/>
      <c r="L414" s="217"/>
      <c r="M414" s="217"/>
      <c r="N414" s="217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BA414" s="5"/>
      <c r="BB414" s="5"/>
      <c r="BC414" s="5"/>
      <c r="BD414" s="5"/>
      <c r="BE414" s="63"/>
      <c r="BF414" s="63"/>
      <c r="BG414" s="63"/>
      <c r="CA414" s="256"/>
      <c r="CB414" s="261"/>
      <c r="CC414" s="261"/>
      <c r="CD414" s="261"/>
      <c r="CE414" s="261"/>
      <c r="CF414" s="261"/>
      <c r="CG414" s="53"/>
      <c r="CH414" s="53"/>
      <c r="CI414" s="53"/>
      <c r="CJ414" s="53"/>
      <c r="CK414" s="53"/>
      <c r="CL414" s="53"/>
      <c r="CN414" s="53"/>
      <c r="CO414" s="53"/>
      <c r="CP414" s="53"/>
      <c r="CQ414" s="53"/>
      <c r="CR414" s="53"/>
      <c r="CS414" s="53"/>
      <c r="CT414" s="261"/>
      <c r="CU414" s="261"/>
      <c r="CV414" s="261"/>
      <c r="CW414" s="261"/>
      <c r="CX414" s="261"/>
      <c r="CY414" s="255"/>
    </row>
    <row r="415" spans="1:103" ht="10.25" customHeight="1">
      <c r="A415" s="216"/>
      <c r="B415" s="217"/>
      <c r="C415" s="218"/>
      <c r="D415" s="219"/>
      <c r="E415" s="217"/>
      <c r="F415" s="217"/>
      <c r="G415" s="217"/>
      <c r="H415" s="220"/>
      <c r="I415" s="217"/>
      <c r="J415" s="217"/>
      <c r="K415" s="217"/>
      <c r="L415" s="217"/>
      <c r="M415" s="217"/>
      <c r="N415" s="217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BA415" s="5"/>
      <c r="BB415" s="5"/>
      <c r="BC415" s="5"/>
      <c r="BD415" s="5"/>
      <c r="BE415" s="63"/>
      <c r="BF415" s="63"/>
      <c r="BG415" s="63"/>
      <c r="CA415" s="256"/>
      <c r="CB415" s="261"/>
      <c r="CC415" s="261"/>
      <c r="CD415" s="261"/>
      <c r="CE415" s="261"/>
      <c r="CF415" s="261"/>
      <c r="CG415" s="53"/>
      <c r="CH415" s="53"/>
      <c r="CI415" s="53"/>
      <c r="CJ415" s="53"/>
      <c r="CK415" s="53"/>
      <c r="CL415" s="53"/>
      <c r="CN415" s="53"/>
      <c r="CO415" s="53"/>
      <c r="CP415" s="53"/>
      <c r="CQ415" s="53"/>
      <c r="CR415" s="53"/>
      <c r="CS415" s="53"/>
      <c r="CT415" s="261"/>
      <c r="CU415" s="261"/>
      <c r="CV415" s="255"/>
      <c r="CW415" s="255"/>
      <c r="CX415" s="261"/>
      <c r="CY415" s="255"/>
    </row>
    <row r="416" spans="1:103" ht="10.25" customHeight="1">
      <c r="A416" s="216"/>
      <c r="B416" s="217"/>
      <c r="C416" s="218"/>
      <c r="D416" s="219"/>
      <c r="E416" s="217"/>
      <c r="F416" s="217"/>
      <c r="G416" s="217"/>
      <c r="H416" s="220"/>
      <c r="I416" s="217"/>
      <c r="J416" s="217"/>
      <c r="K416" s="217"/>
      <c r="L416" s="217"/>
      <c r="M416" s="217"/>
      <c r="N416" s="217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BA416" s="5"/>
      <c r="BB416" s="5"/>
      <c r="BC416" s="5"/>
      <c r="BD416" s="5"/>
      <c r="BE416" s="63"/>
      <c r="BF416" s="63"/>
      <c r="BG416" s="63"/>
      <c r="CA416" s="256"/>
      <c r="CB416" s="261"/>
      <c r="CC416" s="261"/>
      <c r="CD416" s="261"/>
      <c r="CE416" s="261"/>
      <c r="CF416" s="255"/>
      <c r="CG416" s="53"/>
      <c r="CH416" s="53"/>
      <c r="CI416" s="53"/>
      <c r="CJ416" s="53"/>
      <c r="CK416" s="53"/>
      <c r="CL416" s="53"/>
      <c r="CN416" s="53"/>
      <c r="CO416" s="53"/>
      <c r="CP416" s="53"/>
      <c r="CQ416" s="53"/>
      <c r="CR416" s="53"/>
      <c r="CS416" s="53"/>
      <c r="CT416" s="261"/>
      <c r="CU416" s="255"/>
      <c r="CV416" s="261"/>
      <c r="CW416" s="261"/>
      <c r="CX416" s="261"/>
      <c r="CY416" s="255"/>
    </row>
    <row r="417" spans="1:103" ht="10.25" customHeight="1">
      <c r="A417" s="216"/>
      <c r="B417" s="217"/>
      <c r="C417" s="218"/>
      <c r="D417" s="219"/>
      <c r="E417" s="217"/>
      <c r="F417" s="217"/>
      <c r="G417" s="217"/>
      <c r="H417" s="220"/>
      <c r="I417" s="217"/>
      <c r="J417" s="217"/>
      <c r="K417" s="217"/>
      <c r="L417" s="217"/>
      <c r="M417" s="217"/>
      <c r="N417" s="217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BA417" s="5"/>
      <c r="BB417" s="5"/>
      <c r="BC417" s="5"/>
      <c r="BD417" s="5"/>
      <c r="BE417" s="63"/>
      <c r="BF417" s="63"/>
      <c r="BG417" s="63"/>
      <c r="CA417" s="256"/>
      <c r="CB417" s="261"/>
      <c r="CC417" s="261"/>
      <c r="CD417" s="261"/>
      <c r="CE417" s="261"/>
      <c r="CF417" s="255"/>
      <c r="CG417" s="53"/>
      <c r="CH417" s="53"/>
      <c r="CI417" s="53"/>
      <c r="CJ417" s="53"/>
      <c r="CK417" s="53"/>
      <c r="CL417" s="53"/>
      <c r="CN417" s="53"/>
      <c r="CO417" s="53"/>
      <c r="CP417" s="53"/>
      <c r="CQ417" s="53"/>
      <c r="CR417" s="53"/>
      <c r="CS417" s="53"/>
      <c r="CT417" s="261"/>
      <c r="CU417" s="255"/>
      <c r="CV417" s="255"/>
      <c r="CW417" s="255"/>
      <c r="CX417" s="261"/>
      <c r="CY417" s="255"/>
    </row>
    <row r="418" spans="1:103" ht="10.25" customHeight="1">
      <c r="A418" s="216"/>
      <c r="B418" s="217"/>
      <c r="C418" s="218"/>
      <c r="D418" s="219"/>
      <c r="E418" s="217"/>
      <c r="F418" s="217"/>
      <c r="G418" s="217"/>
      <c r="H418" s="220"/>
      <c r="I418" s="217"/>
      <c r="J418" s="217"/>
      <c r="K418" s="217"/>
      <c r="L418" s="217"/>
      <c r="M418" s="217"/>
      <c r="N418" s="217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BA418" s="5"/>
      <c r="BB418" s="5"/>
      <c r="BC418" s="5"/>
      <c r="BD418" s="5"/>
      <c r="BE418" s="63"/>
      <c r="BF418" s="63"/>
      <c r="BG418" s="63"/>
      <c r="CA418" s="256"/>
      <c r="CB418" s="261"/>
      <c r="CC418" s="261"/>
      <c r="CD418" s="261"/>
      <c r="CE418" s="255"/>
      <c r="CF418" s="261"/>
      <c r="CG418" s="53"/>
      <c r="CH418" s="53"/>
      <c r="CI418" s="53"/>
      <c r="CJ418" s="53"/>
      <c r="CK418" s="53"/>
      <c r="CL418" s="53"/>
      <c r="CN418" s="53"/>
      <c r="CO418" s="53"/>
      <c r="CP418" s="53"/>
      <c r="CQ418" s="53"/>
      <c r="CR418" s="53"/>
      <c r="CS418" s="53"/>
      <c r="CT418" s="255"/>
      <c r="CU418" s="261"/>
      <c r="CV418" s="261"/>
      <c r="CW418" s="261"/>
      <c r="CX418" s="261"/>
      <c r="CY418" s="255"/>
    </row>
    <row r="419" spans="1:103" ht="10.25" customHeight="1">
      <c r="A419" s="216"/>
      <c r="B419" s="217"/>
      <c r="C419" s="218"/>
      <c r="D419" s="219"/>
      <c r="E419" s="217"/>
      <c r="F419" s="217"/>
      <c r="G419" s="217"/>
      <c r="H419" s="220"/>
      <c r="I419" s="217"/>
      <c r="J419" s="217"/>
      <c r="K419" s="217"/>
      <c r="L419" s="217"/>
      <c r="M419" s="217"/>
      <c r="N419" s="217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BA419" s="5"/>
      <c r="BB419" s="5"/>
      <c r="BC419" s="5"/>
      <c r="BD419" s="5"/>
      <c r="BE419" s="63"/>
      <c r="BF419" s="63"/>
      <c r="BG419" s="63"/>
      <c r="CA419" s="256"/>
      <c r="CB419" s="261"/>
      <c r="CC419" s="261"/>
      <c r="CD419" s="261"/>
      <c r="CE419" s="255"/>
      <c r="CF419" s="261"/>
      <c r="CG419" s="53"/>
      <c r="CH419" s="53"/>
      <c r="CI419" s="53"/>
      <c r="CJ419" s="53"/>
      <c r="CK419" s="53"/>
      <c r="CL419" s="53"/>
      <c r="CN419" s="53"/>
      <c r="CO419" s="53"/>
      <c r="CP419" s="53"/>
      <c r="CQ419" s="53"/>
      <c r="CR419" s="53"/>
      <c r="CS419" s="53"/>
      <c r="CT419" s="255"/>
      <c r="CU419" s="261"/>
      <c r="CV419" s="255"/>
      <c r="CW419" s="255"/>
      <c r="CX419" s="261"/>
      <c r="CY419" s="255"/>
    </row>
    <row r="420" spans="1:103" ht="10.25" customHeight="1">
      <c r="A420" s="216"/>
      <c r="B420" s="217"/>
      <c r="C420" s="218"/>
      <c r="D420" s="219"/>
      <c r="E420" s="217"/>
      <c r="F420" s="217"/>
      <c r="G420" s="217"/>
      <c r="H420" s="220"/>
      <c r="I420" s="217"/>
      <c r="J420" s="217"/>
      <c r="K420" s="217"/>
      <c r="L420" s="217"/>
      <c r="M420" s="217"/>
      <c r="N420" s="217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BA420" s="5"/>
      <c r="BB420" s="5"/>
      <c r="BC420" s="5"/>
      <c r="BD420" s="5"/>
      <c r="BE420" s="63"/>
      <c r="BF420" s="63"/>
      <c r="BG420" s="63"/>
      <c r="CA420" s="256"/>
      <c r="CB420" s="261"/>
      <c r="CC420" s="261"/>
      <c r="CD420" s="261"/>
      <c r="CE420" s="261"/>
      <c r="CF420" s="261"/>
      <c r="CG420" s="53"/>
      <c r="CH420" s="53"/>
      <c r="CI420" s="53"/>
      <c r="CJ420" s="53"/>
      <c r="CK420" s="53"/>
      <c r="CL420" s="53"/>
      <c r="CN420" s="53"/>
      <c r="CO420" s="53"/>
      <c r="CP420" s="53"/>
      <c r="CQ420" s="53"/>
      <c r="CR420" s="53"/>
      <c r="CS420" s="53"/>
      <c r="CT420" s="261"/>
      <c r="CU420" s="261"/>
      <c r="CV420" s="261"/>
      <c r="CW420" s="261"/>
      <c r="CX420" s="255"/>
      <c r="CY420" s="255"/>
    </row>
    <row r="421" spans="1:103" ht="10.25" customHeight="1">
      <c r="A421" s="216"/>
      <c r="B421" s="217"/>
      <c r="C421" s="218"/>
      <c r="D421" s="219"/>
      <c r="E421" s="217"/>
      <c r="F421" s="217"/>
      <c r="G421" s="217"/>
      <c r="H421" s="220"/>
      <c r="I421" s="217"/>
      <c r="J421" s="217"/>
      <c r="K421" s="217"/>
      <c r="L421" s="217"/>
      <c r="M421" s="217"/>
      <c r="N421" s="217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BA421" s="5"/>
      <c r="BB421" s="5"/>
      <c r="BC421" s="5"/>
      <c r="BD421" s="5"/>
      <c r="BE421" s="63"/>
      <c r="BF421" s="63"/>
      <c r="BG421" s="63"/>
      <c r="CA421" s="256"/>
      <c r="CB421" s="261"/>
      <c r="CC421" s="261"/>
      <c r="CD421" s="261"/>
      <c r="CE421" s="261"/>
      <c r="CF421" s="261"/>
      <c r="CG421" s="53"/>
      <c r="CH421" s="53"/>
      <c r="CI421" s="53"/>
      <c r="CJ421" s="53"/>
      <c r="CK421" s="53"/>
      <c r="CL421" s="53"/>
      <c r="CN421" s="53"/>
      <c r="CO421" s="53"/>
      <c r="CP421" s="53"/>
      <c r="CQ421" s="53"/>
      <c r="CR421" s="53"/>
      <c r="CS421" s="53"/>
      <c r="CT421" s="261"/>
      <c r="CU421" s="261"/>
      <c r="CV421" s="255"/>
      <c r="CW421" s="255"/>
      <c r="CX421" s="261"/>
      <c r="CY421" s="255"/>
    </row>
    <row r="422" spans="1:103" ht="10.25" customHeight="1">
      <c r="A422" s="216"/>
      <c r="B422" s="217"/>
      <c r="C422" s="218"/>
      <c r="D422" s="219"/>
      <c r="E422" s="217"/>
      <c r="F422" s="217"/>
      <c r="G422" s="217"/>
      <c r="H422" s="220"/>
      <c r="I422" s="217"/>
      <c r="J422" s="217"/>
      <c r="K422" s="217"/>
      <c r="L422" s="217"/>
      <c r="M422" s="217"/>
      <c r="N422" s="217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BA422" s="5"/>
      <c r="BB422" s="5"/>
      <c r="BC422" s="5"/>
      <c r="BD422" s="5"/>
      <c r="BE422" s="63"/>
      <c r="BF422" s="63"/>
      <c r="BG422" s="63"/>
      <c r="CA422" s="256"/>
      <c r="CB422" s="261"/>
      <c r="CC422" s="261"/>
      <c r="CD422" s="261"/>
      <c r="CE422" s="261"/>
      <c r="CF422" s="261"/>
      <c r="CG422" s="53"/>
      <c r="CH422" s="53"/>
      <c r="CI422" s="53"/>
      <c r="CJ422" s="53"/>
      <c r="CK422" s="53"/>
      <c r="CL422" s="53"/>
      <c r="CN422" s="53"/>
      <c r="CO422" s="53"/>
      <c r="CP422" s="53"/>
      <c r="CQ422" s="53"/>
      <c r="CR422" s="53"/>
      <c r="CS422" s="53"/>
      <c r="CT422" s="261"/>
      <c r="CU422" s="261"/>
      <c r="CV422" s="261"/>
      <c r="CW422" s="255"/>
      <c r="CX422" s="261"/>
      <c r="CY422" s="255"/>
    </row>
    <row r="423" spans="1:103" ht="10.25" customHeight="1">
      <c r="A423" s="216"/>
      <c r="B423" s="217"/>
      <c r="C423" s="218"/>
      <c r="D423" s="219"/>
      <c r="E423" s="217"/>
      <c r="F423" s="217"/>
      <c r="G423" s="217"/>
      <c r="H423" s="220"/>
      <c r="I423" s="217"/>
      <c r="J423" s="217"/>
      <c r="K423" s="217"/>
      <c r="L423" s="217"/>
      <c r="M423" s="217"/>
      <c r="N423" s="217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BA423" s="5"/>
      <c r="BB423" s="5"/>
      <c r="BC423" s="5"/>
      <c r="BD423" s="5"/>
      <c r="BE423" s="63"/>
      <c r="BF423" s="63"/>
      <c r="BG423" s="63"/>
      <c r="CA423" s="256"/>
      <c r="CB423" s="261"/>
      <c r="CC423" s="261"/>
      <c r="CD423" s="261"/>
      <c r="CE423" s="261"/>
      <c r="CF423" s="261"/>
      <c r="CG423" s="53"/>
      <c r="CH423" s="53"/>
      <c r="CI423" s="53"/>
      <c r="CJ423" s="53"/>
      <c r="CK423" s="53"/>
      <c r="CL423" s="53"/>
      <c r="CN423" s="53"/>
      <c r="CO423" s="53"/>
      <c r="CP423" s="53"/>
      <c r="CQ423" s="53"/>
      <c r="CR423" s="53"/>
      <c r="CS423" s="53"/>
      <c r="CT423" s="261"/>
      <c r="CU423" s="261"/>
      <c r="CV423" s="255"/>
      <c r="CW423" s="255"/>
      <c r="CX423" s="261"/>
      <c r="CY423" s="255"/>
    </row>
    <row r="424" spans="1:103" ht="10.25" customHeight="1">
      <c r="A424" s="216"/>
      <c r="B424" s="217"/>
      <c r="C424" s="218"/>
      <c r="D424" s="219"/>
      <c r="E424" s="217"/>
      <c r="F424" s="217"/>
      <c r="G424" s="217"/>
      <c r="H424" s="220"/>
      <c r="I424" s="217"/>
      <c r="J424" s="217"/>
      <c r="K424" s="217"/>
      <c r="L424" s="217"/>
      <c r="M424" s="217"/>
      <c r="N424" s="217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BA424" s="5"/>
      <c r="BB424" s="5"/>
      <c r="BC424" s="5"/>
      <c r="BD424" s="5"/>
      <c r="BE424" s="63"/>
      <c r="BF424" s="63"/>
      <c r="BG424" s="63"/>
      <c r="CA424" s="256"/>
      <c r="CB424" s="261"/>
      <c r="CC424" s="261"/>
      <c r="CD424" s="261"/>
      <c r="CE424" s="261"/>
      <c r="CF424" s="261"/>
      <c r="CG424" s="53"/>
      <c r="CH424" s="53"/>
      <c r="CI424" s="53"/>
      <c r="CJ424" s="53"/>
      <c r="CK424" s="53"/>
      <c r="CL424" s="53"/>
      <c r="CN424" s="53"/>
      <c r="CO424" s="53"/>
      <c r="CP424" s="53"/>
      <c r="CQ424" s="53"/>
      <c r="CR424" s="53"/>
      <c r="CS424" s="53"/>
      <c r="CT424" s="261"/>
      <c r="CU424" s="261"/>
      <c r="CV424" s="261"/>
      <c r="CW424" s="261"/>
      <c r="CX424" s="261"/>
      <c r="CY424" s="255"/>
    </row>
    <row r="425" spans="1:103" ht="10.25" customHeight="1">
      <c r="A425" s="216"/>
      <c r="B425" s="217"/>
      <c r="C425" s="218"/>
      <c r="D425" s="219"/>
      <c r="E425" s="217"/>
      <c r="F425" s="217"/>
      <c r="G425" s="217"/>
      <c r="H425" s="220"/>
      <c r="I425" s="217"/>
      <c r="J425" s="217"/>
      <c r="K425" s="217"/>
      <c r="L425" s="217"/>
      <c r="M425" s="217"/>
      <c r="N425" s="217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BA425" s="5"/>
      <c r="BB425" s="5"/>
      <c r="BC425" s="5"/>
      <c r="BD425" s="5"/>
      <c r="BE425" s="63"/>
      <c r="BF425" s="63"/>
      <c r="BG425" s="63"/>
      <c r="CA425" s="256"/>
      <c r="CB425" s="261"/>
      <c r="CC425" s="261"/>
      <c r="CD425" s="255"/>
      <c r="CE425" s="261"/>
      <c r="CF425" s="261"/>
      <c r="CG425" s="53"/>
      <c r="CH425" s="53"/>
      <c r="CI425" s="53"/>
      <c r="CJ425" s="53"/>
      <c r="CK425" s="53"/>
      <c r="CL425" s="53"/>
      <c r="CN425" s="53"/>
      <c r="CO425" s="53"/>
      <c r="CP425" s="53"/>
      <c r="CQ425" s="53"/>
      <c r="CR425" s="53"/>
      <c r="CS425" s="53"/>
      <c r="CT425" s="261"/>
      <c r="CU425" s="261"/>
      <c r="CV425" s="261"/>
      <c r="CW425" s="261"/>
      <c r="CX425" s="261"/>
      <c r="CY425" s="255"/>
    </row>
    <row r="426" spans="1:103" ht="10.25" customHeight="1">
      <c r="A426" s="216"/>
      <c r="B426" s="217"/>
      <c r="C426" s="218"/>
      <c r="D426" s="219"/>
      <c r="E426" s="217"/>
      <c r="F426" s="217"/>
      <c r="G426" s="217"/>
      <c r="H426" s="220"/>
      <c r="I426" s="217"/>
      <c r="J426" s="217"/>
      <c r="K426" s="217"/>
      <c r="L426" s="217"/>
      <c r="M426" s="217"/>
      <c r="N426" s="217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BA426" s="5"/>
      <c r="BB426" s="5"/>
      <c r="BC426" s="5"/>
      <c r="BD426" s="5"/>
      <c r="BE426" s="63"/>
      <c r="BF426" s="63"/>
      <c r="BG426" s="63"/>
      <c r="CA426" s="256"/>
      <c r="CB426" s="261"/>
      <c r="CC426" s="261"/>
      <c r="CD426" s="255"/>
      <c r="CE426" s="261"/>
      <c r="CF426" s="261"/>
      <c r="CG426" s="53"/>
      <c r="CH426" s="53"/>
      <c r="CI426" s="53"/>
      <c r="CJ426" s="53"/>
      <c r="CK426" s="53"/>
      <c r="CL426" s="53"/>
      <c r="CN426" s="53"/>
      <c r="CO426" s="53"/>
      <c r="CP426" s="53"/>
      <c r="CQ426" s="53"/>
      <c r="CR426" s="53"/>
      <c r="CS426" s="53"/>
      <c r="CT426" s="261"/>
      <c r="CU426" s="261"/>
      <c r="CV426" s="261"/>
      <c r="CW426" s="261"/>
      <c r="CX426" s="261"/>
      <c r="CY426" s="255"/>
    </row>
    <row r="427" spans="1:103" ht="10.25" customHeight="1">
      <c r="A427" s="216"/>
      <c r="B427" s="217"/>
      <c r="C427" s="218"/>
      <c r="D427" s="219"/>
      <c r="E427" s="217"/>
      <c r="F427" s="217"/>
      <c r="G427" s="217"/>
      <c r="H427" s="220"/>
      <c r="I427" s="217"/>
      <c r="J427" s="217"/>
      <c r="K427" s="217"/>
      <c r="L427" s="217"/>
      <c r="M427" s="217"/>
      <c r="N427" s="217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BA427" s="5"/>
      <c r="BB427" s="5"/>
      <c r="BC427" s="5"/>
      <c r="BD427" s="5"/>
      <c r="BE427" s="63"/>
      <c r="BF427" s="63"/>
      <c r="BG427" s="63"/>
      <c r="CA427" s="256"/>
      <c r="CB427" s="261"/>
      <c r="CC427" s="261"/>
      <c r="CD427" s="255"/>
      <c r="CE427" s="261"/>
      <c r="CF427" s="261"/>
      <c r="CG427" s="53"/>
      <c r="CH427" s="53"/>
      <c r="CI427" s="53"/>
      <c r="CJ427" s="53"/>
      <c r="CK427" s="53"/>
      <c r="CL427" s="53"/>
      <c r="CN427" s="53"/>
      <c r="CO427" s="53"/>
      <c r="CP427" s="53"/>
      <c r="CQ427" s="53"/>
      <c r="CR427" s="53"/>
      <c r="CS427" s="53"/>
      <c r="CT427" s="261"/>
      <c r="CU427" s="261"/>
      <c r="CV427" s="261"/>
      <c r="CW427" s="261"/>
      <c r="CX427" s="261"/>
      <c r="CY427" s="255"/>
    </row>
    <row r="428" spans="1:103" ht="10.25" customHeight="1">
      <c r="A428" s="216"/>
      <c r="B428" s="217"/>
      <c r="C428" s="218"/>
      <c r="D428" s="219"/>
      <c r="E428" s="217"/>
      <c r="F428" s="217"/>
      <c r="G428" s="217"/>
      <c r="H428" s="220"/>
      <c r="I428" s="217"/>
      <c r="J428" s="217"/>
      <c r="K428" s="217"/>
      <c r="L428" s="217"/>
      <c r="M428" s="217"/>
      <c r="N428" s="217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BA428" s="5"/>
      <c r="BB428" s="5"/>
      <c r="BC428" s="5"/>
      <c r="BD428" s="5"/>
      <c r="BE428" s="63"/>
      <c r="BF428" s="63"/>
      <c r="BG428" s="63"/>
      <c r="CA428" s="256"/>
      <c r="CB428" s="261"/>
      <c r="CC428" s="255"/>
      <c r="CD428" s="261"/>
      <c r="CE428" s="261"/>
      <c r="CF428" s="261"/>
      <c r="CG428" s="53"/>
      <c r="CH428" s="53"/>
      <c r="CI428" s="53"/>
      <c r="CJ428" s="53"/>
      <c r="CK428" s="53"/>
      <c r="CL428" s="53"/>
      <c r="CN428" s="53"/>
      <c r="CO428" s="53"/>
      <c r="CP428" s="53"/>
      <c r="CQ428" s="53"/>
      <c r="CR428" s="53"/>
      <c r="CS428" s="53"/>
      <c r="CT428" s="261"/>
      <c r="CU428" s="261"/>
      <c r="CV428" s="261"/>
      <c r="CW428" s="261"/>
      <c r="CX428" s="261"/>
      <c r="CY428" s="255"/>
    </row>
    <row r="429" spans="1:103" ht="10.25" customHeight="1">
      <c r="A429" s="216"/>
      <c r="B429" s="217"/>
      <c r="C429" s="218"/>
      <c r="D429" s="219"/>
      <c r="E429" s="217"/>
      <c r="F429" s="217"/>
      <c r="G429" s="217"/>
      <c r="H429" s="220"/>
      <c r="I429" s="217"/>
      <c r="J429" s="217"/>
      <c r="K429" s="217"/>
      <c r="L429" s="217"/>
      <c r="M429" s="217"/>
      <c r="N429" s="217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BA429" s="5"/>
      <c r="BB429" s="5"/>
      <c r="BC429" s="5"/>
      <c r="BD429" s="5"/>
      <c r="BE429" s="63"/>
      <c r="BF429" s="63"/>
      <c r="BG429" s="63"/>
      <c r="CA429" s="256"/>
      <c r="CB429" s="261"/>
      <c r="CC429" s="255"/>
      <c r="CD429" s="261"/>
      <c r="CE429" s="261"/>
      <c r="CF429" s="261"/>
      <c r="CG429" s="53"/>
      <c r="CH429" s="53"/>
      <c r="CI429" s="53"/>
      <c r="CJ429" s="53"/>
      <c r="CK429" s="53"/>
      <c r="CL429" s="53"/>
      <c r="CN429" s="53"/>
      <c r="CO429" s="53"/>
      <c r="CP429" s="53"/>
      <c r="CQ429" s="53"/>
      <c r="CR429" s="53"/>
      <c r="CS429" s="53"/>
      <c r="CT429" s="261"/>
      <c r="CU429" s="261"/>
      <c r="CV429" s="261"/>
      <c r="CW429" s="261"/>
      <c r="CX429" s="261"/>
      <c r="CY429" s="255"/>
    </row>
    <row r="430" spans="1:103" ht="10.25" customHeight="1">
      <c r="A430" s="371"/>
      <c r="B430" s="371"/>
      <c r="C430" s="371"/>
      <c r="D430" s="269"/>
      <c r="L430" s="269"/>
      <c r="M430" s="269"/>
      <c r="N430" s="269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CA430" s="256"/>
      <c r="CB430" s="261"/>
      <c r="CC430" s="255"/>
      <c r="CD430" s="261"/>
      <c r="CE430" s="261"/>
      <c r="CF430" s="261"/>
      <c r="CG430" s="261"/>
      <c r="CH430" s="261"/>
      <c r="CI430" s="261"/>
      <c r="CJ430" s="261"/>
      <c r="CK430" s="261"/>
      <c r="CL430" s="255"/>
      <c r="CN430" s="256"/>
      <c r="CO430" s="256"/>
      <c r="CP430" s="261"/>
      <c r="CQ430" s="261"/>
      <c r="CR430" s="255"/>
      <c r="CS430" s="261"/>
      <c r="CT430" s="261"/>
      <c r="CU430" s="261"/>
      <c r="CV430" s="261"/>
      <c r="CW430" s="261"/>
      <c r="CX430" s="261"/>
      <c r="CY430" s="255"/>
    </row>
    <row r="431" spans="1:103" ht="12.65" customHeight="1">
      <c r="A431" s="270"/>
      <c r="C431" s="271"/>
      <c r="D431" s="372"/>
      <c r="E431" s="372"/>
      <c r="F431" s="272"/>
      <c r="G431" s="272"/>
      <c r="H431" s="273"/>
      <c r="L431" s="269"/>
      <c r="M431" s="269"/>
      <c r="N431" s="269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CA431" s="256"/>
      <c r="CB431" s="261"/>
      <c r="CC431" s="255"/>
      <c r="CD431" s="261"/>
      <c r="CE431" s="261"/>
      <c r="CF431" s="261"/>
      <c r="CG431" s="261"/>
      <c r="CH431" s="261"/>
      <c r="CI431" s="261"/>
      <c r="CJ431" s="261"/>
      <c r="CK431" s="255"/>
      <c r="CL431" s="255"/>
      <c r="CN431" s="256"/>
      <c r="CO431" s="256"/>
      <c r="CP431" s="261"/>
      <c r="CQ431" s="261"/>
      <c r="CR431" s="255"/>
      <c r="CS431" s="261"/>
      <c r="CT431" s="261"/>
      <c r="CU431" s="261"/>
      <c r="CV431" s="261"/>
      <c r="CW431" s="261"/>
      <c r="CX431" s="255"/>
      <c r="CY431" s="255"/>
    </row>
    <row r="432" spans="1:103" ht="10.25" customHeight="1">
      <c r="A432" s="270"/>
      <c r="D432" s="372"/>
      <c r="E432" s="372"/>
      <c r="F432" s="272"/>
      <c r="G432" s="272"/>
      <c r="H432" s="273"/>
      <c r="L432" s="269"/>
      <c r="M432" s="269"/>
      <c r="N432" s="269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CA432" s="256"/>
      <c r="CB432" s="261"/>
      <c r="CC432" s="255"/>
      <c r="CD432" s="261"/>
      <c r="CE432" s="261"/>
      <c r="CF432" s="261"/>
      <c r="CG432" s="261"/>
      <c r="CH432" s="261"/>
      <c r="CI432" s="261"/>
      <c r="CJ432" s="261"/>
      <c r="CK432" s="261"/>
      <c r="CL432" s="255"/>
      <c r="CN432" s="256"/>
      <c r="CO432" s="256"/>
      <c r="CP432" s="261"/>
      <c r="CQ432" s="261"/>
      <c r="CR432" s="255"/>
      <c r="CS432" s="261"/>
      <c r="CT432" s="261"/>
      <c r="CU432" s="261"/>
      <c r="CV432" s="261"/>
      <c r="CW432" s="261"/>
      <c r="CX432" s="261"/>
      <c r="CY432" s="255"/>
    </row>
    <row r="433" spans="1:103" ht="10.25" customHeight="1">
      <c r="C433" s="270"/>
      <c r="D433" s="274"/>
      <c r="E433" s="214"/>
      <c r="F433" s="272"/>
      <c r="G433" s="272"/>
      <c r="H433" s="272"/>
      <c r="I433" s="273"/>
      <c r="J433" s="273"/>
      <c r="K433" s="273"/>
      <c r="L433" s="275"/>
      <c r="M433" s="269"/>
      <c r="N433" s="269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CA433" s="256"/>
      <c r="CB433" s="261"/>
      <c r="CC433" s="255"/>
      <c r="CD433" s="261"/>
      <c r="CE433" s="261"/>
      <c r="CF433" s="261"/>
      <c r="CG433" s="261"/>
      <c r="CH433" s="261"/>
      <c r="CI433" s="261"/>
      <c r="CJ433" s="261"/>
      <c r="CK433" s="261"/>
      <c r="CL433" s="255"/>
      <c r="CN433" s="256"/>
      <c r="CO433" s="256"/>
      <c r="CP433" s="261"/>
      <c r="CQ433" s="261"/>
      <c r="CR433" s="255"/>
      <c r="CS433" s="261"/>
      <c r="CT433" s="261"/>
      <c r="CU433" s="261"/>
      <c r="CV433" s="261"/>
      <c r="CW433" s="261"/>
      <c r="CX433" s="261"/>
      <c r="CY433" s="255"/>
    </row>
    <row r="434" spans="1:103" ht="10.25" customHeight="1">
      <c r="A434" s="270"/>
      <c r="D434" s="372"/>
      <c r="E434" s="372"/>
      <c r="F434" s="272"/>
      <c r="G434" s="272"/>
      <c r="H434" s="272"/>
      <c r="I434" s="273"/>
      <c r="J434" s="273"/>
      <c r="K434" s="273"/>
      <c r="L434" s="275"/>
      <c r="M434" s="269"/>
      <c r="N434" s="269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CA434" s="256"/>
      <c r="CB434" s="261"/>
      <c r="CC434" s="255"/>
      <c r="CD434" s="261"/>
      <c r="CE434" s="261"/>
      <c r="CF434" s="261"/>
      <c r="CG434" s="261"/>
      <c r="CH434" s="261"/>
      <c r="CI434" s="255"/>
      <c r="CJ434" s="255"/>
      <c r="CK434" s="261"/>
      <c r="CL434" s="255"/>
      <c r="CN434" s="256"/>
      <c r="CO434" s="256"/>
      <c r="CP434" s="261"/>
      <c r="CQ434" s="261"/>
      <c r="CR434" s="255"/>
      <c r="CS434" s="261"/>
      <c r="CT434" s="261"/>
      <c r="CU434" s="261"/>
      <c r="CV434" s="261"/>
      <c r="CW434" s="255"/>
      <c r="CX434" s="261"/>
      <c r="CY434" s="255"/>
    </row>
    <row r="435" spans="1:103" ht="10.25" customHeight="1">
      <c r="A435" s="270"/>
      <c r="D435" s="372"/>
      <c r="E435" s="372"/>
      <c r="F435" s="272"/>
      <c r="G435" s="272"/>
      <c r="H435" s="272"/>
      <c r="I435" s="273"/>
      <c r="J435" s="273"/>
      <c r="K435" s="273"/>
      <c r="L435" s="275"/>
      <c r="M435" s="269"/>
      <c r="N435" s="269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CA435" s="256"/>
      <c r="CB435" s="261"/>
      <c r="CC435" s="255"/>
      <c r="CD435" s="261"/>
      <c r="CE435" s="261"/>
      <c r="CF435" s="261"/>
      <c r="CG435" s="255"/>
      <c r="CH435" s="255"/>
      <c r="CI435" s="261"/>
      <c r="CJ435" s="261"/>
      <c r="CK435" s="261"/>
      <c r="CL435" s="255"/>
      <c r="CN435" s="256"/>
      <c r="CO435" s="256"/>
      <c r="CP435" s="261"/>
      <c r="CQ435" s="261"/>
      <c r="CR435" s="255"/>
      <c r="CS435" s="261"/>
      <c r="CT435" s="261"/>
      <c r="CU435" s="261"/>
      <c r="CV435" s="255"/>
      <c r="CW435" s="261"/>
      <c r="CX435" s="261"/>
      <c r="CY435" s="255"/>
    </row>
    <row r="436" spans="1:103" ht="10.25" customHeight="1">
      <c r="A436" s="270"/>
      <c r="D436" s="372"/>
      <c r="E436" s="372"/>
      <c r="F436" s="272"/>
      <c r="G436" s="272"/>
      <c r="H436" s="272"/>
      <c r="I436" s="273"/>
      <c r="J436" s="273"/>
      <c r="K436" s="273"/>
      <c r="L436" s="275"/>
      <c r="M436" s="269"/>
      <c r="N436" s="269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CA436" s="256"/>
      <c r="CB436" s="261"/>
      <c r="CC436" s="255"/>
      <c r="CD436" s="261"/>
      <c r="CE436" s="261"/>
      <c r="CF436" s="261"/>
      <c r="CG436" s="255"/>
      <c r="CH436" s="255"/>
      <c r="CI436" s="261"/>
      <c r="CJ436" s="261"/>
      <c r="CK436" s="261"/>
      <c r="CL436" s="255"/>
      <c r="CN436" s="256"/>
      <c r="CO436" s="256"/>
      <c r="CP436" s="261"/>
      <c r="CQ436" s="261"/>
      <c r="CR436" s="255"/>
      <c r="CS436" s="261"/>
      <c r="CT436" s="261"/>
      <c r="CU436" s="261"/>
      <c r="CV436" s="255"/>
      <c r="CW436" s="261"/>
      <c r="CX436" s="261"/>
      <c r="CY436" s="255"/>
    </row>
    <row r="437" spans="1:103" ht="10.25" customHeight="1">
      <c r="A437" s="270"/>
      <c r="D437" s="372"/>
      <c r="E437" s="372"/>
      <c r="F437" s="272"/>
      <c r="G437" s="272"/>
      <c r="H437" s="272"/>
      <c r="I437" s="375"/>
      <c r="J437" s="375"/>
      <c r="K437" s="375"/>
      <c r="L437" s="375"/>
      <c r="M437" s="269"/>
      <c r="N437" s="269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CA437" s="256"/>
      <c r="CB437" s="261"/>
      <c r="CC437" s="255"/>
      <c r="CD437" s="261"/>
      <c r="CE437" s="261"/>
      <c r="CF437" s="261"/>
      <c r="CG437" s="261"/>
      <c r="CH437" s="261"/>
      <c r="CI437" s="261"/>
      <c r="CJ437" s="261"/>
      <c r="CK437" s="261"/>
      <c r="CL437" s="255"/>
      <c r="CN437" s="256"/>
      <c r="CO437" s="256"/>
      <c r="CP437" s="261"/>
      <c r="CQ437" s="261"/>
      <c r="CR437" s="255"/>
      <c r="CS437" s="261"/>
      <c r="CT437" s="261"/>
      <c r="CU437" s="261"/>
      <c r="CV437" s="261"/>
      <c r="CW437" s="261"/>
      <c r="CX437" s="261"/>
      <c r="CY437" s="255"/>
    </row>
    <row r="438" spans="1:103" ht="10.25" customHeight="1">
      <c r="A438" s="270"/>
      <c r="D438" s="372"/>
      <c r="E438" s="372"/>
      <c r="H438" s="209"/>
      <c r="I438" s="213"/>
      <c r="J438" s="213"/>
      <c r="K438" s="213"/>
      <c r="L438" s="213"/>
      <c r="M438" s="213"/>
      <c r="N438" s="213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CA438" s="256"/>
      <c r="CB438" s="261"/>
      <c r="CC438" s="255"/>
      <c r="CD438" s="261"/>
      <c r="CE438" s="261"/>
      <c r="CF438" s="261"/>
      <c r="CG438" s="261"/>
      <c r="CH438" s="261"/>
      <c r="CI438" s="261"/>
      <c r="CJ438" s="261"/>
      <c r="CK438" s="261"/>
      <c r="CL438" s="255"/>
      <c r="CN438" s="256"/>
      <c r="CO438" s="256"/>
      <c r="CP438" s="261"/>
      <c r="CQ438" s="261"/>
      <c r="CR438" s="255"/>
      <c r="CS438" s="261"/>
      <c r="CT438" s="261"/>
      <c r="CU438" s="261"/>
      <c r="CV438" s="261"/>
      <c r="CW438" s="261"/>
      <c r="CX438" s="261"/>
      <c r="CY438" s="255"/>
    </row>
    <row r="439" spans="1:103" ht="10.25" customHeight="1">
      <c r="A439" s="270"/>
      <c r="C439" s="269"/>
      <c r="D439" s="275"/>
      <c r="E439" s="275"/>
      <c r="F439" s="209"/>
      <c r="G439" s="209"/>
      <c r="H439" s="209"/>
      <c r="I439" s="209"/>
      <c r="J439" s="209"/>
      <c r="K439" s="209"/>
      <c r="L439" s="376"/>
      <c r="M439" s="376"/>
      <c r="N439" s="279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1"/>
      <c r="AM439" s="51"/>
      <c r="AN439" s="51"/>
      <c r="AO439" s="51"/>
      <c r="AP439" s="51"/>
      <c r="AQ439" s="51"/>
      <c r="CA439" s="256"/>
      <c r="CB439" s="261"/>
      <c r="CC439" s="255"/>
      <c r="CD439" s="261"/>
      <c r="CE439" s="261"/>
      <c r="CF439" s="261"/>
      <c r="CG439" s="261"/>
      <c r="CH439" s="261"/>
      <c r="CI439" s="261"/>
      <c r="CJ439" s="261"/>
      <c r="CK439" s="261"/>
      <c r="CL439" s="255"/>
      <c r="CN439" s="256"/>
      <c r="CO439" s="256"/>
      <c r="CP439" s="261"/>
      <c r="CQ439" s="261"/>
      <c r="CR439" s="255"/>
      <c r="CS439" s="261"/>
      <c r="CT439" s="261"/>
      <c r="CU439" s="261"/>
      <c r="CV439" s="261"/>
      <c r="CW439" s="261"/>
      <c r="CX439" s="261"/>
      <c r="CY439" s="255"/>
    </row>
    <row r="440" spans="1:103" ht="10.25" customHeight="1">
      <c r="A440" s="270"/>
      <c r="C440" s="269"/>
      <c r="D440" s="269"/>
      <c r="F440" s="209"/>
      <c r="G440" s="209"/>
      <c r="H440" s="276"/>
      <c r="I440" s="276"/>
      <c r="J440" s="276"/>
      <c r="K440" s="276"/>
      <c r="L440" s="374"/>
      <c r="M440" s="374"/>
      <c r="N440" s="213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CA440" s="256"/>
      <c r="CB440" s="261"/>
      <c r="CC440" s="255"/>
      <c r="CD440" s="261"/>
      <c r="CE440" s="261"/>
      <c r="CF440" s="261"/>
      <c r="CG440" s="261"/>
      <c r="CH440" s="261"/>
      <c r="CI440" s="261"/>
      <c r="CJ440" s="261"/>
      <c r="CK440" s="261"/>
      <c r="CL440" s="255"/>
      <c r="CN440" s="256"/>
      <c r="CO440" s="256"/>
      <c r="CP440" s="261"/>
      <c r="CQ440" s="261"/>
      <c r="CR440" s="255"/>
      <c r="CS440" s="261"/>
      <c r="CT440" s="261"/>
      <c r="CU440" s="261"/>
      <c r="CV440" s="261"/>
      <c r="CW440" s="261"/>
      <c r="CX440" s="261"/>
      <c r="CY440" s="255"/>
    </row>
    <row r="441" spans="1:103" ht="10.25" customHeight="1">
      <c r="A441" s="270"/>
      <c r="D441" s="269"/>
      <c r="F441" s="208"/>
      <c r="G441" s="208"/>
      <c r="H441" s="277"/>
      <c r="I441" s="277"/>
      <c r="J441" s="277"/>
      <c r="K441" s="277"/>
      <c r="L441" s="372"/>
      <c r="M441" s="372"/>
      <c r="N441" s="214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CA441" s="256"/>
      <c r="CB441" s="261"/>
      <c r="CC441" s="255"/>
      <c r="CD441" s="261"/>
      <c r="CE441" s="261"/>
      <c r="CF441" s="261"/>
      <c r="CG441" s="261"/>
      <c r="CH441" s="261"/>
      <c r="CI441" s="261"/>
      <c r="CJ441" s="261"/>
      <c r="CK441" s="261"/>
      <c r="CL441" s="255"/>
      <c r="CN441" s="256"/>
      <c r="CO441" s="256"/>
      <c r="CP441" s="261"/>
      <c r="CQ441" s="261"/>
      <c r="CR441" s="255"/>
      <c r="CS441" s="261"/>
      <c r="CT441" s="261"/>
      <c r="CU441" s="261"/>
      <c r="CV441" s="261"/>
      <c r="CW441" s="261"/>
      <c r="CX441" s="261"/>
      <c r="CY441" s="255"/>
    </row>
    <row r="442" spans="1:103" ht="10.25" customHeight="1">
      <c r="CA442" s="256"/>
      <c r="CB442" s="261"/>
      <c r="CC442" s="255"/>
      <c r="CD442" s="261"/>
      <c r="CE442" s="261"/>
      <c r="CF442" s="255"/>
      <c r="CG442" s="261"/>
      <c r="CH442" s="261"/>
      <c r="CI442" s="261"/>
      <c r="CJ442" s="261"/>
      <c r="CK442" s="261"/>
      <c r="CL442" s="255"/>
      <c r="CN442" s="256"/>
      <c r="CO442" s="256"/>
      <c r="CP442" s="261"/>
      <c r="CQ442" s="261"/>
      <c r="CR442" s="255"/>
      <c r="CS442" s="261"/>
      <c r="CT442" s="261"/>
      <c r="CU442" s="255"/>
      <c r="CV442" s="261"/>
      <c r="CW442" s="261"/>
      <c r="CX442" s="261"/>
      <c r="CY442" s="255"/>
    </row>
    <row r="443" spans="1:103" ht="10.25" customHeight="1">
      <c r="C443" s="278"/>
      <c r="CA443" s="256"/>
      <c r="CB443" s="261"/>
      <c r="CC443" s="255"/>
      <c r="CD443" s="261"/>
      <c r="CE443" s="261"/>
      <c r="CF443" s="255"/>
      <c r="CG443" s="261"/>
      <c r="CH443" s="261"/>
      <c r="CI443" s="261"/>
      <c r="CJ443" s="261"/>
      <c r="CK443" s="261"/>
      <c r="CL443" s="255"/>
      <c r="CN443" s="256"/>
      <c r="CO443" s="256"/>
      <c r="CP443" s="261"/>
      <c r="CQ443" s="261"/>
      <c r="CR443" s="255"/>
      <c r="CS443" s="261"/>
      <c r="CT443" s="261"/>
      <c r="CU443" s="255"/>
      <c r="CV443" s="261"/>
      <c r="CW443" s="261"/>
      <c r="CX443" s="261"/>
      <c r="CY443" s="255"/>
    </row>
    <row r="444" spans="1:103" ht="10.25" customHeight="1">
      <c r="C444" s="278"/>
      <c r="F444" s="377"/>
      <c r="G444" s="377"/>
      <c r="H444" s="377"/>
      <c r="I444" s="377"/>
      <c r="J444" s="377"/>
      <c r="K444" s="377"/>
      <c r="L444" s="377"/>
      <c r="M444" s="377"/>
      <c r="N444" s="269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CA444" s="256"/>
      <c r="CB444" s="261"/>
      <c r="CC444" s="255"/>
      <c r="CD444" s="261"/>
      <c r="CE444" s="261"/>
      <c r="CF444" s="255"/>
      <c r="CG444" s="261"/>
      <c r="CH444" s="261"/>
      <c r="CI444" s="261"/>
      <c r="CJ444" s="261"/>
      <c r="CK444" s="261"/>
      <c r="CL444" s="255"/>
      <c r="CN444" s="256"/>
      <c r="CO444" s="256"/>
      <c r="CP444" s="261"/>
      <c r="CQ444" s="261"/>
      <c r="CR444" s="255"/>
      <c r="CS444" s="261"/>
      <c r="CT444" s="261"/>
      <c r="CU444" s="255"/>
      <c r="CV444" s="261"/>
      <c r="CW444" s="261"/>
      <c r="CX444" s="261"/>
      <c r="CY444" s="255"/>
    </row>
    <row r="445" spans="1:103" ht="10.4" customHeight="1">
      <c r="C445" s="278"/>
      <c r="F445" s="377"/>
      <c r="G445" s="377"/>
      <c r="H445" s="377"/>
      <c r="I445" s="377"/>
      <c r="J445" s="377"/>
      <c r="K445" s="377"/>
      <c r="L445" s="377"/>
      <c r="M445" s="377"/>
      <c r="N445" s="269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S445" s="236"/>
      <c r="BE445" s="63"/>
      <c r="BF445" s="63"/>
      <c r="BG445" s="63"/>
      <c r="BK445" s="317"/>
      <c r="BL445" s="5"/>
      <c r="BM445" s="5"/>
      <c r="BN445" s="5"/>
      <c r="BO445" s="5"/>
      <c r="BP445" s="5"/>
      <c r="BQ445" s="5"/>
      <c r="BR445" s="5"/>
      <c r="BS445" s="5"/>
      <c r="BT445" s="5"/>
      <c r="BV445" s="317"/>
      <c r="CF445" s="5"/>
      <c r="CG445" s="5"/>
      <c r="CH445" s="5"/>
      <c r="CI445" s="5"/>
      <c r="CJ445" s="5"/>
      <c r="CK445" s="5"/>
      <c r="CL445" s="5"/>
    </row>
    <row r="446" spans="1:103" ht="10.25" customHeight="1">
      <c r="A446" s="377"/>
      <c r="B446" s="377"/>
      <c r="C446" s="377"/>
      <c r="D446" s="377"/>
      <c r="E446" s="377"/>
      <c r="F446" s="377"/>
      <c r="G446" s="377"/>
      <c r="H446" s="377"/>
      <c r="I446" s="377"/>
      <c r="J446" s="377"/>
      <c r="K446" s="377"/>
      <c r="L446" s="377"/>
      <c r="M446" s="377"/>
      <c r="N446" s="269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BE446" s="63"/>
      <c r="BF446" s="63"/>
      <c r="BG446" s="63"/>
      <c r="BK446" s="317"/>
      <c r="BL446" s="5"/>
      <c r="BM446" s="5"/>
      <c r="BN446" s="5"/>
      <c r="BO446" s="5"/>
      <c r="BP446" s="5"/>
      <c r="BQ446" s="5"/>
      <c r="BR446" s="5"/>
      <c r="BS446" s="5"/>
      <c r="BT446" s="5"/>
      <c r="BV446" s="317"/>
      <c r="CF446" s="5"/>
      <c r="CG446" s="5"/>
      <c r="CH446" s="5"/>
      <c r="CI446" s="5"/>
      <c r="CJ446" s="5"/>
      <c r="CK446" s="5"/>
      <c r="CL446" s="5"/>
    </row>
    <row r="447" spans="1:103" ht="10.25" customHeight="1">
      <c r="A447" s="376"/>
      <c r="B447" s="376"/>
      <c r="C447" s="376"/>
      <c r="D447" s="376"/>
      <c r="E447" s="376"/>
      <c r="F447" s="376"/>
      <c r="G447" s="376"/>
      <c r="H447" s="376"/>
      <c r="I447" s="376"/>
      <c r="J447" s="376"/>
      <c r="K447" s="376"/>
      <c r="L447" s="376"/>
      <c r="M447" s="376"/>
      <c r="N447" s="279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  <c r="AH447" s="51"/>
      <c r="AI447" s="51"/>
      <c r="AJ447" s="51"/>
      <c r="AK447" s="51"/>
      <c r="AL447" s="51"/>
      <c r="AM447" s="51"/>
      <c r="AN447" s="51"/>
      <c r="AO447" s="51"/>
      <c r="AP447" s="51"/>
      <c r="AQ447" s="51"/>
      <c r="BE447" s="63"/>
      <c r="BF447" s="63"/>
      <c r="BG447" s="63"/>
      <c r="BK447" s="317"/>
      <c r="BL447" s="5"/>
      <c r="BM447" s="5"/>
      <c r="BN447" s="5"/>
      <c r="BO447" s="5"/>
      <c r="BP447" s="5"/>
      <c r="BQ447" s="5"/>
      <c r="BR447" s="5"/>
      <c r="BS447" s="5"/>
      <c r="BT447" s="5"/>
      <c r="BV447" s="317"/>
      <c r="CF447" s="5"/>
      <c r="CG447" s="5"/>
      <c r="CH447" s="5"/>
      <c r="CI447" s="5"/>
      <c r="CJ447" s="5"/>
      <c r="CK447" s="5"/>
      <c r="CL447" s="5"/>
    </row>
    <row r="448" spans="1:103" ht="10.25" customHeight="1">
      <c r="A448" s="374"/>
      <c r="B448" s="374"/>
      <c r="C448" s="374"/>
      <c r="D448" s="374"/>
      <c r="E448" s="374"/>
      <c r="F448" s="374"/>
      <c r="G448" s="374"/>
      <c r="H448" s="374"/>
      <c r="I448" s="374"/>
      <c r="J448" s="374"/>
      <c r="K448" s="374"/>
      <c r="L448" s="374"/>
      <c r="M448" s="374"/>
      <c r="N448" s="213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BE448" s="63"/>
      <c r="BF448" s="63"/>
      <c r="BG448" s="63"/>
      <c r="BK448" s="317"/>
      <c r="BL448" s="5"/>
      <c r="BM448" s="5"/>
      <c r="BN448" s="5"/>
      <c r="BO448" s="5"/>
      <c r="BP448" s="5"/>
      <c r="BQ448" s="5"/>
      <c r="BR448" s="5"/>
      <c r="BS448" s="5"/>
      <c r="BT448" s="5"/>
      <c r="BV448" s="317"/>
      <c r="CF448" s="5"/>
      <c r="CG448" s="5"/>
      <c r="CH448" s="5"/>
      <c r="CI448" s="5"/>
      <c r="CJ448" s="5"/>
      <c r="CK448" s="5"/>
      <c r="CL448" s="5"/>
    </row>
    <row r="449" spans="1:103" ht="6" customHeight="1">
      <c r="A449" s="208"/>
      <c r="B449" s="209"/>
      <c r="C449" s="209"/>
      <c r="D449" s="209"/>
      <c r="E449" s="209"/>
      <c r="F449" s="280"/>
      <c r="G449" s="280"/>
      <c r="H449" s="280"/>
      <c r="I449" s="280"/>
      <c r="J449" s="280"/>
      <c r="K449" s="280"/>
      <c r="L449" s="280"/>
      <c r="M449" s="280"/>
      <c r="N449" s="280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  <c r="AM449" s="42"/>
      <c r="AN449" s="42"/>
      <c r="AO449" s="42"/>
      <c r="AP449" s="42"/>
      <c r="AQ449" s="42"/>
      <c r="BK449" s="317"/>
      <c r="BL449" s="5"/>
      <c r="BM449" s="5"/>
      <c r="BN449" s="5"/>
      <c r="BO449" s="5"/>
      <c r="BP449" s="5"/>
      <c r="BQ449" s="5"/>
      <c r="BR449" s="5"/>
      <c r="BS449" s="5"/>
      <c r="BT449" s="5"/>
      <c r="BV449" s="317"/>
      <c r="CF449" s="5"/>
      <c r="CG449" s="5"/>
      <c r="CH449" s="5"/>
      <c r="CI449" s="5"/>
      <c r="CJ449" s="5"/>
      <c r="CK449" s="5"/>
      <c r="CL449" s="5"/>
    </row>
    <row r="450" spans="1:103" ht="10.25" customHeight="1">
      <c r="A450" s="208"/>
      <c r="B450" s="209"/>
      <c r="C450" s="209"/>
      <c r="D450" s="210"/>
      <c r="E450" s="211"/>
      <c r="F450" s="369"/>
      <c r="G450" s="369"/>
      <c r="H450" s="369"/>
      <c r="I450" s="369"/>
      <c r="J450" s="369"/>
      <c r="K450" s="369"/>
      <c r="L450" s="369"/>
      <c r="M450" s="230"/>
      <c r="N450" s="230"/>
      <c r="O450" s="235"/>
      <c r="P450" s="235"/>
      <c r="Q450" s="235"/>
      <c r="R450" s="235"/>
      <c r="S450" s="235"/>
      <c r="T450" s="235"/>
      <c r="U450" s="235"/>
      <c r="V450" s="235"/>
      <c r="W450" s="235"/>
      <c r="X450" s="235"/>
      <c r="Y450" s="235"/>
      <c r="Z450" s="235"/>
      <c r="AA450" s="235"/>
      <c r="AB450" s="235"/>
      <c r="AC450" s="235"/>
      <c r="AD450" s="235"/>
      <c r="AE450" s="235"/>
      <c r="AF450" s="235"/>
      <c r="AG450" s="235"/>
      <c r="AH450" s="235"/>
      <c r="AI450" s="235"/>
      <c r="AJ450" s="235"/>
      <c r="AK450" s="235"/>
      <c r="AL450" s="235"/>
      <c r="AM450" s="235"/>
      <c r="AN450" s="235"/>
      <c r="AO450" s="235"/>
      <c r="AP450" s="235"/>
      <c r="AQ450" s="235"/>
      <c r="BK450" s="317"/>
      <c r="BL450" s="5"/>
      <c r="BM450" s="5"/>
      <c r="BN450" s="5"/>
      <c r="BO450" s="5"/>
      <c r="BP450" s="5"/>
      <c r="BQ450" s="5"/>
      <c r="BR450" s="5"/>
      <c r="BS450" s="5"/>
      <c r="BT450" s="5"/>
      <c r="BV450" s="317"/>
      <c r="CF450" s="5"/>
      <c r="CG450" s="5"/>
      <c r="CH450" s="5"/>
      <c r="CI450" s="5"/>
      <c r="CJ450" s="5"/>
      <c r="CK450" s="5"/>
      <c r="CL450" s="5"/>
    </row>
    <row r="451" spans="1:103" ht="2" customHeight="1">
      <c r="A451" s="209"/>
      <c r="B451" s="209"/>
      <c r="C451" s="212"/>
      <c r="D451" s="213"/>
      <c r="E451" s="209"/>
      <c r="F451" s="209"/>
      <c r="G451" s="209"/>
      <c r="H451" s="209"/>
      <c r="I451" s="209"/>
      <c r="J451" s="209"/>
      <c r="K451" s="209"/>
      <c r="L451" s="209"/>
      <c r="M451" s="209"/>
      <c r="N451" s="209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BK451" s="317"/>
      <c r="BL451" s="5"/>
      <c r="BM451" s="5"/>
      <c r="BN451" s="5"/>
      <c r="BO451" s="5"/>
      <c r="BP451" s="5"/>
      <c r="BQ451" s="5"/>
      <c r="BR451" s="5"/>
      <c r="BS451" s="5"/>
      <c r="BT451" s="5"/>
      <c r="BV451" s="317"/>
      <c r="CF451" s="5"/>
      <c r="CG451" s="5"/>
      <c r="CH451" s="5"/>
      <c r="CI451" s="5"/>
      <c r="CJ451" s="5"/>
      <c r="CK451" s="5"/>
      <c r="CL451" s="5"/>
    </row>
    <row r="452" spans="1:103" ht="26.4" customHeight="1">
      <c r="A452" s="374"/>
      <c r="B452" s="374"/>
      <c r="C452" s="374"/>
      <c r="D452" s="372"/>
      <c r="E452" s="373"/>
      <c r="F452" s="370"/>
      <c r="G452" s="215"/>
      <c r="H452" s="373"/>
      <c r="I452" s="370"/>
      <c r="J452" s="370"/>
      <c r="K452" s="370"/>
      <c r="L452" s="373"/>
      <c r="M452" s="374"/>
      <c r="N452" s="213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BK452" s="317"/>
      <c r="BL452" s="5"/>
      <c r="BM452" s="5"/>
      <c r="BN452" s="5"/>
      <c r="BO452" s="5"/>
      <c r="BP452" s="5"/>
      <c r="BQ452" s="5"/>
      <c r="BR452" s="5"/>
      <c r="BS452" s="5"/>
      <c r="BT452" s="5"/>
      <c r="BV452" s="317"/>
      <c r="CF452" s="5"/>
      <c r="CG452" s="5"/>
      <c r="CH452" s="5"/>
      <c r="CI452" s="5"/>
      <c r="CJ452" s="5"/>
      <c r="CK452" s="5"/>
      <c r="CL452" s="5"/>
    </row>
    <row r="453" spans="1:103" ht="9.65" customHeight="1">
      <c r="A453" s="374"/>
      <c r="B453" s="374"/>
      <c r="C453" s="374"/>
      <c r="D453" s="372"/>
      <c r="E453" s="373"/>
      <c r="F453" s="370"/>
      <c r="G453" s="215"/>
      <c r="H453" s="373"/>
      <c r="I453" s="233"/>
      <c r="J453" s="233"/>
      <c r="K453" s="233"/>
      <c r="L453" s="373"/>
      <c r="M453" s="374"/>
      <c r="N453" s="213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BK453" s="317"/>
      <c r="BL453" s="5"/>
      <c r="BM453" s="5"/>
      <c r="BN453" s="5"/>
      <c r="BO453" s="5"/>
      <c r="BP453" s="5"/>
      <c r="BQ453" s="5"/>
      <c r="BR453" s="5"/>
      <c r="BS453" s="5"/>
      <c r="BT453" s="5"/>
      <c r="BV453" s="317"/>
      <c r="CF453" s="5"/>
      <c r="CG453" s="5"/>
      <c r="CH453" s="5"/>
      <c r="CI453" s="5"/>
      <c r="CJ453" s="5"/>
      <c r="CK453" s="5"/>
      <c r="CL453" s="5"/>
    </row>
    <row r="454" spans="1:103" ht="10.25" customHeight="1">
      <c r="A454" s="216"/>
      <c r="B454" s="217"/>
      <c r="C454" s="218"/>
      <c r="D454" s="219"/>
      <c r="E454" s="217"/>
      <c r="F454" s="217"/>
      <c r="G454" s="217"/>
      <c r="H454" s="220"/>
      <c r="I454" s="217"/>
      <c r="J454" s="217"/>
      <c r="K454" s="217"/>
      <c r="L454" s="217"/>
      <c r="M454" s="217"/>
      <c r="N454" s="217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BA454" s="5"/>
      <c r="BB454" s="5"/>
      <c r="BC454" s="5"/>
      <c r="BD454" s="5"/>
      <c r="BE454" s="63"/>
      <c r="BF454" s="63"/>
      <c r="BG454" s="63"/>
      <c r="BK454" s="317"/>
      <c r="BL454" s="5"/>
      <c r="BM454" s="5"/>
      <c r="BN454" s="5"/>
      <c r="BO454" s="5"/>
      <c r="BP454" s="5"/>
      <c r="BQ454" s="5"/>
      <c r="BR454" s="5"/>
      <c r="BS454" s="5"/>
      <c r="BT454" s="5"/>
      <c r="BV454" s="317"/>
      <c r="CF454" s="5"/>
      <c r="CG454" s="53"/>
      <c r="CH454" s="53"/>
      <c r="CI454" s="53"/>
      <c r="CJ454" s="53"/>
      <c r="CK454" s="53"/>
      <c r="CL454" s="53"/>
      <c r="CN454" s="53"/>
      <c r="CO454" s="53"/>
      <c r="CP454" s="53"/>
      <c r="CQ454" s="53"/>
      <c r="CR454" s="53"/>
      <c r="CS454" s="53"/>
    </row>
    <row r="455" spans="1:103" ht="10.25" customHeight="1">
      <c r="A455" s="216"/>
      <c r="B455" s="217"/>
      <c r="C455" s="218"/>
      <c r="D455" s="219"/>
      <c r="E455" s="217"/>
      <c r="F455" s="217"/>
      <c r="G455" s="217"/>
      <c r="H455" s="220"/>
      <c r="I455" s="217"/>
      <c r="J455" s="217"/>
      <c r="K455" s="217"/>
      <c r="L455" s="217"/>
      <c r="M455" s="217"/>
      <c r="N455" s="217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BA455" s="5"/>
      <c r="BB455" s="5"/>
      <c r="BC455" s="5"/>
      <c r="BD455" s="5"/>
      <c r="BE455" s="63"/>
      <c r="BF455" s="63"/>
      <c r="BG455" s="63"/>
      <c r="BK455" s="317"/>
      <c r="BL455" s="5"/>
      <c r="BM455" s="5"/>
      <c r="BN455" s="5"/>
      <c r="BO455" s="5"/>
      <c r="BP455" s="5"/>
      <c r="BQ455" s="5"/>
      <c r="BR455" s="5"/>
      <c r="BS455" s="5"/>
      <c r="BT455" s="5"/>
      <c r="BV455" s="317"/>
      <c r="CF455" s="5"/>
      <c r="CG455" s="53"/>
      <c r="CH455" s="53"/>
      <c r="CI455" s="53"/>
      <c r="CJ455" s="53"/>
      <c r="CK455" s="53"/>
      <c r="CL455" s="53"/>
      <c r="CN455" s="53"/>
      <c r="CO455" s="53"/>
      <c r="CP455" s="53"/>
      <c r="CQ455" s="53"/>
      <c r="CR455" s="53"/>
      <c r="CS455" s="53"/>
    </row>
    <row r="456" spans="1:103" ht="10.25" customHeight="1">
      <c r="A456" s="216"/>
      <c r="B456" s="217"/>
      <c r="C456" s="218"/>
      <c r="D456" s="219"/>
      <c r="E456" s="217"/>
      <c r="F456" s="217"/>
      <c r="G456" s="217"/>
      <c r="H456" s="220"/>
      <c r="I456" s="217"/>
      <c r="J456" s="217"/>
      <c r="K456" s="217"/>
      <c r="L456" s="217"/>
      <c r="M456" s="217"/>
      <c r="N456" s="217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BA456" s="5"/>
      <c r="BB456" s="5"/>
      <c r="BC456" s="5"/>
      <c r="BD456" s="5"/>
      <c r="BE456" s="63"/>
      <c r="BF456" s="63"/>
      <c r="BG456" s="63"/>
      <c r="BK456" s="317"/>
      <c r="BL456" s="5"/>
      <c r="BM456" s="5"/>
      <c r="BN456" s="5"/>
      <c r="BO456" s="5"/>
      <c r="BP456" s="5"/>
      <c r="BQ456" s="5"/>
      <c r="BR456" s="5"/>
      <c r="BS456" s="5"/>
      <c r="BT456" s="5"/>
      <c r="BV456" s="317"/>
      <c r="CF456" s="5"/>
      <c r="CG456" s="53"/>
      <c r="CH456" s="53"/>
      <c r="CI456" s="53"/>
      <c r="CJ456" s="53"/>
      <c r="CK456" s="53"/>
      <c r="CL456" s="53"/>
      <c r="CN456" s="53"/>
      <c r="CO456" s="53"/>
      <c r="CP456" s="53"/>
      <c r="CQ456" s="53"/>
      <c r="CR456" s="53"/>
      <c r="CS456" s="53"/>
    </row>
    <row r="457" spans="1:103" ht="10.25" customHeight="1">
      <c r="A457" s="216"/>
      <c r="B457" s="217"/>
      <c r="C457" s="218"/>
      <c r="D457" s="219"/>
      <c r="E457" s="217"/>
      <c r="F457" s="217"/>
      <c r="G457" s="217"/>
      <c r="H457" s="220"/>
      <c r="I457" s="217"/>
      <c r="J457" s="217"/>
      <c r="K457" s="217"/>
      <c r="L457" s="217"/>
      <c r="M457" s="217"/>
      <c r="N457" s="217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BA457" s="5"/>
      <c r="BB457" s="5"/>
      <c r="BC457" s="5"/>
      <c r="BD457" s="5"/>
      <c r="BE457" s="63"/>
      <c r="BF457" s="63"/>
      <c r="BG457" s="63"/>
      <c r="BK457" s="317"/>
      <c r="BL457" s="5"/>
      <c r="BM457" s="5"/>
      <c r="BN457" s="5"/>
      <c r="BO457" s="5"/>
      <c r="BP457" s="5"/>
      <c r="BQ457" s="5"/>
      <c r="BR457" s="5"/>
      <c r="BS457" s="5"/>
      <c r="BT457" s="5"/>
      <c r="BV457" s="317"/>
      <c r="CF457" s="5"/>
      <c r="CG457" s="53"/>
      <c r="CH457" s="53"/>
      <c r="CI457" s="53"/>
      <c r="CJ457" s="53"/>
      <c r="CK457" s="53"/>
      <c r="CL457" s="53"/>
      <c r="CN457" s="53"/>
      <c r="CO457" s="53"/>
      <c r="CP457" s="53"/>
      <c r="CQ457" s="53"/>
      <c r="CR457" s="53"/>
      <c r="CS457" s="53"/>
    </row>
    <row r="458" spans="1:103" ht="10.25" customHeight="1">
      <c r="A458" s="216"/>
      <c r="B458" s="217"/>
      <c r="C458" s="218"/>
      <c r="D458" s="219"/>
      <c r="E458" s="217"/>
      <c r="F458" s="217"/>
      <c r="G458" s="217"/>
      <c r="H458" s="220"/>
      <c r="I458" s="217"/>
      <c r="J458" s="217"/>
      <c r="K458" s="217"/>
      <c r="L458" s="217"/>
      <c r="M458" s="217"/>
      <c r="N458" s="217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BA458" s="5"/>
      <c r="BB458" s="5"/>
      <c r="BC458" s="5"/>
      <c r="BD458" s="5"/>
      <c r="BE458" s="63"/>
      <c r="BF458" s="63"/>
      <c r="BG458" s="63"/>
      <c r="BK458" s="317"/>
      <c r="BL458" s="5"/>
      <c r="BM458" s="5"/>
      <c r="BN458" s="5"/>
      <c r="BO458" s="5"/>
      <c r="BP458" s="5"/>
      <c r="BQ458" s="5"/>
      <c r="BR458" s="5"/>
      <c r="BS458" s="5"/>
      <c r="BT458" s="5"/>
      <c r="BV458" s="317"/>
      <c r="CF458" s="5"/>
      <c r="CG458" s="53"/>
      <c r="CH458" s="53"/>
      <c r="CI458" s="53"/>
      <c r="CJ458" s="53"/>
      <c r="CK458" s="53"/>
      <c r="CL458" s="53"/>
      <c r="CN458" s="53"/>
      <c r="CO458" s="53"/>
      <c r="CP458" s="53"/>
      <c r="CQ458" s="53"/>
      <c r="CR458" s="53"/>
      <c r="CS458" s="53"/>
    </row>
    <row r="459" spans="1:103" ht="10.25" customHeight="1">
      <c r="A459" s="216"/>
      <c r="B459" s="217"/>
      <c r="C459" s="218"/>
      <c r="D459" s="219"/>
      <c r="E459" s="217"/>
      <c r="F459" s="217"/>
      <c r="G459" s="217"/>
      <c r="H459" s="220"/>
      <c r="I459" s="217"/>
      <c r="J459" s="217"/>
      <c r="K459" s="217"/>
      <c r="L459" s="217"/>
      <c r="M459" s="217"/>
      <c r="N459" s="217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BA459" s="5"/>
      <c r="BB459" s="5"/>
      <c r="BC459" s="5"/>
      <c r="BD459" s="5"/>
      <c r="BE459" s="63"/>
      <c r="BF459" s="63"/>
      <c r="BG459" s="63"/>
      <c r="BK459" s="317"/>
      <c r="BL459" s="5"/>
      <c r="BM459" s="5"/>
      <c r="BN459" s="5"/>
      <c r="BO459" s="5"/>
      <c r="BP459" s="5"/>
      <c r="BQ459" s="5"/>
      <c r="BR459" s="5"/>
      <c r="BS459" s="5"/>
      <c r="BT459" s="5"/>
      <c r="BV459" s="317"/>
      <c r="CF459" s="5"/>
      <c r="CG459" s="53"/>
      <c r="CH459" s="53"/>
      <c r="CI459" s="53"/>
      <c r="CJ459" s="53"/>
      <c r="CK459" s="53"/>
      <c r="CL459" s="53"/>
      <c r="CN459" s="53"/>
      <c r="CO459" s="53"/>
      <c r="CP459" s="53"/>
      <c r="CQ459" s="53"/>
      <c r="CR459" s="53"/>
      <c r="CS459" s="53"/>
    </row>
    <row r="460" spans="1:103" ht="10.25" customHeight="1">
      <c r="A460" s="216"/>
      <c r="B460" s="217"/>
      <c r="C460" s="218"/>
      <c r="D460" s="219"/>
      <c r="E460" s="217"/>
      <c r="F460" s="217"/>
      <c r="G460" s="217"/>
      <c r="H460" s="220"/>
      <c r="I460" s="217"/>
      <c r="J460" s="217"/>
      <c r="K460" s="217"/>
      <c r="L460" s="217"/>
      <c r="M460" s="217"/>
      <c r="N460" s="217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BA460" s="5"/>
      <c r="BB460" s="5"/>
      <c r="BC460" s="5"/>
      <c r="BD460" s="5"/>
      <c r="BE460" s="63"/>
      <c r="BF460" s="63"/>
      <c r="BG460" s="63"/>
      <c r="BK460" s="317"/>
      <c r="BL460" s="5"/>
      <c r="BM460" s="5"/>
      <c r="BN460" s="5"/>
      <c r="BO460" s="5"/>
      <c r="BP460" s="5"/>
      <c r="BQ460" s="5"/>
      <c r="BR460" s="5"/>
      <c r="BS460" s="5"/>
      <c r="BT460" s="5"/>
      <c r="BV460" s="317"/>
      <c r="CF460" s="5"/>
      <c r="CG460" s="53"/>
      <c r="CH460" s="53"/>
      <c r="CI460" s="53"/>
      <c r="CJ460" s="53"/>
      <c r="CK460" s="53"/>
      <c r="CL460" s="53"/>
      <c r="CN460" s="53"/>
      <c r="CO460" s="53"/>
      <c r="CP460" s="53"/>
      <c r="CQ460" s="53"/>
      <c r="CR460" s="53"/>
      <c r="CS460" s="53"/>
    </row>
    <row r="461" spans="1:103" ht="10.25" customHeight="1">
      <c r="A461" s="216"/>
      <c r="B461" s="217"/>
      <c r="C461" s="218"/>
      <c r="D461" s="219"/>
      <c r="E461" s="217"/>
      <c r="F461" s="217"/>
      <c r="G461" s="217"/>
      <c r="H461" s="220"/>
      <c r="I461" s="217"/>
      <c r="J461" s="217"/>
      <c r="K461" s="217"/>
      <c r="L461" s="217"/>
      <c r="M461" s="217"/>
      <c r="N461" s="217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W461" s="63"/>
      <c r="AX461" s="63"/>
      <c r="AY461" s="63"/>
      <c r="AZ461" s="63"/>
      <c r="BA461" s="5"/>
      <c r="BB461" s="5"/>
      <c r="BC461" s="5"/>
      <c r="BD461" s="5"/>
      <c r="BE461" s="63"/>
      <c r="BF461" s="63"/>
      <c r="BG461" s="63"/>
      <c r="BV461" s="317"/>
      <c r="CF461" s="5"/>
      <c r="CG461" s="53"/>
      <c r="CH461" s="53"/>
      <c r="CI461" s="53"/>
      <c r="CJ461" s="53"/>
      <c r="CK461" s="53"/>
      <c r="CL461" s="53"/>
      <c r="CN461" s="53"/>
      <c r="CO461" s="53"/>
      <c r="CP461" s="53"/>
      <c r="CQ461" s="53"/>
      <c r="CR461" s="53"/>
      <c r="CS461" s="53"/>
    </row>
    <row r="462" spans="1:103" ht="10.25" customHeight="1">
      <c r="A462" s="216"/>
      <c r="B462" s="217"/>
      <c r="C462" s="218"/>
      <c r="D462" s="219"/>
      <c r="E462" s="217"/>
      <c r="F462" s="217"/>
      <c r="G462" s="217"/>
      <c r="H462" s="220"/>
      <c r="I462" s="217"/>
      <c r="J462" s="217"/>
      <c r="K462" s="217"/>
      <c r="L462" s="217"/>
      <c r="M462" s="217"/>
      <c r="N462" s="217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W462" s="63"/>
      <c r="AX462" s="63"/>
      <c r="AY462" s="63"/>
      <c r="AZ462" s="63"/>
      <c r="BA462" s="5"/>
      <c r="BB462" s="5"/>
      <c r="BC462" s="5"/>
      <c r="BD462" s="5"/>
      <c r="BE462" s="63"/>
      <c r="BF462" s="63"/>
      <c r="BG462" s="63"/>
      <c r="BV462" s="317"/>
      <c r="CF462" s="5"/>
      <c r="CG462" s="53"/>
      <c r="CH462" s="53"/>
      <c r="CI462" s="53"/>
      <c r="CJ462" s="53"/>
      <c r="CK462" s="53"/>
      <c r="CL462" s="53"/>
      <c r="CN462" s="53"/>
      <c r="CO462" s="53"/>
      <c r="CP462" s="53"/>
      <c r="CQ462" s="53"/>
      <c r="CR462" s="53"/>
      <c r="CS462" s="53"/>
    </row>
    <row r="463" spans="1:103" ht="10.25" customHeight="1">
      <c r="A463" s="216"/>
      <c r="B463" s="217"/>
      <c r="C463" s="218"/>
      <c r="D463" s="219"/>
      <c r="E463" s="217"/>
      <c r="F463" s="217"/>
      <c r="G463" s="217"/>
      <c r="H463" s="220"/>
      <c r="I463" s="217"/>
      <c r="J463" s="217"/>
      <c r="K463" s="217"/>
      <c r="L463" s="217"/>
      <c r="M463" s="217"/>
      <c r="N463" s="217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W463" s="63"/>
      <c r="AX463" s="63"/>
      <c r="AY463" s="63"/>
      <c r="AZ463" s="63"/>
      <c r="BA463" s="5"/>
      <c r="BB463" s="5"/>
      <c r="BC463" s="5"/>
      <c r="BD463" s="5"/>
      <c r="BE463" s="63"/>
      <c r="BF463" s="63"/>
      <c r="BG463" s="63"/>
      <c r="BV463" s="317"/>
      <c r="CF463" s="5"/>
      <c r="CG463" s="53"/>
      <c r="CH463" s="53"/>
      <c r="CI463" s="53"/>
      <c r="CJ463" s="53"/>
      <c r="CK463" s="53"/>
      <c r="CL463" s="53"/>
      <c r="CN463" s="53"/>
      <c r="CO463" s="53"/>
      <c r="CP463" s="53"/>
      <c r="CQ463" s="53"/>
      <c r="CR463" s="53"/>
      <c r="CS463" s="53"/>
      <c r="CT463" s="5"/>
      <c r="CU463" s="5"/>
      <c r="CV463" s="5"/>
      <c r="CW463" s="5"/>
      <c r="CX463" s="5"/>
      <c r="CY463" s="5"/>
    </row>
    <row r="464" spans="1:103" ht="10.25" customHeight="1">
      <c r="A464" s="216"/>
      <c r="B464" s="217"/>
      <c r="C464" s="218"/>
      <c r="D464" s="219"/>
      <c r="E464" s="217"/>
      <c r="F464" s="217"/>
      <c r="G464" s="217"/>
      <c r="H464" s="220"/>
      <c r="I464" s="217"/>
      <c r="J464" s="217"/>
      <c r="K464" s="217"/>
      <c r="L464" s="217"/>
      <c r="M464" s="217"/>
      <c r="N464" s="217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W464" s="63"/>
      <c r="AX464" s="63"/>
      <c r="AY464" s="63"/>
      <c r="AZ464" s="63"/>
      <c r="BA464" s="5"/>
      <c r="BB464" s="5"/>
      <c r="BC464" s="5"/>
      <c r="BD464" s="5"/>
      <c r="BE464" s="63"/>
      <c r="BF464" s="63"/>
      <c r="BG464" s="63"/>
      <c r="BV464" s="317"/>
      <c r="CF464" s="5"/>
      <c r="CG464" s="53"/>
      <c r="CH464" s="53"/>
      <c r="CI464" s="53"/>
      <c r="CJ464" s="53"/>
      <c r="CK464" s="53"/>
      <c r="CL464" s="53"/>
      <c r="CN464" s="53"/>
      <c r="CO464" s="53"/>
      <c r="CP464" s="53"/>
      <c r="CQ464" s="53"/>
      <c r="CR464" s="53"/>
      <c r="CS464" s="53"/>
      <c r="CT464" s="5"/>
      <c r="CU464" s="5"/>
      <c r="CV464" s="5"/>
      <c r="CW464" s="5"/>
      <c r="CX464" s="5"/>
      <c r="CY464" s="5"/>
    </row>
    <row r="465" spans="1:103" ht="10.25" customHeight="1">
      <c r="A465" s="216"/>
      <c r="B465" s="217"/>
      <c r="C465" s="218"/>
      <c r="D465" s="219"/>
      <c r="E465" s="217"/>
      <c r="F465" s="217"/>
      <c r="G465" s="217"/>
      <c r="H465" s="220"/>
      <c r="I465" s="217"/>
      <c r="J465" s="217"/>
      <c r="K465" s="217"/>
      <c r="L465" s="217"/>
      <c r="M465" s="217"/>
      <c r="N465" s="217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W465" s="63"/>
      <c r="AX465" s="63"/>
      <c r="AY465" s="63"/>
      <c r="AZ465" s="63"/>
      <c r="BA465" s="5"/>
      <c r="BB465" s="5"/>
      <c r="BC465" s="5"/>
      <c r="BD465" s="5"/>
      <c r="BE465" s="63"/>
      <c r="BF465" s="63"/>
      <c r="BG465" s="63"/>
      <c r="BV465" s="317"/>
      <c r="CF465" s="5"/>
      <c r="CG465" s="53"/>
      <c r="CH465" s="53"/>
      <c r="CI465" s="53"/>
      <c r="CJ465" s="53"/>
      <c r="CK465" s="53"/>
      <c r="CL465" s="53"/>
      <c r="CN465" s="53"/>
      <c r="CO465" s="53"/>
      <c r="CP465" s="53"/>
      <c r="CQ465" s="53"/>
      <c r="CR465" s="53"/>
      <c r="CS465" s="53"/>
      <c r="CT465" s="5"/>
      <c r="CU465" s="5"/>
      <c r="CV465" s="5"/>
      <c r="CW465" s="5"/>
      <c r="CX465" s="5"/>
      <c r="CY465" s="5"/>
    </row>
    <row r="466" spans="1:103" ht="10.25" customHeight="1">
      <c r="A466" s="216"/>
      <c r="B466" s="217"/>
      <c r="C466" s="218"/>
      <c r="D466" s="219"/>
      <c r="E466" s="217"/>
      <c r="F466" s="217"/>
      <c r="G466" s="217"/>
      <c r="H466" s="220"/>
      <c r="I466" s="217"/>
      <c r="J466" s="217"/>
      <c r="K466" s="217"/>
      <c r="L466" s="217"/>
      <c r="M466" s="217"/>
      <c r="N466" s="217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BA466" s="5"/>
      <c r="BB466" s="5"/>
      <c r="BC466" s="5"/>
      <c r="BD466" s="5"/>
      <c r="BE466" s="63"/>
      <c r="BF466" s="63"/>
      <c r="BG466" s="63"/>
      <c r="BV466" s="317"/>
      <c r="CF466" s="5"/>
      <c r="CG466" s="53"/>
      <c r="CH466" s="53"/>
      <c r="CI466" s="53"/>
      <c r="CJ466" s="53"/>
      <c r="CK466" s="53"/>
      <c r="CL466" s="53"/>
      <c r="CN466" s="53"/>
      <c r="CO466" s="53"/>
      <c r="CP466" s="53"/>
      <c r="CQ466" s="53"/>
      <c r="CR466" s="53"/>
      <c r="CS466" s="53"/>
      <c r="CT466" s="5"/>
      <c r="CU466" s="5"/>
      <c r="CV466" s="5"/>
      <c r="CW466" s="5"/>
      <c r="CX466" s="5"/>
      <c r="CY466" s="5"/>
    </row>
    <row r="467" spans="1:103" ht="10.25" customHeight="1">
      <c r="A467" s="216"/>
      <c r="B467" s="217"/>
      <c r="C467" s="218"/>
      <c r="D467" s="219"/>
      <c r="E467" s="217"/>
      <c r="F467" s="217"/>
      <c r="G467" s="217"/>
      <c r="H467" s="220"/>
      <c r="I467" s="217"/>
      <c r="J467" s="217"/>
      <c r="K467" s="217"/>
      <c r="L467" s="217"/>
      <c r="M467" s="217"/>
      <c r="N467" s="217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BA467" s="5"/>
      <c r="BB467" s="5"/>
      <c r="BC467" s="5"/>
      <c r="BD467" s="5"/>
      <c r="BE467" s="63"/>
      <c r="BF467" s="63"/>
      <c r="BG467" s="63"/>
      <c r="BV467" s="317"/>
      <c r="CF467" s="5"/>
      <c r="CG467" s="53"/>
      <c r="CH467" s="53"/>
      <c r="CI467" s="53"/>
      <c r="CJ467" s="53"/>
      <c r="CK467" s="53"/>
      <c r="CL467" s="53"/>
      <c r="CN467" s="53"/>
      <c r="CO467" s="53"/>
      <c r="CP467" s="53"/>
      <c r="CQ467" s="53"/>
      <c r="CR467" s="53"/>
      <c r="CS467" s="53"/>
      <c r="CT467" s="5"/>
      <c r="CU467" s="5"/>
      <c r="CV467" s="5"/>
      <c r="CW467" s="5"/>
      <c r="CX467" s="5"/>
      <c r="CY467" s="5"/>
    </row>
    <row r="468" spans="1:103" ht="10.25" customHeight="1">
      <c r="A468" s="216"/>
      <c r="B468" s="217"/>
      <c r="C468" s="218"/>
      <c r="D468" s="219"/>
      <c r="E468" s="217"/>
      <c r="F468" s="217"/>
      <c r="G468" s="217"/>
      <c r="H468" s="220"/>
      <c r="I468" s="217"/>
      <c r="J468" s="217"/>
      <c r="K468" s="217"/>
      <c r="L468" s="217"/>
      <c r="M468" s="217"/>
      <c r="N468" s="217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BA468" s="5"/>
      <c r="BB468" s="5"/>
      <c r="BC468" s="5"/>
      <c r="BD468" s="5"/>
      <c r="BE468" s="63"/>
      <c r="BF468" s="63"/>
      <c r="BG468" s="63"/>
      <c r="CA468" s="317"/>
      <c r="CF468" s="5"/>
      <c r="CG468" s="53"/>
      <c r="CH468" s="53"/>
      <c r="CI468" s="53"/>
      <c r="CJ468" s="53"/>
      <c r="CK468" s="53"/>
      <c r="CL468" s="53"/>
      <c r="CN468" s="53"/>
      <c r="CO468" s="53"/>
      <c r="CP468" s="53"/>
      <c r="CQ468" s="53"/>
      <c r="CR468" s="53"/>
      <c r="CS468" s="53"/>
      <c r="CT468" s="5"/>
      <c r="CU468" s="5"/>
      <c r="CV468" s="5"/>
      <c r="CW468" s="5"/>
      <c r="CX468" s="5"/>
      <c r="CY468" s="5"/>
    </row>
    <row r="469" spans="1:103" ht="10.25" customHeight="1">
      <c r="A469" s="216"/>
      <c r="B469" s="217"/>
      <c r="C469" s="218"/>
      <c r="D469" s="219"/>
      <c r="E469" s="217"/>
      <c r="F469" s="217"/>
      <c r="G469" s="217"/>
      <c r="H469" s="220"/>
      <c r="I469" s="217"/>
      <c r="J469" s="217"/>
      <c r="K469" s="217"/>
      <c r="L469" s="217"/>
      <c r="M469" s="217"/>
      <c r="N469" s="217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BA469" s="5"/>
      <c r="BB469" s="5"/>
      <c r="BC469" s="5"/>
      <c r="BD469" s="5"/>
      <c r="BE469" s="63"/>
      <c r="BF469" s="63"/>
      <c r="BG469" s="63"/>
      <c r="CA469" s="317"/>
      <c r="CF469" s="5"/>
      <c r="CG469" s="53"/>
      <c r="CH469" s="53"/>
      <c r="CI469" s="53"/>
      <c r="CJ469" s="53"/>
      <c r="CK469" s="53"/>
      <c r="CL469" s="53"/>
      <c r="CN469" s="53"/>
      <c r="CO469" s="53"/>
      <c r="CP469" s="53"/>
      <c r="CQ469" s="53"/>
      <c r="CR469" s="53"/>
      <c r="CS469" s="53"/>
      <c r="CT469" s="5"/>
      <c r="CU469" s="5"/>
      <c r="CV469" s="5"/>
      <c r="CW469" s="5"/>
      <c r="CX469" s="5"/>
      <c r="CY469" s="5"/>
    </row>
    <row r="470" spans="1:103" ht="10.25" customHeight="1">
      <c r="A470" s="216"/>
      <c r="B470" s="217"/>
      <c r="C470" s="218"/>
      <c r="D470" s="219"/>
      <c r="E470" s="217"/>
      <c r="F470" s="217"/>
      <c r="G470" s="217"/>
      <c r="H470" s="220"/>
      <c r="I470" s="217"/>
      <c r="J470" s="217"/>
      <c r="K470" s="217"/>
      <c r="L470" s="217"/>
      <c r="M470" s="217"/>
      <c r="N470" s="217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BA470" s="5"/>
      <c r="BB470" s="5"/>
      <c r="BC470" s="5"/>
      <c r="BD470" s="5"/>
      <c r="BE470" s="63"/>
      <c r="BF470" s="63"/>
      <c r="BG470" s="63"/>
      <c r="CA470" s="317"/>
      <c r="CF470" s="5"/>
      <c r="CG470" s="53"/>
      <c r="CH470" s="53"/>
      <c r="CI470" s="53"/>
      <c r="CJ470" s="53"/>
      <c r="CK470" s="53"/>
      <c r="CL470" s="53"/>
      <c r="CN470" s="53"/>
      <c r="CO470" s="53"/>
      <c r="CP470" s="53"/>
      <c r="CQ470" s="53"/>
      <c r="CR470" s="53"/>
      <c r="CS470" s="53"/>
      <c r="CT470" s="5"/>
      <c r="CU470" s="5"/>
      <c r="CV470" s="5"/>
      <c r="CW470" s="5"/>
      <c r="CX470" s="5"/>
      <c r="CY470" s="5"/>
    </row>
    <row r="471" spans="1:103" ht="10.25" customHeight="1">
      <c r="A471" s="216"/>
      <c r="B471" s="217"/>
      <c r="C471" s="218"/>
      <c r="D471" s="219"/>
      <c r="E471" s="217"/>
      <c r="F471" s="217"/>
      <c r="G471" s="217"/>
      <c r="H471" s="220"/>
      <c r="I471" s="217"/>
      <c r="J471" s="217"/>
      <c r="K471" s="217"/>
      <c r="L471" s="217"/>
      <c r="M471" s="217"/>
      <c r="N471" s="217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BA471" s="5"/>
      <c r="BB471" s="5"/>
      <c r="BC471" s="5"/>
      <c r="BD471" s="5"/>
      <c r="BE471" s="63"/>
      <c r="BF471" s="63"/>
      <c r="BG471" s="63"/>
      <c r="CA471" s="317"/>
      <c r="CF471" s="5"/>
      <c r="CG471" s="53"/>
      <c r="CH471" s="53"/>
      <c r="CI471" s="53"/>
      <c r="CJ471" s="53"/>
      <c r="CK471" s="53"/>
      <c r="CL471" s="53"/>
      <c r="CN471" s="53"/>
      <c r="CO471" s="53"/>
      <c r="CP471" s="53"/>
      <c r="CQ471" s="53"/>
      <c r="CR471" s="53"/>
      <c r="CS471" s="53"/>
      <c r="CT471" s="5"/>
      <c r="CU471" s="5"/>
      <c r="CV471" s="5"/>
      <c r="CW471" s="5"/>
      <c r="CX471" s="5"/>
      <c r="CY471" s="5"/>
    </row>
    <row r="472" spans="1:103" ht="10.25" customHeight="1">
      <c r="A472" s="216"/>
      <c r="B472" s="217"/>
      <c r="C472" s="218"/>
      <c r="D472" s="219"/>
      <c r="E472" s="217"/>
      <c r="F472" s="217"/>
      <c r="G472" s="217"/>
      <c r="H472" s="220"/>
      <c r="I472" s="217"/>
      <c r="J472" s="217"/>
      <c r="K472" s="217"/>
      <c r="L472" s="217"/>
      <c r="M472" s="217"/>
      <c r="N472" s="217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BA472" s="5"/>
      <c r="BB472" s="5"/>
      <c r="BC472" s="5"/>
      <c r="BD472" s="5"/>
      <c r="BE472" s="63"/>
      <c r="BF472" s="63"/>
      <c r="BG472" s="63"/>
      <c r="CA472" s="317"/>
      <c r="CF472" s="5"/>
      <c r="CG472" s="53"/>
      <c r="CH472" s="53"/>
      <c r="CI472" s="53"/>
      <c r="CJ472" s="53"/>
      <c r="CK472" s="53"/>
      <c r="CL472" s="53"/>
      <c r="CN472" s="53"/>
      <c r="CO472" s="53"/>
      <c r="CP472" s="53"/>
      <c r="CQ472" s="53"/>
      <c r="CR472" s="53"/>
      <c r="CS472" s="53"/>
      <c r="CT472" s="5"/>
      <c r="CU472" s="5"/>
      <c r="CV472" s="5"/>
      <c r="CW472" s="5"/>
      <c r="CX472" s="5"/>
      <c r="CY472" s="5"/>
    </row>
    <row r="473" spans="1:103" ht="10.25" customHeight="1">
      <c r="A473" s="216"/>
      <c r="B473" s="217"/>
      <c r="C473" s="218"/>
      <c r="D473" s="219"/>
      <c r="E473" s="217"/>
      <c r="F473" s="217"/>
      <c r="G473" s="217"/>
      <c r="H473" s="220"/>
      <c r="I473" s="217"/>
      <c r="J473" s="217"/>
      <c r="K473" s="217"/>
      <c r="L473" s="217"/>
      <c r="M473" s="217"/>
      <c r="N473" s="217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BA473" s="5"/>
      <c r="BB473" s="5"/>
      <c r="BC473" s="5"/>
      <c r="BD473" s="5"/>
      <c r="BE473" s="63"/>
      <c r="BF473" s="63"/>
      <c r="BG473" s="63"/>
      <c r="CA473" s="317"/>
      <c r="CF473" s="5"/>
      <c r="CG473" s="53"/>
      <c r="CH473" s="53"/>
      <c r="CI473" s="53"/>
      <c r="CJ473" s="53"/>
      <c r="CK473" s="53"/>
      <c r="CL473" s="53"/>
      <c r="CN473" s="53"/>
      <c r="CO473" s="53"/>
      <c r="CP473" s="53"/>
      <c r="CQ473" s="53"/>
      <c r="CR473" s="53"/>
      <c r="CS473" s="53"/>
      <c r="CT473" s="5"/>
      <c r="CU473" s="5"/>
      <c r="CV473" s="5"/>
      <c r="CW473" s="5"/>
      <c r="CX473" s="5"/>
      <c r="CY473" s="5"/>
    </row>
    <row r="474" spans="1:103" ht="10.25" customHeight="1">
      <c r="A474" s="216"/>
      <c r="B474" s="217"/>
      <c r="C474" s="218"/>
      <c r="D474" s="219"/>
      <c r="E474" s="217"/>
      <c r="F474" s="217"/>
      <c r="G474" s="217"/>
      <c r="H474" s="220"/>
      <c r="I474" s="217"/>
      <c r="J474" s="217"/>
      <c r="K474" s="217"/>
      <c r="L474" s="217"/>
      <c r="M474" s="217"/>
      <c r="N474" s="217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BA474" s="5"/>
      <c r="BB474" s="5"/>
      <c r="BC474" s="5"/>
      <c r="BD474" s="5"/>
      <c r="BE474" s="63"/>
      <c r="BF474" s="63"/>
      <c r="BG474" s="63"/>
      <c r="CA474" s="317"/>
      <c r="CF474" s="5"/>
      <c r="CG474" s="53"/>
      <c r="CH474" s="53"/>
      <c r="CI474" s="53"/>
      <c r="CJ474" s="53"/>
      <c r="CK474" s="53"/>
      <c r="CL474" s="53"/>
      <c r="CN474" s="53"/>
      <c r="CO474" s="53"/>
      <c r="CP474" s="53"/>
      <c r="CQ474" s="53"/>
      <c r="CR474" s="53"/>
      <c r="CS474" s="53"/>
      <c r="CT474" s="5"/>
      <c r="CU474" s="5"/>
      <c r="CV474" s="5"/>
      <c r="CW474" s="5"/>
      <c r="CX474" s="5"/>
      <c r="CY474" s="5"/>
    </row>
    <row r="475" spans="1:103" ht="10.25" customHeight="1">
      <c r="A475" s="216"/>
      <c r="B475" s="217"/>
      <c r="C475" s="218"/>
      <c r="D475" s="219"/>
      <c r="E475" s="217"/>
      <c r="F475" s="217"/>
      <c r="G475" s="217"/>
      <c r="H475" s="220"/>
      <c r="I475" s="217"/>
      <c r="J475" s="217"/>
      <c r="K475" s="217"/>
      <c r="L475" s="217"/>
      <c r="M475" s="217"/>
      <c r="N475" s="217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BA475" s="5"/>
      <c r="BB475" s="5"/>
      <c r="BC475" s="5"/>
      <c r="BD475" s="5"/>
      <c r="BE475" s="63"/>
      <c r="BF475" s="63"/>
      <c r="BG475" s="63"/>
      <c r="CA475" s="317"/>
      <c r="CF475" s="5"/>
      <c r="CG475" s="53"/>
      <c r="CH475" s="53"/>
      <c r="CI475" s="53"/>
      <c r="CJ475" s="53"/>
      <c r="CK475" s="53"/>
      <c r="CL475" s="53"/>
      <c r="CN475" s="53"/>
      <c r="CO475" s="53"/>
      <c r="CP475" s="53"/>
      <c r="CQ475" s="53"/>
      <c r="CR475" s="53"/>
      <c r="CS475" s="53"/>
      <c r="CT475" s="5"/>
      <c r="CU475" s="5"/>
      <c r="CV475" s="5"/>
      <c r="CW475" s="5"/>
      <c r="CX475" s="5"/>
      <c r="CY475" s="5"/>
    </row>
    <row r="476" spans="1:103" ht="10.25" customHeight="1">
      <c r="A476" s="216"/>
      <c r="B476" s="217"/>
      <c r="C476" s="218"/>
      <c r="D476" s="219"/>
      <c r="E476" s="217"/>
      <c r="F476" s="217"/>
      <c r="G476" s="217"/>
      <c r="H476" s="220"/>
      <c r="I476" s="217"/>
      <c r="J476" s="217"/>
      <c r="K476" s="217"/>
      <c r="L476" s="217"/>
      <c r="M476" s="217"/>
      <c r="N476" s="217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BA476" s="5"/>
      <c r="BB476" s="5"/>
      <c r="BC476" s="5"/>
      <c r="BD476" s="5"/>
      <c r="BE476" s="63"/>
      <c r="BF476" s="63"/>
      <c r="BG476" s="63"/>
      <c r="CA476" s="317"/>
      <c r="CF476" s="5"/>
      <c r="CG476" s="53"/>
      <c r="CH476" s="53"/>
      <c r="CI476" s="53"/>
      <c r="CJ476" s="53"/>
      <c r="CK476" s="53"/>
      <c r="CL476" s="53"/>
      <c r="CN476" s="53"/>
      <c r="CO476" s="53"/>
      <c r="CP476" s="53"/>
      <c r="CQ476" s="53"/>
      <c r="CR476" s="53"/>
      <c r="CS476" s="53"/>
      <c r="CT476" s="5"/>
      <c r="CU476" s="5"/>
      <c r="CV476" s="5"/>
      <c r="CW476" s="5"/>
      <c r="CX476" s="5"/>
      <c r="CY476" s="5"/>
    </row>
    <row r="477" spans="1:103" ht="10.25" customHeight="1">
      <c r="A477" s="216"/>
      <c r="B477" s="217"/>
      <c r="C477" s="218"/>
      <c r="D477" s="219"/>
      <c r="E477" s="217"/>
      <c r="F477" s="217"/>
      <c r="G477" s="217"/>
      <c r="H477" s="220"/>
      <c r="I477" s="217"/>
      <c r="J477" s="217"/>
      <c r="K477" s="217"/>
      <c r="L477" s="217"/>
      <c r="M477" s="217"/>
      <c r="N477" s="217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BA477" s="5"/>
      <c r="BB477" s="5"/>
      <c r="BC477" s="5"/>
      <c r="BD477" s="5"/>
      <c r="BE477" s="63"/>
      <c r="BF477" s="63"/>
      <c r="BG477" s="63"/>
      <c r="CA477" s="317"/>
      <c r="CF477" s="5"/>
      <c r="CG477" s="53"/>
      <c r="CH477" s="53"/>
      <c r="CI477" s="53"/>
      <c r="CJ477" s="53"/>
      <c r="CK477" s="53"/>
      <c r="CL477" s="53"/>
      <c r="CN477" s="53"/>
      <c r="CO477" s="53"/>
      <c r="CP477" s="53"/>
      <c r="CQ477" s="53"/>
      <c r="CR477" s="53"/>
      <c r="CS477" s="53"/>
      <c r="CT477" s="5"/>
      <c r="CU477" s="5"/>
      <c r="CV477" s="5"/>
      <c r="CW477" s="5"/>
      <c r="CX477" s="5"/>
      <c r="CY477" s="5"/>
    </row>
    <row r="478" spans="1:103" ht="10.25" customHeight="1">
      <c r="A478" s="216"/>
      <c r="B478" s="217"/>
      <c r="C478" s="218"/>
      <c r="D478" s="219"/>
      <c r="E478" s="217"/>
      <c r="F478" s="217"/>
      <c r="G478" s="217"/>
      <c r="H478" s="220"/>
      <c r="I478" s="217"/>
      <c r="J478" s="217"/>
      <c r="K478" s="217"/>
      <c r="L478" s="217"/>
      <c r="M478" s="217"/>
      <c r="N478" s="217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BA478" s="5"/>
      <c r="BB478" s="5"/>
      <c r="BC478" s="5"/>
      <c r="BD478" s="5"/>
      <c r="BE478" s="63"/>
      <c r="BF478" s="63"/>
      <c r="BG478" s="63"/>
      <c r="CA478" s="317"/>
      <c r="CF478" s="5"/>
      <c r="CG478" s="53"/>
      <c r="CH478" s="53"/>
      <c r="CI478" s="53"/>
      <c r="CJ478" s="53"/>
      <c r="CK478" s="53"/>
      <c r="CL478" s="53"/>
      <c r="CN478" s="53"/>
      <c r="CO478" s="53"/>
      <c r="CP478" s="53"/>
      <c r="CQ478" s="53"/>
      <c r="CR478" s="53"/>
      <c r="CS478" s="53"/>
      <c r="CT478" s="5"/>
      <c r="CU478" s="5"/>
      <c r="CV478" s="5"/>
      <c r="CW478" s="5"/>
      <c r="CX478" s="5"/>
      <c r="CY478" s="5"/>
    </row>
    <row r="479" spans="1:103" ht="10.25" customHeight="1">
      <c r="A479" s="216"/>
      <c r="B479" s="217"/>
      <c r="C479" s="218"/>
      <c r="D479" s="219"/>
      <c r="E479" s="217"/>
      <c r="F479" s="217"/>
      <c r="G479" s="217"/>
      <c r="H479" s="220"/>
      <c r="I479" s="217"/>
      <c r="J479" s="217"/>
      <c r="K479" s="217"/>
      <c r="L479" s="217"/>
      <c r="M479" s="217"/>
      <c r="N479" s="217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BA479" s="5"/>
      <c r="BB479" s="5"/>
      <c r="BC479" s="5"/>
      <c r="BD479" s="5"/>
      <c r="BE479" s="63"/>
      <c r="BF479" s="63"/>
      <c r="BG479" s="63"/>
      <c r="CA479" s="317"/>
      <c r="CF479" s="5"/>
      <c r="CG479" s="53"/>
      <c r="CH479" s="53"/>
      <c r="CI479" s="53"/>
      <c r="CJ479" s="53"/>
      <c r="CK479" s="53"/>
      <c r="CL479" s="53"/>
      <c r="CN479" s="53"/>
      <c r="CO479" s="53"/>
      <c r="CP479" s="53"/>
      <c r="CQ479" s="53"/>
      <c r="CR479" s="53"/>
      <c r="CS479" s="53"/>
      <c r="CT479" s="5"/>
      <c r="CU479" s="5"/>
      <c r="CV479" s="5"/>
      <c r="CW479" s="5"/>
      <c r="CX479" s="5"/>
      <c r="CY479" s="5"/>
    </row>
    <row r="480" spans="1:103" ht="10.25" customHeight="1">
      <c r="A480" s="216"/>
      <c r="B480" s="217"/>
      <c r="C480" s="218"/>
      <c r="D480" s="219"/>
      <c r="E480" s="217"/>
      <c r="F480" s="217"/>
      <c r="G480" s="217"/>
      <c r="H480" s="220"/>
      <c r="I480" s="217"/>
      <c r="J480" s="217"/>
      <c r="K480" s="217"/>
      <c r="L480" s="217"/>
      <c r="M480" s="217"/>
      <c r="N480" s="217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BA480" s="5"/>
      <c r="BB480" s="5"/>
      <c r="BC480" s="5"/>
      <c r="BD480" s="5"/>
      <c r="BE480" s="63"/>
      <c r="BF480" s="63"/>
      <c r="BG480" s="63"/>
      <c r="CA480" s="256"/>
      <c r="CB480" s="261"/>
      <c r="CC480" s="261"/>
      <c r="CD480" s="261"/>
      <c r="CE480" s="261"/>
      <c r="CF480" s="255"/>
      <c r="CG480" s="53"/>
      <c r="CH480" s="53"/>
      <c r="CI480" s="53"/>
      <c r="CJ480" s="53"/>
      <c r="CK480" s="53"/>
      <c r="CL480" s="53"/>
      <c r="CN480" s="53"/>
      <c r="CO480" s="53"/>
      <c r="CP480" s="53"/>
      <c r="CQ480" s="53"/>
      <c r="CR480" s="53"/>
      <c r="CS480" s="53"/>
      <c r="CT480" s="261"/>
      <c r="CU480" s="255"/>
      <c r="CV480" s="261"/>
      <c r="CW480" s="261"/>
      <c r="CX480" s="261"/>
      <c r="CY480" s="255"/>
    </row>
    <row r="481" spans="1:103" ht="10.25" customHeight="1">
      <c r="A481" s="216"/>
      <c r="B481" s="217"/>
      <c r="C481" s="218"/>
      <c r="D481" s="219"/>
      <c r="E481" s="217"/>
      <c r="F481" s="217"/>
      <c r="G481" s="217"/>
      <c r="H481" s="220"/>
      <c r="I481" s="217"/>
      <c r="J481" s="217"/>
      <c r="K481" s="217"/>
      <c r="L481" s="217"/>
      <c r="M481" s="217"/>
      <c r="N481" s="217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BA481" s="5"/>
      <c r="BB481" s="5"/>
      <c r="BC481" s="5"/>
      <c r="BD481" s="5"/>
      <c r="BE481" s="63"/>
      <c r="BF481" s="63"/>
      <c r="BG481" s="63"/>
      <c r="CA481" s="256"/>
      <c r="CB481" s="261"/>
      <c r="CC481" s="261"/>
      <c r="CD481" s="261"/>
      <c r="CE481" s="261"/>
      <c r="CF481" s="255"/>
      <c r="CG481" s="53"/>
      <c r="CH481" s="53"/>
      <c r="CI481" s="53"/>
      <c r="CJ481" s="53"/>
      <c r="CK481" s="53"/>
      <c r="CL481" s="53"/>
      <c r="CN481" s="53"/>
      <c r="CO481" s="53"/>
      <c r="CP481" s="53"/>
      <c r="CQ481" s="53"/>
      <c r="CR481" s="53"/>
      <c r="CS481" s="53"/>
      <c r="CT481" s="261"/>
      <c r="CU481" s="255"/>
      <c r="CV481" s="261"/>
      <c r="CW481" s="261"/>
      <c r="CX481" s="261"/>
      <c r="CY481" s="255"/>
    </row>
    <row r="482" spans="1:103" ht="10.25" customHeight="1">
      <c r="A482" s="216"/>
      <c r="B482" s="217"/>
      <c r="C482" s="218"/>
      <c r="D482" s="219"/>
      <c r="E482" s="217"/>
      <c r="F482" s="217"/>
      <c r="G482" s="217"/>
      <c r="H482" s="220"/>
      <c r="I482" s="217"/>
      <c r="J482" s="217"/>
      <c r="K482" s="217"/>
      <c r="L482" s="217"/>
      <c r="M482" s="217"/>
      <c r="N482" s="217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BA482" s="5"/>
      <c r="BB482" s="5"/>
      <c r="BC482" s="5"/>
      <c r="BD482" s="5"/>
      <c r="BE482" s="63"/>
      <c r="BF482" s="63"/>
      <c r="BG482" s="63"/>
      <c r="CA482" s="256"/>
      <c r="CB482" s="261"/>
      <c r="CC482" s="261"/>
      <c r="CD482" s="261"/>
      <c r="CE482" s="261"/>
      <c r="CF482" s="255"/>
      <c r="CG482" s="53"/>
      <c r="CH482" s="53"/>
      <c r="CI482" s="53"/>
      <c r="CJ482" s="53"/>
      <c r="CK482" s="53"/>
      <c r="CL482" s="53"/>
      <c r="CN482" s="53"/>
      <c r="CO482" s="53"/>
      <c r="CP482" s="53"/>
      <c r="CQ482" s="53"/>
      <c r="CR482" s="53"/>
      <c r="CS482" s="53"/>
      <c r="CT482" s="261"/>
      <c r="CU482" s="255"/>
      <c r="CV482" s="261"/>
      <c r="CW482" s="255"/>
      <c r="CX482" s="261"/>
      <c r="CY482" s="255"/>
    </row>
    <row r="483" spans="1:103" ht="10.25" customHeight="1">
      <c r="A483" s="216"/>
      <c r="B483" s="217"/>
      <c r="C483" s="218"/>
      <c r="D483" s="219"/>
      <c r="E483" s="217"/>
      <c r="F483" s="217"/>
      <c r="G483" s="217"/>
      <c r="H483" s="220"/>
      <c r="I483" s="217"/>
      <c r="J483" s="217"/>
      <c r="K483" s="217"/>
      <c r="L483" s="217"/>
      <c r="M483" s="217"/>
      <c r="N483" s="217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BA483" s="5"/>
      <c r="BB483" s="5"/>
      <c r="BC483" s="5"/>
      <c r="BD483" s="5"/>
      <c r="BE483" s="63"/>
      <c r="BF483" s="63"/>
      <c r="BG483" s="63"/>
      <c r="CA483" s="256"/>
      <c r="CB483" s="261"/>
      <c r="CC483" s="261"/>
      <c r="CD483" s="261"/>
      <c r="CE483" s="261"/>
      <c r="CF483" s="255"/>
      <c r="CG483" s="53"/>
      <c r="CH483" s="53"/>
      <c r="CI483" s="53"/>
      <c r="CJ483" s="53"/>
      <c r="CK483" s="53"/>
      <c r="CL483" s="53"/>
      <c r="CN483" s="53"/>
      <c r="CO483" s="53"/>
      <c r="CP483" s="53"/>
      <c r="CQ483" s="53"/>
      <c r="CR483" s="53"/>
      <c r="CS483" s="53"/>
      <c r="CT483" s="261"/>
      <c r="CU483" s="255"/>
      <c r="CV483" s="255"/>
      <c r="CW483" s="261"/>
      <c r="CX483" s="261"/>
      <c r="CY483" s="255"/>
    </row>
    <row r="484" spans="1:103" ht="10.25" customHeight="1">
      <c r="A484" s="216"/>
      <c r="B484" s="217"/>
      <c r="C484" s="218"/>
      <c r="D484" s="219"/>
      <c r="E484" s="217"/>
      <c r="F484" s="217"/>
      <c r="G484" s="217"/>
      <c r="H484" s="220"/>
      <c r="I484" s="217"/>
      <c r="J484" s="217"/>
      <c r="K484" s="217"/>
      <c r="L484" s="217"/>
      <c r="M484" s="217"/>
      <c r="N484" s="217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BA484" s="5"/>
      <c r="BB484" s="5"/>
      <c r="BC484" s="5"/>
      <c r="BD484" s="5"/>
      <c r="BE484" s="63"/>
      <c r="BF484" s="63"/>
      <c r="BG484" s="63"/>
      <c r="CA484" s="256"/>
      <c r="CB484" s="261"/>
      <c r="CC484" s="261"/>
      <c r="CD484" s="261"/>
      <c r="CE484" s="261"/>
      <c r="CF484" s="255"/>
      <c r="CG484" s="53"/>
      <c r="CH484" s="53"/>
      <c r="CI484" s="53"/>
      <c r="CJ484" s="53"/>
      <c r="CK484" s="53"/>
      <c r="CL484" s="53"/>
      <c r="CN484" s="53"/>
      <c r="CO484" s="53"/>
      <c r="CP484" s="53"/>
      <c r="CQ484" s="53"/>
      <c r="CR484" s="53"/>
      <c r="CS484" s="53"/>
      <c r="CT484" s="261"/>
      <c r="CU484" s="255"/>
      <c r="CV484" s="261"/>
      <c r="CW484" s="255"/>
      <c r="CX484" s="261"/>
      <c r="CY484" s="255"/>
    </row>
    <row r="485" spans="1:103" ht="10.25" customHeight="1">
      <c r="A485" s="216"/>
      <c r="B485" s="217"/>
      <c r="C485" s="218"/>
      <c r="D485" s="219"/>
      <c r="E485" s="217"/>
      <c r="F485" s="217"/>
      <c r="G485" s="217"/>
      <c r="H485" s="220"/>
      <c r="I485" s="217"/>
      <c r="J485" s="217"/>
      <c r="K485" s="217"/>
      <c r="L485" s="217"/>
      <c r="M485" s="217"/>
      <c r="N485" s="217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BA485" s="5"/>
      <c r="BB485" s="5"/>
      <c r="BC485" s="5"/>
      <c r="BD485" s="5"/>
      <c r="BE485" s="63"/>
      <c r="BF485" s="63"/>
      <c r="BG485" s="63"/>
      <c r="CA485" s="256"/>
      <c r="CB485" s="261"/>
      <c r="CC485" s="261"/>
      <c r="CD485" s="261"/>
      <c r="CE485" s="255"/>
      <c r="CF485" s="261"/>
      <c r="CG485" s="53"/>
      <c r="CH485" s="53"/>
      <c r="CI485" s="53"/>
      <c r="CJ485" s="53"/>
      <c r="CK485" s="53"/>
      <c r="CL485" s="53"/>
      <c r="CN485" s="53"/>
      <c r="CO485" s="53"/>
      <c r="CP485" s="53"/>
      <c r="CQ485" s="53"/>
      <c r="CR485" s="53"/>
      <c r="CS485" s="53"/>
      <c r="CT485" s="255"/>
      <c r="CU485" s="261"/>
      <c r="CV485" s="255"/>
      <c r="CW485" s="261"/>
      <c r="CX485" s="261"/>
      <c r="CY485" s="255"/>
    </row>
    <row r="486" spans="1:103" ht="10.25" customHeight="1">
      <c r="A486" s="216"/>
      <c r="B486" s="217"/>
      <c r="C486" s="218"/>
      <c r="D486" s="219"/>
      <c r="E486" s="217"/>
      <c r="F486" s="217"/>
      <c r="G486" s="217"/>
      <c r="H486" s="220"/>
      <c r="I486" s="217"/>
      <c r="J486" s="217"/>
      <c r="K486" s="217"/>
      <c r="L486" s="217"/>
      <c r="M486" s="217"/>
      <c r="N486" s="217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BA486" s="5"/>
      <c r="BB486" s="5"/>
      <c r="BC486" s="5"/>
      <c r="BD486" s="5"/>
      <c r="BE486" s="63"/>
      <c r="BF486" s="63"/>
      <c r="BG486" s="63"/>
      <c r="CA486" s="256"/>
      <c r="CB486" s="261"/>
      <c r="CC486" s="261"/>
      <c r="CD486" s="261"/>
      <c r="CE486" s="255"/>
      <c r="CF486" s="261"/>
      <c r="CG486" s="53"/>
      <c r="CH486" s="53"/>
      <c r="CI486" s="53"/>
      <c r="CJ486" s="53"/>
      <c r="CK486" s="53"/>
      <c r="CL486" s="53"/>
      <c r="CN486" s="53"/>
      <c r="CO486" s="53"/>
      <c r="CP486" s="53"/>
      <c r="CQ486" s="53"/>
      <c r="CR486" s="53"/>
      <c r="CS486" s="53"/>
      <c r="CT486" s="255"/>
      <c r="CU486" s="261"/>
      <c r="CV486" s="261"/>
      <c r="CW486" s="255"/>
      <c r="CX486" s="261"/>
      <c r="CY486" s="255"/>
    </row>
    <row r="487" spans="1:103" ht="10.25" customHeight="1">
      <c r="A487" s="216"/>
      <c r="B487" s="217"/>
      <c r="C487" s="218"/>
      <c r="D487" s="219"/>
      <c r="E487" s="217"/>
      <c r="F487" s="217"/>
      <c r="G487" s="217"/>
      <c r="H487" s="220"/>
      <c r="I487" s="217"/>
      <c r="J487" s="217"/>
      <c r="K487" s="217"/>
      <c r="L487" s="217"/>
      <c r="M487" s="217"/>
      <c r="N487" s="217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BA487" s="5"/>
      <c r="BB487" s="5"/>
      <c r="BC487" s="5"/>
      <c r="BD487" s="5"/>
      <c r="BE487" s="63"/>
      <c r="BF487" s="63"/>
      <c r="BG487" s="63"/>
      <c r="CA487" s="256"/>
      <c r="CB487" s="261"/>
      <c r="CC487" s="261"/>
      <c r="CD487" s="255"/>
      <c r="CE487" s="261"/>
      <c r="CF487" s="261"/>
      <c r="CG487" s="53"/>
      <c r="CH487" s="53"/>
      <c r="CI487" s="53"/>
      <c r="CJ487" s="53"/>
      <c r="CK487" s="53"/>
      <c r="CL487" s="53"/>
      <c r="CN487" s="53"/>
      <c r="CO487" s="53"/>
      <c r="CP487" s="53"/>
      <c r="CQ487" s="53"/>
      <c r="CR487" s="53"/>
      <c r="CS487" s="53"/>
      <c r="CT487" s="261"/>
      <c r="CU487" s="261"/>
      <c r="CV487" s="255"/>
      <c r="CW487" s="261"/>
      <c r="CX487" s="261"/>
      <c r="CY487" s="255"/>
    </row>
    <row r="488" spans="1:103" ht="10.25" customHeight="1">
      <c r="A488" s="216"/>
      <c r="B488" s="217"/>
      <c r="C488" s="218"/>
      <c r="D488" s="219"/>
      <c r="E488" s="217"/>
      <c r="F488" s="217"/>
      <c r="G488" s="217"/>
      <c r="H488" s="220"/>
      <c r="I488" s="217"/>
      <c r="J488" s="217"/>
      <c r="K488" s="217"/>
      <c r="L488" s="217"/>
      <c r="M488" s="217"/>
      <c r="N488" s="217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BA488" s="5"/>
      <c r="BB488" s="5"/>
      <c r="BC488" s="5"/>
      <c r="BD488" s="5"/>
      <c r="BE488" s="63"/>
      <c r="BF488" s="63"/>
      <c r="BG488" s="63"/>
      <c r="CA488" s="256"/>
      <c r="CB488" s="261"/>
      <c r="CC488" s="261"/>
      <c r="CD488" s="255"/>
      <c r="CE488" s="261"/>
      <c r="CF488" s="261"/>
      <c r="CG488" s="53"/>
      <c r="CH488" s="53"/>
      <c r="CI488" s="53"/>
      <c r="CJ488" s="53"/>
      <c r="CK488" s="53"/>
      <c r="CL488" s="53"/>
      <c r="CN488" s="53"/>
      <c r="CO488" s="53"/>
      <c r="CP488" s="53"/>
      <c r="CQ488" s="53"/>
      <c r="CR488" s="53"/>
      <c r="CS488" s="53"/>
      <c r="CT488" s="261"/>
      <c r="CU488" s="261"/>
      <c r="CV488" s="261"/>
      <c r="CW488" s="255"/>
      <c r="CX488" s="261"/>
      <c r="CY488" s="255"/>
    </row>
    <row r="489" spans="1:103" ht="10.25" customHeight="1">
      <c r="A489" s="216"/>
      <c r="B489" s="217"/>
      <c r="C489" s="218"/>
      <c r="D489" s="219"/>
      <c r="E489" s="217"/>
      <c r="F489" s="217"/>
      <c r="G489" s="217"/>
      <c r="H489" s="220"/>
      <c r="I489" s="217"/>
      <c r="J489" s="217"/>
      <c r="K489" s="217"/>
      <c r="L489" s="217"/>
      <c r="M489" s="217"/>
      <c r="N489" s="217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BA489" s="5"/>
      <c r="BB489" s="5"/>
      <c r="BC489" s="5"/>
      <c r="BD489" s="5"/>
      <c r="BE489" s="63"/>
      <c r="BF489" s="63"/>
      <c r="BG489" s="63"/>
      <c r="CA489" s="256"/>
      <c r="CB489" s="261"/>
      <c r="CC489" s="261"/>
      <c r="CD489" s="255"/>
      <c r="CE489" s="261"/>
      <c r="CF489" s="261"/>
      <c r="CG489" s="53"/>
      <c r="CH489" s="53"/>
      <c r="CI489" s="53"/>
      <c r="CJ489" s="53"/>
      <c r="CK489" s="53"/>
      <c r="CL489" s="53"/>
      <c r="CN489" s="53"/>
      <c r="CO489" s="53"/>
      <c r="CP489" s="53"/>
      <c r="CQ489" s="53"/>
      <c r="CR489" s="53"/>
      <c r="CS489" s="53"/>
      <c r="CT489" s="261"/>
      <c r="CU489" s="261"/>
      <c r="CV489" s="261"/>
      <c r="CW489" s="261"/>
      <c r="CX489" s="261"/>
      <c r="CY489" s="255"/>
    </row>
    <row r="490" spans="1:103" ht="10.25" customHeight="1">
      <c r="A490" s="216"/>
      <c r="B490" s="217"/>
      <c r="C490" s="218"/>
      <c r="D490" s="219"/>
      <c r="E490" s="217"/>
      <c r="F490" s="217"/>
      <c r="G490" s="217"/>
      <c r="H490" s="220"/>
      <c r="I490" s="217"/>
      <c r="J490" s="217"/>
      <c r="K490" s="217"/>
      <c r="L490" s="217"/>
      <c r="M490" s="217"/>
      <c r="N490" s="217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BA490" s="5"/>
      <c r="BB490" s="5"/>
      <c r="BC490" s="5"/>
      <c r="BD490" s="5"/>
      <c r="BE490" s="63"/>
      <c r="BF490" s="63"/>
      <c r="BG490" s="63"/>
      <c r="CA490" s="256"/>
      <c r="CB490" s="261"/>
      <c r="CC490" s="261"/>
      <c r="CD490" s="261"/>
      <c r="CE490" s="261"/>
      <c r="CF490" s="261"/>
      <c r="CG490" s="53"/>
      <c r="CH490" s="53"/>
      <c r="CI490" s="53"/>
      <c r="CJ490" s="53"/>
      <c r="CK490" s="53"/>
      <c r="CL490" s="53"/>
      <c r="CN490" s="53"/>
      <c r="CO490" s="53"/>
      <c r="CP490" s="53"/>
      <c r="CQ490" s="53"/>
      <c r="CR490" s="53"/>
      <c r="CS490" s="53"/>
      <c r="CT490" s="261"/>
      <c r="CU490" s="261"/>
      <c r="CV490" s="255"/>
      <c r="CW490" s="255"/>
      <c r="CX490" s="261"/>
      <c r="CY490" s="255"/>
    </row>
    <row r="491" spans="1:103" ht="10.25" customHeight="1">
      <c r="A491" s="216"/>
      <c r="B491" s="217"/>
      <c r="C491" s="218"/>
      <c r="D491" s="219"/>
      <c r="E491" s="217"/>
      <c r="F491" s="217"/>
      <c r="G491" s="217"/>
      <c r="H491" s="220"/>
      <c r="I491" s="217"/>
      <c r="J491" s="217"/>
      <c r="K491" s="217"/>
      <c r="L491" s="217"/>
      <c r="M491" s="217"/>
      <c r="N491" s="217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BA491" s="5"/>
      <c r="BB491" s="5"/>
      <c r="BC491" s="5"/>
      <c r="BD491" s="5"/>
      <c r="BE491" s="63"/>
      <c r="BF491" s="63"/>
      <c r="BG491" s="63"/>
      <c r="CA491" s="256"/>
      <c r="CB491" s="261"/>
      <c r="CC491" s="261"/>
      <c r="CD491" s="261"/>
      <c r="CE491" s="261"/>
      <c r="CF491" s="261"/>
      <c r="CG491" s="53"/>
      <c r="CH491" s="53"/>
      <c r="CI491" s="53"/>
      <c r="CJ491" s="53"/>
      <c r="CK491" s="53"/>
      <c r="CL491" s="53"/>
      <c r="CN491" s="53"/>
      <c r="CO491" s="53"/>
      <c r="CP491" s="53"/>
      <c r="CQ491" s="53"/>
      <c r="CR491" s="53"/>
      <c r="CS491" s="53"/>
      <c r="CT491" s="261"/>
      <c r="CU491" s="261"/>
      <c r="CV491" s="261"/>
      <c r="CW491" s="261"/>
      <c r="CX491" s="261"/>
      <c r="CY491" s="255"/>
    </row>
    <row r="492" spans="1:103" ht="10.25" customHeight="1">
      <c r="A492" s="216"/>
      <c r="B492" s="217"/>
      <c r="C492" s="218"/>
      <c r="D492" s="219"/>
      <c r="E492" s="217"/>
      <c r="F492" s="217"/>
      <c r="G492" s="217"/>
      <c r="H492" s="220"/>
      <c r="I492" s="217"/>
      <c r="J492" s="217"/>
      <c r="K492" s="217"/>
      <c r="L492" s="217"/>
      <c r="M492" s="217"/>
      <c r="N492" s="217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BA492" s="5"/>
      <c r="BB492" s="5"/>
      <c r="BC492" s="5"/>
      <c r="BD492" s="5"/>
      <c r="BE492" s="63"/>
      <c r="BF492" s="63"/>
      <c r="BG492" s="63"/>
      <c r="CA492" s="256"/>
      <c r="CB492" s="261"/>
      <c r="CC492" s="261"/>
      <c r="CD492" s="261"/>
      <c r="CE492" s="261"/>
      <c r="CF492" s="261"/>
      <c r="CG492" s="53"/>
      <c r="CH492" s="53"/>
      <c r="CI492" s="53"/>
      <c r="CJ492" s="53"/>
      <c r="CK492" s="53"/>
      <c r="CL492" s="53"/>
      <c r="CN492" s="53"/>
      <c r="CO492" s="53"/>
      <c r="CP492" s="53"/>
      <c r="CQ492" s="53"/>
      <c r="CR492" s="53"/>
      <c r="CS492" s="53"/>
      <c r="CT492" s="261"/>
      <c r="CU492" s="261"/>
      <c r="CV492" s="255"/>
      <c r="CW492" s="255"/>
      <c r="CX492" s="261"/>
      <c r="CY492" s="255"/>
    </row>
    <row r="493" spans="1:103" ht="10.25" customHeight="1">
      <c r="A493" s="216"/>
      <c r="B493" s="217"/>
      <c r="C493" s="218"/>
      <c r="D493" s="219"/>
      <c r="E493" s="217"/>
      <c r="F493" s="217"/>
      <c r="G493" s="217"/>
      <c r="H493" s="220"/>
      <c r="I493" s="217"/>
      <c r="J493" s="217"/>
      <c r="K493" s="217"/>
      <c r="L493" s="217"/>
      <c r="M493" s="217"/>
      <c r="N493" s="217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BA493" s="5"/>
      <c r="BB493" s="5"/>
      <c r="BC493" s="5"/>
      <c r="BD493" s="5"/>
      <c r="BE493" s="63"/>
      <c r="BF493" s="63"/>
      <c r="BG493" s="63"/>
      <c r="CA493" s="256"/>
      <c r="CB493" s="261"/>
      <c r="CC493" s="261"/>
      <c r="CD493" s="261"/>
      <c r="CE493" s="261"/>
      <c r="CF493" s="261"/>
      <c r="CG493" s="53"/>
      <c r="CH493" s="53"/>
      <c r="CI493" s="53"/>
      <c r="CJ493" s="53"/>
      <c r="CK493" s="53"/>
      <c r="CL493" s="53"/>
      <c r="CN493" s="53"/>
      <c r="CO493" s="53"/>
      <c r="CP493" s="53"/>
      <c r="CQ493" s="53"/>
      <c r="CR493" s="53"/>
      <c r="CS493" s="53"/>
      <c r="CT493" s="261"/>
      <c r="CU493" s="261"/>
      <c r="CV493" s="261"/>
      <c r="CW493" s="261"/>
      <c r="CX493" s="255"/>
      <c r="CY493" s="255"/>
    </row>
    <row r="494" spans="1:103" ht="10.25" customHeight="1">
      <c r="A494" s="216"/>
      <c r="B494" s="217"/>
      <c r="C494" s="218"/>
      <c r="D494" s="219"/>
      <c r="E494" s="217"/>
      <c r="F494" s="217"/>
      <c r="G494" s="217"/>
      <c r="H494" s="220"/>
      <c r="I494" s="217"/>
      <c r="J494" s="217"/>
      <c r="K494" s="217"/>
      <c r="L494" s="217"/>
      <c r="M494" s="217"/>
      <c r="N494" s="217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BA494" s="5"/>
      <c r="BB494" s="5"/>
      <c r="BC494" s="5"/>
      <c r="BD494" s="5"/>
      <c r="BE494" s="63"/>
      <c r="BF494" s="63"/>
      <c r="BG494" s="63"/>
      <c r="CA494" s="256"/>
      <c r="CB494" s="261"/>
      <c r="CC494" s="261"/>
      <c r="CD494" s="261"/>
      <c r="CE494" s="261"/>
      <c r="CF494" s="261"/>
      <c r="CG494" s="53"/>
      <c r="CH494" s="53"/>
      <c r="CI494" s="53"/>
      <c r="CJ494" s="53"/>
      <c r="CK494" s="53"/>
      <c r="CL494" s="53"/>
      <c r="CN494" s="53"/>
      <c r="CO494" s="53"/>
      <c r="CP494" s="53"/>
      <c r="CQ494" s="53"/>
      <c r="CR494" s="53"/>
      <c r="CS494" s="53"/>
      <c r="CT494" s="261"/>
      <c r="CU494" s="261"/>
      <c r="CV494" s="255"/>
      <c r="CW494" s="255"/>
      <c r="CX494" s="261"/>
      <c r="CY494" s="255"/>
    </row>
    <row r="495" spans="1:103" ht="10.25" customHeight="1">
      <c r="A495" s="216"/>
      <c r="B495" s="217"/>
      <c r="C495" s="218"/>
      <c r="D495" s="219"/>
      <c r="E495" s="217"/>
      <c r="F495" s="217"/>
      <c r="G495" s="217"/>
      <c r="H495" s="220"/>
      <c r="I495" s="217"/>
      <c r="J495" s="217"/>
      <c r="K495" s="217"/>
      <c r="L495" s="217"/>
      <c r="M495" s="217"/>
      <c r="N495" s="217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BA495" s="5"/>
      <c r="BB495" s="5"/>
      <c r="BC495" s="5"/>
      <c r="BD495" s="5"/>
      <c r="BE495" s="63"/>
      <c r="BF495" s="63"/>
      <c r="BG495" s="63"/>
      <c r="CA495" s="256"/>
      <c r="CB495" s="261"/>
      <c r="CC495" s="261"/>
      <c r="CD495" s="261"/>
      <c r="CE495" s="261"/>
      <c r="CF495" s="261"/>
      <c r="CG495" s="53"/>
      <c r="CH495" s="53"/>
      <c r="CI495" s="53"/>
      <c r="CJ495" s="53"/>
      <c r="CK495" s="53"/>
      <c r="CL495" s="53"/>
      <c r="CN495" s="53"/>
      <c r="CO495" s="53"/>
      <c r="CP495" s="53"/>
      <c r="CQ495" s="53"/>
      <c r="CR495" s="53"/>
      <c r="CS495" s="53"/>
      <c r="CT495" s="261"/>
      <c r="CU495" s="261"/>
      <c r="CV495" s="261"/>
      <c r="CW495" s="261"/>
      <c r="CX495" s="261"/>
      <c r="CY495" s="255"/>
    </row>
    <row r="496" spans="1:103" ht="10.25" customHeight="1">
      <c r="A496" s="216"/>
      <c r="B496" s="217"/>
      <c r="C496" s="218"/>
      <c r="D496" s="219"/>
      <c r="E496" s="217"/>
      <c r="F496" s="217"/>
      <c r="G496" s="217"/>
      <c r="H496" s="220"/>
      <c r="I496" s="217"/>
      <c r="J496" s="217"/>
      <c r="K496" s="217"/>
      <c r="L496" s="217"/>
      <c r="M496" s="217"/>
      <c r="N496" s="217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BA496" s="5"/>
      <c r="BB496" s="5"/>
      <c r="BC496" s="5"/>
      <c r="BD496" s="5"/>
      <c r="BE496" s="63"/>
      <c r="BF496" s="63"/>
      <c r="BG496" s="63"/>
      <c r="CA496" s="256"/>
      <c r="CB496" s="261"/>
      <c r="CC496" s="261"/>
      <c r="CD496" s="261"/>
      <c r="CE496" s="261"/>
      <c r="CF496" s="261"/>
      <c r="CG496" s="53"/>
      <c r="CH496" s="53"/>
      <c r="CI496" s="53"/>
      <c r="CJ496" s="53"/>
      <c r="CK496" s="53"/>
      <c r="CL496" s="53"/>
      <c r="CN496" s="53"/>
      <c r="CO496" s="53"/>
      <c r="CP496" s="53"/>
      <c r="CQ496" s="53"/>
      <c r="CR496" s="53"/>
      <c r="CS496" s="53"/>
      <c r="CT496" s="261"/>
      <c r="CU496" s="261"/>
      <c r="CV496" s="261"/>
      <c r="CW496" s="255"/>
      <c r="CX496" s="261"/>
      <c r="CY496" s="255"/>
    </row>
    <row r="497" spans="1:103" ht="10.25" customHeight="1">
      <c r="A497" s="216"/>
      <c r="B497" s="217"/>
      <c r="C497" s="218"/>
      <c r="D497" s="219"/>
      <c r="E497" s="217"/>
      <c r="F497" s="217"/>
      <c r="G497" s="217"/>
      <c r="H497" s="220"/>
      <c r="I497" s="217"/>
      <c r="J497" s="217"/>
      <c r="K497" s="217"/>
      <c r="L497" s="217"/>
      <c r="M497" s="217"/>
      <c r="N497" s="217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BA497" s="5"/>
      <c r="BB497" s="5"/>
      <c r="BC497" s="5"/>
      <c r="BD497" s="5"/>
      <c r="BE497" s="63"/>
      <c r="BF497" s="63"/>
      <c r="BG497" s="63"/>
      <c r="CA497" s="256"/>
      <c r="CB497" s="261"/>
      <c r="CC497" s="261"/>
      <c r="CD497" s="261"/>
      <c r="CE497" s="261"/>
      <c r="CF497" s="261"/>
      <c r="CG497" s="53"/>
      <c r="CH497" s="53"/>
      <c r="CI497" s="53"/>
      <c r="CJ497" s="53"/>
      <c r="CK497" s="53"/>
      <c r="CL497" s="53"/>
      <c r="CN497" s="53"/>
      <c r="CO497" s="53"/>
      <c r="CP497" s="53"/>
      <c r="CQ497" s="53"/>
      <c r="CR497" s="53"/>
      <c r="CS497" s="53"/>
      <c r="CT497" s="261"/>
      <c r="CU497" s="261"/>
      <c r="CV497" s="261"/>
      <c r="CW497" s="261"/>
      <c r="CX497" s="261"/>
      <c r="CY497" s="255"/>
    </row>
    <row r="498" spans="1:103" ht="10.25" customHeight="1">
      <c r="A498" s="216"/>
      <c r="B498" s="217"/>
      <c r="C498" s="218"/>
      <c r="D498" s="219"/>
      <c r="E498" s="217"/>
      <c r="F498" s="217"/>
      <c r="G498" s="217"/>
      <c r="H498" s="220"/>
      <c r="I498" s="217"/>
      <c r="J498" s="217"/>
      <c r="K498" s="217"/>
      <c r="L498" s="217"/>
      <c r="M498" s="217"/>
      <c r="N498" s="217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BA498" s="5"/>
      <c r="BB498" s="5"/>
      <c r="BC498" s="5"/>
      <c r="BD498" s="5"/>
      <c r="BE498" s="63"/>
      <c r="BF498" s="63"/>
      <c r="BG498" s="63"/>
      <c r="CA498" s="256"/>
      <c r="CB498" s="261"/>
      <c r="CC498" s="261"/>
      <c r="CD498" s="261"/>
      <c r="CE498" s="261"/>
      <c r="CF498" s="261"/>
      <c r="CG498" s="53"/>
      <c r="CH498" s="53"/>
      <c r="CI498" s="53"/>
      <c r="CJ498" s="53"/>
      <c r="CK498" s="53"/>
      <c r="CL498" s="53"/>
      <c r="CN498" s="53"/>
      <c r="CO498" s="53"/>
      <c r="CP498" s="53"/>
      <c r="CQ498" s="53"/>
      <c r="CR498" s="53"/>
      <c r="CS498" s="53"/>
      <c r="CT498" s="261"/>
      <c r="CU498" s="261"/>
      <c r="CV498" s="255"/>
      <c r="CW498" s="255"/>
      <c r="CX498" s="261"/>
      <c r="CY498" s="255"/>
    </row>
    <row r="499" spans="1:103" ht="10.25" customHeight="1">
      <c r="A499" s="216"/>
      <c r="B499" s="217"/>
      <c r="C499" s="218"/>
      <c r="D499" s="219"/>
      <c r="E499" s="217"/>
      <c r="F499" s="217"/>
      <c r="G499" s="217"/>
      <c r="H499" s="220"/>
      <c r="I499" s="217"/>
      <c r="J499" s="217"/>
      <c r="K499" s="217"/>
      <c r="L499" s="217"/>
      <c r="M499" s="217"/>
      <c r="N499" s="217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BA499" s="5"/>
      <c r="BB499" s="5"/>
      <c r="BC499" s="5"/>
      <c r="BD499" s="5"/>
      <c r="BE499" s="63"/>
      <c r="BF499" s="63"/>
      <c r="BG499" s="63"/>
      <c r="CA499" s="256"/>
      <c r="CB499" s="261"/>
      <c r="CC499" s="261"/>
      <c r="CD499" s="261"/>
      <c r="CE499" s="261"/>
      <c r="CF499" s="261"/>
      <c r="CG499" s="53"/>
      <c r="CH499" s="53"/>
      <c r="CI499" s="53"/>
      <c r="CJ499" s="53"/>
      <c r="CK499" s="53"/>
      <c r="CL499" s="53"/>
      <c r="CN499" s="53"/>
      <c r="CO499" s="53"/>
      <c r="CP499" s="53"/>
      <c r="CQ499" s="53"/>
      <c r="CR499" s="53"/>
      <c r="CS499" s="53"/>
      <c r="CT499" s="261"/>
      <c r="CU499" s="261"/>
      <c r="CV499" s="261"/>
      <c r="CW499" s="261"/>
      <c r="CX499" s="261"/>
      <c r="CY499" s="255"/>
    </row>
    <row r="500" spans="1:103" ht="10.25" customHeight="1">
      <c r="A500" s="216"/>
      <c r="B500" s="217"/>
      <c r="C500" s="218"/>
      <c r="D500" s="219"/>
      <c r="E500" s="217"/>
      <c r="F500" s="217"/>
      <c r="G500" s="217"/>
      <c r="H500" s="220"/>
      <c r="I500" s="217"/>
      <c r="J500" s="217"/>
      <c r="K500" s="217"/>
      <c r="L500" s="217"/>
      <c r="M500" s="217"/>
      <c r="N500" s="217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BA500" s="5"/>
      <c r="BB500" s="5"/>
      <c r="BC500" s="5"/>
      <c r="BD500" s="5"/>
      <c r="BE500" s="63"/>
      <c r="BF500" s="63"/>
      <c r="BG500" s="63"/>
      <c r="CA500" s="256"/>
      <c r="CB500" s="261"/>
      <c r="CC500" s="261"/>
      <c r="CD500" s="261"/>
      <c r="CE500" s="261"/>
      <c r="CF500" s="261"/>
      <c r="CG500" s="53"/>
      <c r="CH500" s="53"/>
      <c r="CI500" s="53"/>
      <c r="CJ500" s="53"/>
      <c r="CK500" s="53"/>
      <c r="CL500" s="53"/>
      <c r="CN500" s="53"/>
      <c r="CO500" s="53"/>
      <c r="CP500" s="53"/>
      <c r="CQ500" s="53"/>
      <c r="CR500" s="53"/>
      <c r="CS500" s="53"/>
      <c r="CT500" s="261"/>
      <c r="CU500" s="261"/>
      <c r="CV500" s="255"/>
      <c r="CW500" s="255"/>
      <c r="CX500" s="255"/>
      <c r="CY500" s="255"/>
    </row>
    <row r="501" spans="1:103" ht="10.25" customHeight="1">
      <c r="A501" s="216"/>
      <c r="B501" s="217"/>
      <c r="C501" s="218"/>
      <c r="D501" s="219"/>
      <c r="E501" s="217"/>
      <c r="F501" s="217"/>
      <c r="G501" s="217"/>
      <c r="H501" s="220"/>
      <c r="I501" s="217"/>
      <c r="J501" s="217"/>
      <c r="K501" s="217"/>
      <c r="L501" s="217"/>
      <c r="M501" s="217"/>
      <c r="N501" s="217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BA501" s="5"/>
      <c r="BB501" s="5"/>
      <c r="BC501" s="5"/>
      <c r="BD501" s="5"/>
      <c r="BE501" s="63"/>
      <c r="BF501" s="63"/>
      <c r="BG501" s="63"/>
      <c r="CA501" s="256"/>
      <c r="CB501" s="261"/>
      <c r="CC501" s="261"/>
      <c r="CD501" s="261"/>
      <c r="CE501" s="261"/>
      <c r="CF501" s="261"/>
      <c r="CG501" s="53"/>
      <c r="CH501" s="53"/>
      <c r="CI501" s="53"/>
      <c r="CJ501" s="53"/>
      <c r="CK501" s="53"/>
      <c r="CL501" s="53"/>
      <c r="CN501" s="53"/>
      <c r="CO501" s="53"/>
      <c r="CP501" s="53"/>
      <c r="CQ501" s="53"/>
      <c r="CR501" s="53"/>
      <c r="CS501" s="53"/>
      <c r="CT501" s="261"/>
      <c r="CU501" s="261"/>
      <c r="CV501" s="261"/>
      <c r="CW501" s="255"/>
      <c r="CX501" s="261"/>
      <c r="CY501" s="255"/>
    </row>
    <row r="502" spans="1:103" ht="10.25" customHeight="1">
      <c r="A502" s="216"/>
      <c r="B502" s="217"/>
      <c r="C502" s="218"/>
      <c r="D502" s="219"/>
      <c r="E502" s="217"/>
      <c r="F502" s="217"/>
      <c r="G502" s="217"/>
      <c r="H502" s="220"/>
      <c r="I502" s="217"/>
      <c r="J502" s="217"/>
      <c r="K502" s="217"/>
      <c r="L502" s="217"/>
      <c r="M502" s="217"/>
      <c r="N502" s="217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BA502" s="5"/>
      <c r="BB502" s="5"/>
      <c r="BC502" s="5"/>
      <c r="BD502" s="5"/>
      <c r="BE502" s="63"/>
      <c r="BF502" s="63"/>
      <c r="BG502" s="63"/>
      <c r="CA502" s="256"/>
      <c r="CB502" s="261"/>
      <c r="CC502" s="261"/>
      <c r="CD502" s="261"/>
      <c r="CE502" s="261"/>
      <c r="CF502" s="261"/>
      <c r="CG502" s="53"/>
      <c r="CH502" s="53"/>
      <c r="CI502" s="53"/>
      <c r="CJ502" s="53"/>
      <c r="CK502" s="53"/>
      <c r="CL502" s="53"/>
      <c r="CN502" s="53"/>
      <c r="CO502" s="53"/>
      <c r="CP502" s="53"/>
      <c r="CQ502" s="53"/>
      <c r="CR502" s="53"/>
      <c r="CS502" s="53"/>
      <c r="CT502" s="261"/>
      <c r="CU502" s="261"/>
      <c r="CV502" s="255"/>
      <c r="CW502" s="255"/>
      <c r="CX502" s="261"/>
      <c r="CY502" s="255"/>
    </row>
    <row r="503" spans="1:103" ht="10.25" customHeight="1">
      <c r="A503" s="216"/>
      <c r="B503" s="217"/>
      <c r="C503" s="218"/>
      <c r="D503" s="219"/>
      <c r="E503" s="217"/>
      <c r="F503" s="217"/>
      <c r="G503" s="217"/>
      <c r="H503" s="220"/>
      <c r="I503" s="217"/>
      <c r="J503" s="217"/>
      <c r="K503" s="217"/>
      <c r="L503" s="217"/>
      <c r="M503" s="217"/>
      <c r="N503" s="217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BA503" s="5"/>
      <c r="BB503" s="5"/>
      <c r="BC503" s="5"/>
      <c r="BD503" s="5"/>
      <c r="BE503" s="63"/>
      <c r="BF503" s="63"/>
      <c r="BG503" s="63"/>
      <c r="CA503" s="256"/>
      <c r="CB503" s="261"/>
      <c r="CC503" s="261"/>
      <c r="CD503" s="261"/>
      <c r="CE503" s="261"/>
      <c r="CF503" s="261"/>
      <c r="CG503" s="53"/>
      <c r="CH503" s="53"/>
      <c r="CI503" s="53"/>
      <c r="CJ503" s="53"/>
      <c r="CK503" s="53"/>
      <c r="CL503" s="53"/>
      <c r="CN503" s="53"/>
      <c r="CO503" s="53"/>
      <c r="CP503" s="53"/>
      <c r="CQ503" s="53"/>
      <c r="CR503" s="53"/>
      <c r="CS503" s="53"/>
      <c r="CT503" s="261"/>
      <c r="CU503" s="261"/>
      <c r="CV503" s="261"/>
      <c r="CW503" s="261"/>
      <c r="CX503" s="261"/>
      <c r="CY503" s="255"/>
    </row>
    <row r="504" spans="1:103" ht="10.25" customHeight="1">
      <c r="A504" s="216"/>
      <c r="B504" s="217"/>
      <c r="C504" s="218"/>
      <c r="D504" s="219"/>
      <c r="E504" s="217"/>
      <c r="F504" s="217"/>
      <c r="G504" s="217"/>
      <c r="H504" s="220"/>
      <c r="I504" s="217"/>
      <c r="J504" s="217"/>
      <c r="K504" s="217"/>
      <c r="L504" s="217"/>
      <c r="M504" s="217"/>
      <c r="N504" s="217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BA504" s="5"/>
      <c r="BB504" s="5"/>
      <c r="BC504" s="5"/>
      <c r="BD504" s="5"/>
      <c r="BE504" s="63"/>
      <c r="BF504" s="63"/>
      <c r="BG504" s="63"/>
      <c r="CA504" s="256"/>
      <c r="CB504" s="261"/>
      <c r="CC504" s="261"/>
      <c r="CD504" s="261"/>
      <c r="CE504" s="261"/>
      <c r="CF504" s="261"/>
      <c r="CG504" s="53"/>
      <c r="CH504" s="53"/>
      <c r="CI504" s="53"/>
      <c r="CJ504" s="53"/>
      <c r="CK504" s="53"/>
      <c r="CL504" s="53"/>
      <c r="CN504" s="53"/>
      <c r="CO504" s="53"/>
      <c r="CP504" s="53"/>
      <c r="CQ504" s="53"/>
      <c r="CR504" s="53"/>
      <c r="CS504" s="53"/>
      <c r="CT504" s="261"/>
      <c r="CU504" s="261"/>
      <c r="CV504" s="255"/>
      <c r="CW504" s="255"/>
      <c r="CX504" s="261"/>
      <c r="CY504" s="255"/>
    </row>
    <row r="505" spans="1:103" ht="10.25" customHeight="1">
      <c r="A505" s="216"/>
      <c r="B505" s="217"/>
      <c r="C505" s="218"/>
      <c r="D505" s="219"/>
      <c r="E505" s="217"/>
      <c r="F505" s="217"/>
      <c r="G505" s="217"/>
      <c r="H505" s="220"/>
      <c r="I505" s="217"/>
      <c r="J505" s="217"/>
      <c r="K505" s="217"/>
      <c r="L505" s="217"/>
      <c r="M505" s="217"/>
      <c r="N505" s="217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BA505" s="5"/>
      <c r="BB505" s="5"/>
      <c r="BC505" s="5"/>
      <c r="BD505" s="5"/>
      <c r="BE505" s="63"/>
      <c r="BF505" s="63"/>
      <c r="BG505" s="63"/>
      <c r="CA505" s="256"/>
      <c r="CB505" s="261"/>
      <c r="CC505" s="261"/>
      <c r="CD505" s="261"/>
      <c r="CE505" s="261"/>
      <c r="CF505" s="255"/>
      <c r="CG505" s="53"/>
      <c r="CH505" s="53"/>
      <c r="CI505" s="53"/>
      <c r="CJ505" s="53"/>
      <c r="CK505" s="53"/>
      <c r="CL505" s="53"/>
      <c r="CN505" s="53"/>
      <c r="CO505" s="53"/>
      <c r="CP505" s="53"/>
      <c r="CQ505" s="53"/>
      <c r="CR505" s="53"/>
      <c r="CS505" s="53"/>
      <c r="CT505" s="261"/>
      <c r="CU505" s="255"/>
      <c r="CV505" s="261"/>
      <c r="CW505" s="261"/>
      <c r="CX505" s="261"/>
      <c r="CY505" s="255"/>
    </row>
    <row r="506" spans="1:103" ht="10.25" customHeight="1">
      <c r="A506" s="216"/>
      <c r="B506" s="217"/>
      <c r="C506" s="218"/>
      <c r="D506" s="219"/>
      <c r="E506" s="217"/>
      <c r="F506" s="217"/>
      <c r="G506" s="217"/>
      <c r="H506" s="220"/>
      <c r="I506" s="217"/>
      <c r="J506" s="217"/>
      <c r="K506" s="217"/>
      <c r="L506" s="217"/>
      <c r="M506" s="217"/>
      <c r="N506" s="217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BA506" s="5"/>
      <c r="BB506" s="5"/>
      <c r="BC506" s="5"/>
      <c r="BD506" s="5"/>
      <c r="BE506" s="63"/>
      <c r="BF506" s="63"/>
      <c r="BG506" s="63"/>
      <c r="CA506" s="256"/>
      <c r="CB506" s="261"/>
      <c r="CC506" s="261"/>
      <c r="CD506" s="261"/>
      <c r="CE506" s="261"/>
      <c r="CF506" s="255"/>
      <c r="CG506" s="53"/>
      <c r="CH506" s="53"/>
      <c r="CI506" s="53"/>
      <c r="CJ506" s="53"/>
      <c r="CK506" s="53"/>
      <c r="CL506" s="53"/>
      <c r="CN506" s="53"/>
      <c r="CO506" s="53"/>
      <c r="CP506" s="53"/>
      <c r="CQ506" s="53"/>
      <c r="CR506" s="53"/>
      <c r="CS506" s="53"/>
      <c r="CT506" s="261"/>
      <c r="CU506" s="255"/>
      <c r="CV506" s="255"/>
      <c r="CW506" s="255"/>
      <c r="CX506" s="261"/>
      <c r="CY506" s="255"/>
    </row>
    <row r="507" spans="1:103" ht="10.25" customHeight="1">
      <c r="A507" s="216"/>
      <c r="B507" s="217"/>
      <c r="C507" s="218"/>
      <c r="D507" s="219"/>
      <c r="E507" s="217"/>
      <c r="F507" s="217"/>
      <c r="G507" s="217"/>
      <c r="H507" s="220"/>
      <c r="I507" s="217"/>
      <c r="J507" s="217"/>
      <c r="K507" s="217"/>
      <c r="L507" s="217"/>
      <c r="M507" s="217"/>
      <c r="N507" s="217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BA507" s="5"/>
      <c r="BB507" s="5"/>
      <c r="BC507" s="5"/>
      <c r="BD507" s="5"/>
      <c r="BE507" s="63"/>
      <c r="BF507" s="63"/>
      <c r="BG507" s="63"/>
      <c r="CA507" s="256"/>
      <c r="CB507" s="261"/>
      <c r="CC507" s="261"/>
      <c r="CD507" s="261"/>
      <c r="CE507" s="255"/>
      <c r="CF507" s="261"/>
      <c r="CG507" s="53"/>
      <c r="CH507" s="53"/>
      <c r="CI507" s="53"/>
      <c r="CJ507" s="53"/>
      <c r="CK507" s="53"/>
      <c r="CL507" s="53"/>
      <c r="CN507" s="53"/>
      <c r="CO507" s="53"/>
      <c r="CP507" s="53"/>
      <c r="CQ507" s="53"/>
      <c r="CR507" s="53"/>
      <c r="CS507" s="53"/>
      <c r="CT507" s="255"/>
      <c r="CU507" s="261"/>
      <c r="CV507" s="261"/>
      <c r="CW507" s="261"/>
      <c r="CX507" s="261"/>
      <c r="CY507" s="255"/>
    </row>
    <row r="508" spans="1:103" ht="10.25" customHeight="1">
      <c r="A508" s="216"/>
      <c r="B508" s="217"/>
      <c r="C508" s="218"/>
      <c r="D508" s="219"/>
      <c r="E508" s="217"/>
      <c r="F508" s="217"/>
      <c r="G508" s="217"/>
      <c r="H508" s="220"/>
      <c r="I508" s="217"/>
      <c r="J508" s="217"/>
      <c r="K508" s="217"/>
      <c r="L508" s="217"/>
      <c r="M508" s="217"/>
      <c r="N508" s="217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BA508" s="5"/>
      <c r="BB508" s="5"/>
      <c r="BC508" s="5"/>
      <c r="BD508" s="5"/>
      <c r="BE508" s="63"/>
      <c r="BF508" s="63"/>
      <c r="BG508" s="63"/>
      <c r="CA508" s="256"/>
      <c r="CB508" s="261"/>
      <c r="CC508" s="261"/>
      <c r="CD508" s="261"/>
      <c r="CE508" s="255"/>
      <c r="CF508" s="261"/>
      <c r="CG508" s="53"/>
      <c r="CH508" s="53"/>
      <c r="CI508" s="53"/>
      <c r="CJ508" s="53"/>
      <c r="CK508" s="53"/>
      <c r="CL508" s="53"/>
      <c r="CN508" s="53"/>
      <c r="CO508" s="53"/>
      <c r="CP508" s="53"/>
      <c r="CQ508" s="53"/>
      <c r="CR508" s="53"/>
      <c r="CS508" s="53"/>
      <c r="CT508" s="255"/>
      <c r="CU508" s="261"/>
      <c r="CV508" s="255"/>
      <c r="CW508" s="255"/>
      <c r="CX508" s="261"/>
      <c r="CY508" s="255"/>
    </row>
    <row r="509" spans="1:103" ht="10.25" customHeight="1">
      <c r="A509" s="216"/>
      <c r="B509" s="217"/>
      <c r="C509" s="218"/>
      <c r="D509" s="219"/>
      <c r="E509" s="217"/>
      <c r="F509" s="217"/>
      <c r="G509" s="217"/>
      <c r="H509" s="220"/>
      <c r="I509" s="217"/>
      <c r="J509" s="217"/>
      <c r="K509" s="217"/>
      <c r="L509" s="217"/>
      <c r="M509" s="217"/>
      <c r="N509" s="217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BA509" s="5"/>
      <c r="BB509" s="5"/>
      <c r="BC509" s="5"/>
      <c r="BD509" s="5"/>
      <c r="BE509" s="63"/>
      <c r="BF509" s="63"/>
      <c r="BG509" s="63"/>
      <c r="CA509" s="256"/>
      <c r="CB509" s="261"/>
      <c r="CC509" s="261"/>
      <c r="CD509" s="261"/>
      <c r="CE509" s="261"/>
      <c r="CF509" s="261"/>
      <c r="CG509" s="53"/>
      <c r="CH509" s="53"/>
      <c r="CI509" s="53"/>
      <c r="CJ509" s="53"/>
      <c r="CK509" s="53"/>
      <c r="CL509" s="53"/>
      <c r="CN509" s="53"/>
      <c r="CO509" s="53"/>
      <c r="CP509" s="53"/>
      <c r="CQ509" s="53"/>
      <c r="CR509" s="53"/>
      <c r="CS509" s="53"/>
      <c r="CT509" s="261"/>
      <c r="CU509" s="261"/>
      <c r="CV509" s="261"/>
      <c r="CW509" s="261"/>
      <c r="CX509" s="255"/>
      <c r="CY509" s="255"/>
    </row>
    <row r="510" spans="1:103" ht="10.25" customHeight="1">
      <c r="A510" s="216"/>
      <c r="B510" s="217"/>
      <c r="C510" s="218"/>
      <c r="D510" s="219"/>
      <c r="E510" s="217"/>
      <c r="F510" s="217"/>
      <c r="G510" s="217"/>
      <c r="H510" s="220"/>
      <c r="I510" s="217"/>
      <c r="J510" s="217"/>
      <c r="K510" s="217"/>
      <c r="L510" s="217"/>
      <c r="M510" s="217"/>
      <c r="N510" s="217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BA510" s="5"/>
      <c r="BB510" s="5"/>
      <c r="BC510" s="5"/>
      <c r="BD510" s="5"/>
      <c r="BE510" s="63"/>
      <c r="BF510" s="63"/>
      <c r="BG510" s="63"/>
      <c r="CA510" s="256"/>
      <c r="CB510" s="261"/>
      <c r="CC510" s="261"/>
      <c r="CD510" s="261"/>
      <c r="CE510" s="261"/>
      <c r="CF510" s="261"/>
      <c r="CG510" s="53"/>
      <c r="CH510" s="53"/>
      <c r="CI510" s="53"/>
      <c r="CJ510" s="53"/>
      <c r="CK510" s="53"/>
      <c r="CL510" s="53"/>
      <c r="CN510" s="53"/>
      <c r="CO510" s="53"/>
      <c r="CP510" s="53"/>
      <c r="CQ510" s="53"/>
      <c r="CR510" s="53"/>
      <c r="CS510" s="53"/>
      <c r="CT510" s="261"/>
      <c r="CU510" s="261"/>
      <c r="CV510" s="255"/>
      <c r="CW510" s="255"/>
      <c r="CX510" s="261"/>
      <c r="CY510" s="255"/>
    </row>
    <row r="511" spans="1:103" ht="10.25" customHeight="1">
      <c r="A511" s="216"/>
      <c r="B511" s="217"/>
      <c r="C511" s="218"/>
      <c r="D511" s="219"/>
      <c r="E511" s="217"/>
      <c r="F511" s="217"/>
      <c r="G511" s="217"/>
      <c r="H511" s="220"/>
      <c r="I511" s="217"/>
      <c r="J511" s="217"/>
      <c r="K511" s="217"/>
      <c r="L511" s="217"/>
      <c r="M511" s="217"/>
      <c r="N511" s="217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BA511" s="5"/>
      <c r="BB511" s="5"/>
      <c r="BC511" s="5"/>
      <c r="BD511" s="5"/>
      <c r="BE511" s="63"/>
      <c r="BF511" s="63"/>
      <c r="BG511" s="63"/>
      <c r="CA511" s="256"/>
      <c r="CB511" s="261"/>
      <c r="CC511" s="261"/>
      <c r="CD511" s="261"/>
      <c r="CE511" s="261"/>
      <c r="CF511" s="261"/>
      <c r="CG511" s="53"/>
      <c r="CH511" s="53"/>
      <c r="CI511" s="53"/>
      <c r="CJ511" s="53"/>
      <c r="CK511" s="53"/>
      <c r="CL511" s="53"/>
      <c r="CN511" s="53"/>
      <c r="CO511" s="53"/>
      <c r="CP511" s="53"/>
      <c r="CQ511" s="53"/>
      <c r="CR511" s="53"/>
      <c r="CS511" s="53"/>
      <c r="CT511" s="261"/>
      <c r="CU511" s="261"/>
      <c r="CV511" s="261"/>
      <c r="CW511" s="255"/>
      <c r="CX511" s="261"/>
      <c r="CY511" s="255"/>
    </row>
    <row r="512" spans="1:103" ht="10.25" customHeight="1">
      <c r="A512" s="216"/>
      <c r="B512" s="217"/>
      <c r="C512" s="218"/>
      <c r="D512" s="219"/>
      <c r="E512" s="217"/>
      <c r="F512" s="217"/>
      <c r="G512" s="217"/>
      <c r="H512" s="220"/>
      <c r="I512" s="217"/>
      <c r="J512" s="217"/>
      <c r="K512" s="217"/>
      <c r="L512" s="217"/>
      <c r="M512" s="217"/>
      <c r="N512" s="217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BA512" s="5"/>
      <c r="BB512" s="5"/>
      <c r="BC512" s="5"/>
      <c r="BD512" s="5"/>
      <c r="BE512" s="63"/>
      <c r="BF512" s="63"/>
      <c r="BG512" s="63"/>
      <c r="CA512" s="256"/>
      <c r="CB512" s="261"/>
      <c r="CC512" s="261"/>
      <c r="CD512" s="261"/>
      <c r="CE512" s="261"/>
      <c r="CF512" s="261"/>
      <c r="CG512" s="53"/>
      <c r="CH512" s="53"/>
      <c r="CI512" s="53"/>
      <c r="CJ512" s="53"/>
      <c r="CK512" s="53"/>
      <c r="CL512" s="53"/>
      <c r="CN512" s="53"/>
      <c r="CO512" s="53"/>
      <c r="CP512" s="53"/>
      <c r="CQ512" s="53"/>
      <c r="CR512" s="53"/>
      <c r="CS512" s="53"/>
      <c r="CT512" s="261"/>
      <c r="CU512" s="261"/>
      <c r="CV512" s="255"/>
      <c r="CW512" s="255"/>
      <c r="CX512" s="261"/>
      <c r="CY512" s="255"/>
    </row>
    <row r="513" spans="1:103" ht="10.25" customHeight="1">
      <c r="A513" s="216"/>
      <c r="B513" s="217"/>
      <c r="C513" s="218"/>
      <c r="D513" s="219"/>
      <c r="E513" s="217"/>
      <c r="F513" s="217"/>
      <c r="G513" s="217"/>
      <c r="H513" s="220"/>
      <c r="I513" s="217"/>
      <c r="J513" s="217"/>
      <c r="K513" s="217"/>
      <c r="L513" s="217"/>
      <c r="M513" s="217"/>
      <c r="N513" s="217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BA513" s="5"/>
      <c r="BB513" s="5"/>
      <c r="BC513" s="5"/>
      <c r="BD513" s="5"/>
      <c r="BE513" s="63"/>
      <c r="BF513" s="63"/>
      <c r="BG513" s="63"/>
      <c r="CA513" s="256"/>
      <c r="CB513" s="261"/>
      <c r="CC513" s="261"/>
      <c r="CD513" s="261"/>
      <c r="CE513" s="261"/>
      <c r="CF513" s="261"/>
      <c r="CG513" s="53"/>
      <c r="CH513" s="53"/>
      <c r="CI513" s="53"/>
      <c r="CJ513" s="53"/>
      <c r="CK513" s="53"/>
      <c r="CL513" s="53"/>
      <c r="CN513" s="53"/>
      <c r="CO513" s="53"/>
      <c r="CP513" s="53"/>
      <c r="CQ513" s="53"/>
      <c r="CR513" s="53"/>
      <c r="CS513" s="53"/>
      <c r="CT513" s="261"/>
      <c r="CU513" s="261"/>
      <c r="CV513" s="261"/>
      <c r="CW513" s="261"/>
      <c r="CX513" s="261"/>
      <c r="CY513" s="255"/>
    </row>
    <row r="514" spans="1:103" ht="10.25" customHeight="1">
      <c r="A514" s="216"/>
      <c r="B514" s="217"/>
      <c r="C514" s="218"/>
      <c r="D514" s="219"/>
      <c r="E514" s="217"/>
      <c r="F514" s="217"/>
      <c r="G514" s="217"/>
      <c r="H514" s="220"/>
      <c r="I514" s="217"/>
      <c r="J514" s="217"/>
      <c r="K514" s="217"/>
      <c r="L514" s="217"/>
      <c r="M514" s="217"/>
      <c r="N514" s="217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  <c r="AQ514" s="44"/>
      <c r="BA514" s="5"/>
      <c r="BB514" s="5"/>
      <c r="BC514" s="5"/>
      <c r="BD514" s="5"/>
      <c r="BE514" s="63"/>
      <c r="BF514" s="63"/>
      <c r="BG514" s="63"/>
      <c r="CA514" s="256"/>
      <c r="CB514" s="261"/>
      <c r="CC514" s="261"/>
      <c r="CD514" s="255"/>
      <c r="CE514" s="261"/>
      <c r="CF514" s="261"/>
      <c r="CG514" s="53"/>
      <c r="CH514" s="53"/>
      <c r="CI514" s="53"/>
      <c r="CJ514" s="53"/>
      <c r="CK514" s="53"/>
      <c r="CL514" s="53"/>
      <c r="CN514" s="53"/>
      <c r="CO514" s="53"/>
      <c r="CP514" s="53"/>
      <c r="CQ514" s="53"/>
      <c r="CR514" s="53"/>
      <c r="CS514" s="53"/>
      <c r="CT514" s="261"/>
      <c r="CU514" s="261"/>
      <c r="CV514" s="261"/>
      <c r="CW514" s="261"/>
      <c r="CX514" s="261"/>
      <c r="CY514" s="255"/>
    </row>
    <row r="515" spans="1:103" ht="10.25" customHeight="1">
      <c r="A515" s="216"/>
      <c r="B515" s="217"/>
      <c r="C515" s="218"/>
      <c r="D515" s="219"/>
      <c r="E515" s="217"/>
      <c r="F515" s="217"/>
      <c r="G515" s="217"/>
      <c r="H515" s="220"/>
      <c r="I515" s="217"/>
      <c r="J515" s="217"/>
      <c r="K515" s="217"/>
      <c r="L515" s="217"/>
      <c r="M515" s="217"/>
      <c r="N515" s="217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BA515" s="5"/>
      <c r="BB515" s="5"/>
      <c r="BC515" s="5"/>
      <c r="BD515" s="5"/>
      <c r="BE515" s="63"/>
      <c r="BF515" s="63"/>
      <c r="BG515" s="63"/>
      <c r="CA515" s="256"/>
      <c r="CB515" s="261"/>
      <c r="CC515" s="261"/>
      <c r="CD515" s="255"/>
      <c r="CE515" s="261"/>
      <c r="CF515" s="261"/>
      <c r="CG515" s="53"/>
      <c r="CH515" s="53"/>
      <c r="CI515" s="53"/>
      <c r="CJ515" s="53"/>
      <c r="CK515" s="53"/>
      <c r="CL515" s="53"/>
      <c r="CN515" s="53"/>
      <c r="CO515" s="53"/>
      <c r="CP515" s="53"/>
      <c r="CQ515" s="53"/>
      <c r="CR515" s="53"/>
      <c r="CS515" s="53"/>
      <c r="CT515" s="261"/>
      <c r="CU515" s="261"/>
      <c r="CV515" s="261"/>
      <c r="CW515" s="261"/>
      <c r="CX515" s="261"/>
      <c r="CY515" s="255"/>
    </row>
    <row r="516" spans="1:103" ht="10.25" customHeight="1">
      <c r="A516" s="216"/>
      <c r="B516" s="217"/>
      <c r="C516" s="218"/>
      <c r="D516" s="219"/>
      <c r="E516" s="217"/>
      <c r="F516" s="217"/>
      <c r="G516" s="217"/>
      <c r="H516" s="220"/>
      <c r="I516" s="217"/>
      <c r="J516" s="217"/>
      <c r="K516" s="217"/>
      <c r="L516" s="217"/>
      <c r="M516" s="217"/>
      <c r="N516" s="217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BA516" s="5"/>
      <c r="BB516" s="5"/>
      <c r="BC516" s="5"/>
      <c r="BD516" s="5"/>
      <c r="BE516" s="63"/>
      <c r="BF516" s="63"/>
      <c r="BG516" s="63"/>
      <c r="CA516" s="256"/>
      <c r="CB516" s="261"/>
      <c r="CC516" s="261"/>
      <c r="CD516" s="255"/>
      <c r="CE516" s="261"/>
      <c r="CF516" s="261"/>
      <c r="CG516" s="53"/>
      <c r="CH516" s="53"/>
      <c r="CI516" s="53"/>
      <c r="CJ516" s="53"/>
      <c r="CK516" s="53"/>
      <c r="CL516" s="53"/>
      <c r="CN516" s="53"/>
      <c r="CO516" s="53"/>
      <c r="CP516" s="53"/>
      <c r="CQ516" s="53"/>
      <c r="CR516" s="53"/>
      <c r="CS516" s="53"/>
      <c r="CT516" s="261"/>
      <c r="CU516" s="261"/>
      <c r="CV516" s="261"/>
      <c r="CW516" s="261"/>
      <c r="CX516" s="261"/>
      <c r="CY516" s="255"/>
    </row>
    <row r="517" spans="1:103" ht="10.25" customHeight="1">
      <c r="A517" s="216"/>
      <c r="B517" s="217"/>
      <c r="C517" s="218"/>
      <c r="D517" s="219"/>
      <c r="E517" s="217"/>
      <c r="F517" s="217"/>
      <c r="G517" s="217"/>
      <c r="H517" s="220"/>
      <c r="I517" s="217"/>
      <c r="J517" s="217"/>
      <c r="K517" s="217"/>
      <c r="L517" s="217"/>
      <c r="M517" s="217"/>
      <c r="N517" s="217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BA517" s="5"/>
      <c r="BB517" s="5"/>
      <c r="BC517" s="5"/>
      <c r="BD517" s="5"/>
      <c r="BE517" s="63"/>
      <c r="BF517" s="63"/>
      <c r="BG517" s="63"/>
      <c r="CA517" s="256"/>
      <c r="CB517" s="261"/>
      <c r="CC517" s="255"/>
      <c r="CD517" s="261"/>
      <c r="CE517" s="261"/>
      <c r="CF517" s="261"/>
      <c r="CG517" s="53"/>
      <c r="CH517" s="53"/>
      <c r="CI517" s="53"/>
      <c r="CJ517" s="53"/>
      <c r="CK517" s="53"/>
      <c r="CL517" s="53"/>
      <c r="CN517" s="53"/>
      <c r="CO517" s="53"/>
      <c r="CP517" s="53"/>
      <c r="CQ517" s="53"/>
      <c r="CR517" s="53"/>
      <c r="CS517" s="53"/>
      <c r="CT517" s="261"/>
      <c r="CU517" s="261"/>
      <c r="CV517" s="261"/>
      <c r="CW517" s="261"/>
      <c r="CX517" s="261"/>
      <c r="CY517" s="255"/>
    </row>
    <row r="518" spans="1:103" ht="10.25" customHeight="1">
      <c r="A518" s="216"/>
      <c r="B518" s="217"/>
      <c r="C518" s="218"/>
      <c r="D518" s="219"/>
      <c r="E518" s="217"/>
      <c r="F518" s="217"/>
      <c r="G518" s="217"/>
      <c r="H518" s="220"/>
      <c r="I518" s="217"/>
      <c r="J518" s="217"/>
      <c r="K518" s="217"/>
      <c r="L518" s="217"/>
      <c r="M518" s="217"/>
      <c r="N518" s="217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BA518" s="5"/>
      <c r="BB518" s="5"/>
      <c r="BC518" s="5"/>
      <c r="BD518" s="5"/>
      <c r="BE518" s="63"/>
      <c r="BF518" s="63"/>
      <c r="BG518" s="63"/>
      <c r="CA518" s="256"/>
      <c r="CB518" s="261"/>
      <c r="CC518" s="255"/>
      <c r="CD518" s="261"/>
      <c r="CE518" s="261"/>
      <c r="CF518" s="261"/>
      <c r="CG518" s="53"/>
      <c r="CH518" s="53"/>
      <c r="CI518" s="53"/>
      <c r="CJ518" s="53"/>
      <c r="CK518" s="53"/>
      <c r="CL518" s="53"/>
      <c r="CN518" s="53"/>
      <c r="CO518" s="53"/>
      <c r="CP518" s="53"/>
      <c r="CQ518" s="53"/>
      <c r="CR518" s="53"/>
      <c r="CS518" s="53"/>
      <c r="CT518" s="261"/>
      <c r="CU518" s="261"/>
      <c r="CV518" s="261"/>
      <c r="CW518" s="261"/>
      <c r="CX518" s="261"/>
      <c r="CY518" s="255"/>
    </row>
    <row r="519" spans="1:103" ht="10.25" customHeight="1">
      <c r="A519" s="371"/>
      <c r="B519" s="371"/>
      <c r="C519" s="371"/>
      <c r="D519" s="269"/>
      <c r="L519" s="269"/>
      <c r="M519" s="269"/>
      <c r="N519" s="269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  <c r="AP519" s="63"/>
      <c r="AQ519" s="63"/>
      <c r="CA519" s="256"/>
      <c r="CB519" s="261"/>
      <c r="CC519" s="255"/>
      <c r="CD519" s="261"/>
      <c r="CE519" s="261"/>
      <c r="CF519" s="261"/>
      <c r="CG519" s="261"/>
      <c r="CH519" s="261"/>
      <c r="CI519" s="261"/>
      <c r="CJ519" s="261"/>
      <c r="CK519" s="261"/>
      <c r="CL519" s="255"/>
      <c r="CN519" s="256"/>
      <c r="CO519" s="256"/>
      <c r="CP519" s="261"/>
      <c r="CQ519" s="261"/>
      <c r="CR519" s="255"/>
      <c r="CS519" s="261"/>
      <c r="CT519" s="261"/>
      <c r="CU519" s="261"/>
      <c r="CV519" s="261"/>
      <c r="CW519" s="261"/>
      <c r="CX519" s="261"/>
      <c r="CY519" s="255"/>
    </row>
    <row r="520" spans="1:103" ht="12.65" customHeight="1">
      <c r="A520" s="270"/>
      <c r="C520" s="271"/>
      <c r="D520" s="372"/>
      <c r="E520" s="372"/>
      <c r="F520" s="272"/>
      <c r="G520" s="272"/>
      <c r="H520" s="273"/>
      <c r="L520" s="269"/>
      <c r="M520" s="269"/>
      <c r="N520" s="269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  <c r="AO520" s="63"/>
      <c r="AP520" s="63"/>
      <c r="AQ520" s="63"/>
      <c r="CA520" s="256"/>
      <c r="CB520" s="261"/>
      <c r="CC520" s="255"/>
      <c r="CD520" s="261"/>
      <c r="CE520" s="261"/>
      <c r="CF520" s="261"/>
      <c r="CG520" s="261"/>
      <c r="CH520" s="261"/>
      <c r="CI520" s="261"/>
      <c r="CJ520" s="261"/>
      <c r="CK520" s="255"/>
      <c r="CL520" s="255"/>
      <c r="CN520" s="256"/>
      <c r="CO520" s="256"/>
      <c r="CP520" s="261"/>
      <c r="CQ520" s="261"/>
      <c r="CR520" s="255"/>
      <c r="CS520" s="261"/>
      <c r="CT520" s="261"/>
      <c r="CU520" s="261"/>
      <c r="CV520" s="261"/>
      <c r="CW520" s="261"/>
      <c r="CX520" s="255"/>
      <c r="CY520" s="255"/>
    </row>
    <row r="521" spans="1:103" ht="10.25" customHeight="1">
      <c r="A521" s="270"/>
      <c r="D521" s="372"/>
      <c r="E521" s="372"/>
      <c r="F521" s="272"/>
      <c r="G521" s="272"/>
      <c r="H521" s="273"/>
      <c r="L521" s="269"/>
      <c r="M521" s="269"/>
      <c r="N521" s="269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  <c r="AN521" s="63"/>
      <c r="AO521" s="63"/>
      <c r="AP521" s="63"/>
      <c r="AQ521" s="63"/>
      <c r="CA521" s="256"/>
      <c r="CB521" s="261"/>
      <c r="CC521" s="255"/>
      <c r="CD521" s="261"/>
      <c r="CE521" s="261"/>
      <c r="CF521" s="261"/>
      <c r="CG521" s="261"/>
      <c r="CH521" s="261"/>
      <c r="CI521" s="261"/>
      <c r="CJ521" s="261"/>
      <c r="CK521" s="261"/>
      <c r="CL521" s="255"/>
      <c r="CN521" s="256"/>
      <c r="CO521" s="256"/>
      <c r="CP521" s="261"/>
      <c r="CQ521" s="261"/>
      <c r="CR521" s="255"/>
      <c r="CS521" s="261"/>
      <c r="CT521" s="261"/>
      <c r="CU521" s="261"/>
      <c r="CV521" s="261"/>
      <c r="CW521" s="261"/>
      <c r="CX521" s="261"/>
      <c r="CY521" s="255"/>
    </row>
    <row r="522" spans="1:103" ht="10.25" customHeight="1">
      <c r="C522" s="270"/>
      <c r="D522" s="274"/>
      <c r="E522" s="214"/>
      <c r="F522" s="272"/>
      <c r="G522" s="272"/>
      <c r="H522" s="272"/>
      <c r="I522" s="273"/>
      <c r="J522" s="273"/>
      <c r="K522" s="273"/>
      <c r="L522" s="275"/>
      <c r="M522" s="269"/>
      <c r="N522" s="269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CA522" s="256"/>
      <c r="CB522" s="261"/>
      <c r="CC522" s="255"/>
      <c r="CD522" s="261"/>
      <c r="CE522" s="261"/>
      <c r="CF522" s="261"/>
      <c r="CG522" s="261"/>
      <c r="CH522" s="261"/>
      <c r="CI522" s="261"/>
      <c r="CJ522" s="261"/>
      <c r="CK522" s="261"/>
      <c r="CL522" s="255"/>
      <c r="CN522" s="256"/>
      <c r="CO522" s="256"/>
      <c r="CP522" s="261"/>
      <c r="CQ522" s="261"/>
      <c r="CR522" s="255"/>
      <c r="CS522" s="261"/>
      <c r="CT522" s="261"/>
      <c r="CU522" s="261"/>
      <c r="CV522" s="261"/>
      <c r="CW522" s="261"/>
      <c r="CX522" s="261"/>
      <c r="CY522" s="255"/>
    </row>
    <row r="523" spans="1:103" ht="10.25" customHeight="1">
      <c r="A523" s="270"/>
      <c r="D523" s="372"/>
      <c r="E523" s="372"/>
      <c r="F523" s="272"/>
      <c r="G523" s="272"/>
      <c r="H523" s="272"/>
      <c r="I523" s="273"/>
      <c r="J523" s="273"/>
      <c r="K523" s="273"/>
      <c r="L523" s="275"/>
      <c r="M523" s="269"/>
      <c r="N523" s="269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  <c r="AO523" s="63"/>
      <c r="AP523" s="63"/>
      <c r="AQ523" s="63"/>
      <c r="CA523" s="256"/>
      <c r="CB523" s="261"/>
      <c r="CC523" s="255"/>
      <c r="CD523" s="261"/>
      <c r="CE523" s="261"/>
      <c r="CF523" s="261"/>
      <c r="CG523" s="261"/>
      <c r="CH523" s="261"/>
      <c r="CI523" s="255"/>
      <c r="CJ523" s="255"/>
      <c r="CK523" s="261"/>
      <c r="CL523" s="255"/>
      <c r="CN523" s="256"/>
      <c r="CO523" s="256"/>
      <c r="CP523" s="261"/>
      <c r="CQ523" s="261"/>
      <c r="CR523" s="255"/>
      <c r="CS523" s="261"/>
      <c r="CT523" s="261"/>
      <c r="CU523" s="261"/>
      <c r="CV523" s="261"/>
      <c r="CW523" s="255"/>
      <c r="CX523" s="261"/>
      <c r="CY523" s="255"/>
    </row>
    <row r="524" spans="1:103" ht="10.25" customHeight="1">
      <c r="A524" s="270"/>
      <c r="D524" s="372"/>
      <c r="E524" s="372"/>
      <c r="F524" s="272"/>
      <c r="G524" s="272"/>
      <c r="H524" s="272"/>
      <c r="I524" s="273"/>
      <c r="J524" s="273"/>
      <c r="K524" s="273"/>
      <c r="L524" s="275"/>
      <c r="M524" s="269"/>
      <c r="N524" s="269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  <c r="AO524" s="63"/>
      <c r="AP524" s="63"/>
      <c r="AQ524" s="63"/>
      <c r="CA524" s="256"/>
      <c r="CB524" s="261"/>
      <c r="CC524" s="255"/>
      <c r="CD524" s="261"/>
      <c r="CE524" s="261"/>
      <c r="CF524" s="261"/>
      <c r="CG524" s="255"/>
      <c r="CH524" s="255"/>
      <c r="CI524" s="261"/>
      <c r="CJ524" s="261"/>
      <c r="CK524" s="261"/>
      <c r="CL524" s="255"/>
      <c r="CN524" s="256"/>
      <c r="CO524" s="256"/>
      <c r="CP524" s="261"/>
      <c r="CQ524" s="261"/>
      <c r="CR524" s="255"/>
      <c r="CS524" s="261"/>
      <c r="CT524" s="261"/>
      <c r="CU524" s="261"/>
      <c r="CV524" s="255"/>
      <c r="CW524" s="261"/>
      <c r="CX524" s="261"/>
      <c r="CY524" s="255"/>
    </row>
    <row r="525" spans="1:103" ht="10.25" customHeight="1">
      <c r="A525" s="270"/>
      <c r="D525" s="372"/>
      <c r="E525" s="372"/>
      <c r="F525" s="272"/>
      <c r="G525" s="272"/>
      <c r="H525" s="272"/>
      <c r="I525" s="273"/>
      <c r="J525" s="273"/>
      <c r="K525" s="273"/>
      <c r="L525" s="275"/>
      <c r="M525" s="269"/>
      <c r="N525" s="269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  <c r="AN525" s="63"/>
      <c r="AO525" s="63"/>
      <c r="AP525" s="63"/>
      <c r="AQ525" s="63"/>
      <c r="CA525" s="256"/>
      <c r="CB525" s="261"/>
      <c r="CC525" s="255"/>
      <c r="CD525" s="261"/>
      <c r="CE525" s="261"/>
      <c r="CF525" s="261"/>
      <c r="CG525" s="255"/>
      <c r="CH525" s="255"/>
      <c r="CI525" s="261"/>
      <c r="CJ525" s="261"/>
      <c r="CK525" s="261"/>
      <c r="CL525" s="255"/>
      <c r="CN525" s="256"/>
      <c r="CO525" s="256"/>
      <c r="CP525" s="261"/>
      <c r="CQ525" s="261"/>
      <c r="CR525" s="255"/>
      <c r="CS525" s="261"/>
      <c r="CT525" s="261"/>
      <c r="CU525" s="261"/>
      <c r="CV525" s="255"/>
      <c r="CW525" s="261"/>
      <c r="CX525" s="261"/>
      <c r="CY525" s="255"/>
    </row>
    <row r="526" spans="1:103" ht="10.25" customHeight="1">
      <c r="A526" s="270"/>
      <c r="D526" s="372"/>
      <c r="E526" s="372"/>
      <c r="F526" s="272"/>
      <c r="G526" s="272"/>
      <c r="H526" s="272"/>
      <c r="I526" s="375"/>
      <c r="J526" s="375"/>
      <c r="K526" s="375"/>
      <c r="L526" s="375"/>
      <c r="M526" s="269"/>
      <c r="N526" s="269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  <c r="AP526" s="63"/>
      <c r="AQ526" s="63"/>
      <c r="CA526" s="256"/>
      <c r="CB526" s="261"/>
      <c r="CC526" s="255"/>
      <c r="CD526" s="261"/>
      <c r="CE526" s="261"/>
      <c r="CF526" s="261"/>
      <c r="CG526" s="261"/>
      <c r="CH526" s="261"/>
      <c r="CI526" s="261"/>
      <c r="CJ526" s="261"/>
      <c r="CK526" s="261"/>
      <c r="CL526" s="255"/>
      <c r="CN526" s="256"/>
      <c r="CO526" s="256"/>
      <c r="CP526" s="261"/>
      <c r="CQ526" s="261"/>
      <c r="CR526" s="255"/>
      <c r="CS526" s="261"/>
      <c r="CT526" s="261"/>
      <c r="CU526" s="261"/>
      <c r="CV526" s="261"/>
      <c r="CW526" s="261"/>
      <c r="CX526" s="261"/>
      <c r="CY526" s="255"/>
    </row>
    <row r="527" spans="1:103" ht="10.25" customHeight="1">
      <c r="A527" s="270"/>
      <c r="D527" s="372"/>
      <c r="E527" s="372"/>
      <c r="H527" s="209"/>
      <c r="I527" s="213"/>
      <c r="J527" s="213"/>
      <c r="K527" s="213"/>
      <c r="L527" s="213"/>
      <c r="M527" s="213"/>
      <c r="N527" s="213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CA527" s="256"/>
      <c r="CB527" s="261"/>
      <c r="CC527" s="255"/>
      <c r="CD527" s="261"/>
      <c r="CE527" s="261"/>
      <c r="CF527" s="261"/>
      <c r="CG527" s="261"/>
      <c r="CH527" s="261"/>
      <c r="CI527" s="261"/>
      <c r="CJ527" s="261"/>
      <c r="CK527" s="261"/>
      <c r="CL527" s="255"/>
      <c r="CN527" s="256"/>
      <c r="CO527" s="256"/>
      <c r="CP527" s="261"/>
      <c r="CQ527" s="261"/>
      <c r="CR527" s="255"/>
      <c r="CS527" s="261"/>
      <c r="CT527" s="261"/>
      <c r="CU527" s="261"/>
      <c r="CV527" s="261"/>
      <c r="CW527" s="261"/>
      <c r="CX527" s="261"/>
      <c r="CY527" s="255"/>
    </row>
    <row r="528" spans="1:103" ht="10.25" customHeight="1">
      <c r="A528" s="270"/>
      <c r="C528" s="269"/>
      <c r="D528" s="275"/>
      <c r="E528" s="275"/>
      <c r="F528" s="209"/>
      <c r="G528" s="209"/>
      <c r="H528" s="209"/>
      <c r="I528" s="209"/>
      <c r="J528" s="209"/>
      <c r="K528" s="209"/>
      <c r="L528" s="376"/>
      <c r="M528" s="376"/>
      <c r="N528" s="279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  <c r="AF528" s="51"/>
      <c r="AG528" s="51"/>
      <c r="AH528" s="51"/>
      <c r="AI528" s="51"/>
      <c r="AJ528" s="51"/>
      <c r="AK528" s="51"/>
      <c r="AL528" s="51"/>
      <c r="AM528" s="51"/>
      <c r="AN528" s="51"/>
      <c r="AO528" s="51"/>
      <c r="AP528" s="51"/>
      <c r="AQ528" s="51"/>
      <c r="CA528" s="256"/>
      <c r="CB528" s="261"/>
      <c r="CC528" s="255"/>
      <c r="CD528" s="261"/>
      <c r="CE528" s="261"/>
      <c r="CF528" s="261"/>
      <c r="CG528" s="261"/>
      <c r="CH528" s="261"/>
      <c r="CI528" s="261"/>
      <c r="CJ528" s="261"/>
      <c r="CK528" s="261"/>
      <c r="CL528" s="255"/>
      <c r="CN528" s="256"/>
      <c r="CO528" s="256"/>
      <c r="CP528" s="261"/>
      <c r="CQ528" s="261"/>
      <c r="CR528" s="255"/>
      <c r="CS528" s="261"/>
      <c r="CT528" s="261"/>
      <c r="CU528" s="261"/>
      <c r="CV528" s="261"/>
      <c r="CW528" s="261"/>
      <c r="CX528" s="261"/>
      <c r="CY528" s="255"/>
    </row>
    <row r="529" spans="1:103" ht="10.25" customHeight="1">
      <c r="A529" s="270"/>
      <c r="C529" s="269"/>
      <c r="D529" s="269"/>
      <c r="F529" s="209"/>
      <c r="G529" s="209"/>
      <c r="H529" s="276"/>
      <c r="I529" s="276"/>
      <c r="J529" s="276"/>
      <c r="K529" s="276"/>
      <c r="L529" s="374"/>
      <c r="M529" s="374"/>
      <c r="N529" s="213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CA529" s="256"/>
      <c r="CB529" s="261"/>
      <c r="CC529" s="255"/>
      <c r="CD529" s="261"/>
      <c r="CE529" s="261"/>
      <c r="CF529" s="261"/>
      <c r="CG529" s="261"/>
      <c r="CH529" s="261"/>
      <c r="CI529" s="261"/>
      <c r="CJ529" s="261"/>
      <c r="CK529" s="261"/>
      <c r="CL529" s="255"/>
      <c r="CN529" s="256"/>
      <c r="CO529" s="256"/>
      <c r="CP529" s="261"/>
      <c r="CQ529" s="261"/>
      <c r="CR529" s="255"/>
      <c r="CS529" s="261"/>
      <c r="CT529" s="261"/>
      <c r="CU529" s="261"/>
      <c r="CV529" s="261"/>
      <c r="CW529" s="261"/>
      <c r="CX529" s="261"/>
      <c r="CY529" s="255"/>
    </row>
    <row r="530" spans="1:103" ht="10.25" customHeight="1">
      <c r="A530" s="270"/>
      <c r="D530" s="269"/>
      <c r="F530" s="208"/>
      <c r="G530" s="208"/>
      <c r="H530" s="277"/>
      <c r="I530" s="277"/>
      <c r="J530" s="277"/>
      <c r="K530" s="277"/>
      <c r="L530" s="372"/>
      <c r="M530" s="372"/>
      <c r="N530" s="214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CA530" s="256"/>
      <c r="CB530" s="261"/>
      <c r="CC530" s="255"/>
      <c r="CD530" s="261"/>
      <c r="CE530" s="261"/>
      <c r="CF530" s="261"/>
      <c r="CG530" s="261"/>
      <c r="CH530" s="261"/>
      <c r="CI530" s="261"/>
      <c r="CJ530" s="261"/>
      <c r="CK530" s="261"/>
      <c r="CL530" s="255"/>
      <c r="CN530" s="256"/>
      <c r="CO530" s="256"/>
      <c r="CP530" s="261"/>
      <c r="CQ530" s="261"/>
      <c r="CR530" s="255"/>
      <c r="CS530" s="261"/>
      <c r="CT530" s="261"/>
      <c r="CU530" s="261"/>
      <c r="CV530" s="261"/>
      <c r="CW530" s="261"/>
      <c r="CX530" s="261"/>
      <c r="CY530" s="255"/>
    </row>
    <row r="531" spans="1:103" ht="10.25" customHeight="1">
      <c r="CA531" s="256"/>
      <c r="CB531" s="261"/>
      <c r="CC531" s="255"/>
      <c r="CD531" s="261"/>
      <c r="CE531" s="261"/>
      <c r="CF531" s="255"/>
      <c r="CG531" s="261"/>
      <c r="CH531" s="261"/>
      <c r="CI531" s="261"/>
      <c r="CJ531" s="261"/>
      <c r="CK531" s="261"/>
      <c r="CL531" s="255"/>
      <c r="CN531" s="256"/>
      <c r="CO531" s="256"/>
      <c r="CP531" s="261"/>
      <c r="CQ531" s="261"/>
      <c r="CR531" s="255"/>
      <c r="CS531" s="261"/>
      <c r="CT531" s="261"/>
      <c r="CU531" s="255"/>
      <c r="CV531" s="261"/>
      <c r="CW531" s="261"/>
      <c r="CX531" s="261"/>
      <c r="CY531" s="255"/>
    </row>
    <row r="532" spans="1:103" ht="10.25" customHeight="1">
      <c r="C532" s="278"/>
      <c r="CA532" s="256"/>
      <c r="CB532" s="261"/>
      <c r="CC532" s="255"/>
      <c r="CD532" s="261"/>
      <c r="CE532" s="261"/>
      <c r="CF532" s="255"/>
      <c r="CG532" s="261"/>
      <c r="CH532" s="261"/>
      <c r="CI532" s="261"/>
      <c r="CJ532" s="261"/>
      <c r="CK532" s="261"/>
      <c r="CL532" s="255"/>
      <c r="CN532" s="256"/>
      <c r="CO532" s="256"/>
      <c r="CP532" s="261"/>
      <c r="CQ532" s="261"/>
      <c r="CR532" s="255"/>
      <c r="CS532" s="261"/>
      <c r="CT532" s="261"/>
      <c r="CU532" s="255"/>
      <c r="CV532" s="261"/>
      <c r="CW532" s="261"/>
      <c r="CX532" s="261"/>
      <c r="CY532" s="255"/>
    </row>
    <row r="533" spans="1:103" ht="10.25" customHeight="1">
      <c r="C533" s="278"/>
      <c r="F533" s="377"/>
      <c r="G533" s="377"/>
      <c r="H533" s="377"/>
      <c r="I533" s="377"/>
      <c r="J533" s="377"/>
      <c r="K533" s="377"/>
      <c r="L533" s="377"/>
      <c r="M533" s="377"/>
      <c r="N533" s="269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  <c r="AN533" s="63"/>
      <c r="AO533" s="63"/>
      <c r="AP533" s="63"/>
      <c r="AQ533" s="63"/>
      <c r="CA533" s="256"/>
      <c r="CB533" s="261"/>
      <c r="CC533" s="255"/>
      <c r="CD533" s="261"/>
      <c r="CE533" s="261"/>
      <c r="CF533" s="255"/>
      <c r="CG533" s="261"/>
      <c r="CH533" s="261"/>
      <c r="CI533" s="261"/>
      <c r="CJ533" s="261"/>
      <c r="CK533" s="261"/>
      <c r="CL533" s="255"/>
      <c r="CN533" s="256"/>
      <c r="CO533" s="256"/>
      <c r="CP533" s="261"/>
      <c r="CQ533" s="261"/>
      <c r="CR533" s="255"/>
      <c r="CS533" s="261"/>
      <c r="CT533" s="261"/>
      <c r="CU533" s="255"/>
      <c r="CV533" s="261"/>
      <c r="CW533" s="261"/>
      <c r="CX533" s="261"/>
      <c r="CY533" s="255"/>
    </row>
    <row r="534" spans="1:103" ht="10.4" customHeight="1">
      <c r="C534" s="278"/>
      <c r="F534" s="377"/>
      <c r="G534" s="377"/>
      <c r="H534" s="377"/>
      <c r="I534" s="377"/>
      <c r="J534" s="377"/>
      <c r="K534" s="377"/>
      <c r="L534" s="377"/>
      <c r="M534" s="377"/>
      <c r="N534" s="269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S534" s="236"/>
      <c r="BE534" s="63"/>
      <c r="BF534" s="63"/>
      <c r="BG534" s="63"/>
      <c r="BK534" s="317"/>
      <c r="BL534" s="5"/>
      <c r="BM534" s="5"/>
      <c r="BN534" s="5"/>
      <c r="BO534" s="5"/>
      <c r="BP534" s="5"/>
      <c r="BQ534" s="5"/>
      <c r="BR534" s="5"/>
      <c r="BS534" s="5"/>
      <c r="BT534" s="5"/>
      <c r="BV534" s="317"/>
      <c r="CF534" s="5"/>
      <c r="CG534" s="5"/>
      <c r="CH534" s="5"/>
      <c r="CI534" s="5"/>
      <c r="CJ534" s="5"/>
      <c r="CK534" s="5"/>
      <c r="CL534" s="5"/>
    </row>
    <row r="535" spans="1:103" ht="10.25" customHeight="1">
      <c r="A535" s="377"/>
      <c r="B535" s="377"/>
      <c r="C535" s="377"/>
      <c r="D535" s="377"/>
      <c r="E535" s="377"/>
      <c r="F535" s="377"/>
      <c r="G535" s="377"/>
      <c r="H535" s="377"/>
      <c r="I535" s="377"/>
      <c r="J535" s="377"/>
      <c r="K535" s="377"/>
      <c r="L535" s="377"/>
      <c r="M535" s="377"/>
      <c r="N535" s="269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  <c r="AP535" s="63"/>
      <c r="AQ535" s="63"/>
      <c r="BE535" s="63"/>
      <c r="BF535" s="63"/>
      <c r="BG535" s="63"/>
      <c r="BK535" s="317"/>
      <c r="BL535" s="5"/>
      <c r="BM535" s="5"/>
      <c r="BN535" s="5"/>
      <c r="BO535" s="5"/>
      <c r="BP535" s="5"/>
      <c r="BQ535" s="5"/>
      <c r="BR535" s="5"/>
      <c r="BS535" s="5"/>
      <c r="BT535" s="5"/>
      <c r="BV535" s="317"/>
      <c r="CF535" s="5"/>
      <c r="CG535" s="5"/>
      <c r="CH535" s="5"/>
      <c r="CI535" s="5"/>
      <c r="CJ535" s="5"/>
      <c r="CK535" s="5"/>
      <c r="CL535" s="5"/>
    </row>
    <row r="536" spans="1:103" ht="10.25" customHeight="1">
      <c r="A536" s="376"/>
      <c r="B536" s="376"/>
      <c r="C536" s="376"/>
      <c r="D536" s="376"/>
      <c r="E536" s="376"/>
      <c r="F536" s="376"/>
      <c r="G536" s="376"/>
      <c r="H536" s="376"/>
      <c r="I536" s="376"/>
      <c r="J536" s="376"/>
      <c r="K536" s="376"/>
      <c r="L536" s="376"/>
      <c r="M536" s="376"/>
      <c r="N536" s="279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  <c r="AF536" s="51"/>
      <c r="AG536" s="51"/>
      <c r="AH536" s="51"/>
      <c r="AI536" s="51"/>
      <c r="AJ536" s="51"/>
      <c r="AK536" s="51"/>
      <c r="AL536" s="51"/>
      <c r="AM536" s="51"/>
      <c r="AN536" s="51"/>
      <c r="AO536" s="51"/>
      <c r="AP536" s="51"/>
      <c r="AQ536" s="51"/>
      <c r="BE536" s="63"/>
      <c r="BF536" s="63"/>
      <c r="BG536" s="63"/>
      <c r="BK536" s="317"/>
      <c r="BL536" s="5"/>
      <c r="BM536" s="5"/>
      <c r="BN536" s="5"/>
      <c r="BO536" s="5"/>
      <c r="BP536" s="5"/>
      <c r="BQ536" s="5"/>
      <c r="BR536" s="5"/>
      <c r="BS536" s="5"/>
      <c r="BT536" s="5"/>
      <c r="BV536" s="317"/>
      <c r="CF536" s="5"/>
      <c r="CG536" s="5"/>
      <c r="CH536" s="5"/>
      <c r="CI536" s="5"/>
      <c r="CJ536" s="5"/>
      <c r="CK536" s="5"/>
      <c r="CL536" s="5"/>
    </row>
    <row r="537" spans="1:103" ht="10.25" customHeight="1">
      <c r="A537" s="374"/>
      <c r="B537" s="374"/>
      <c r="C537" s="374"/>
      <c r="D537" s="374"/>
      <c r="E537" s="374"/>
      <c r="F537" s="374"/>
      <c r="G537" s="374"/>
      <c r="H537" s="374"/>
      <c r="I537" s="374"/>
      <c r="J537" s="374"/>
      <c r="K537" s="374"/>
      <c r="L537" s="374"/>
      <c r="M537" s="374"/>
      <c r="N537" s="213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BE537" s="63"/>
      <c r="BF537" s="63"/>
      <c r="BG537" s="63"/>
      <c r="BK537" s="317"/>
      <c r="BL537" s="5"/>
      <c r="BM537" s="5"/>
      <c r="BN537" s="5"/>
      <c r="BO537" s="5"/>
      <c r="BP537" s="5"/>
      <c r="BQ537" s="5"/>
      <c r="BR537" s="5"/>
      <c r="BS537" s="5"/>
      <c r="BT537" s="5"/>
      <c r="BV537" s="317"/>
      <c r="CF537" s="5"/>
      <c r="CG537" s="5"/>
      <c r="CH537" s="5"/>
      <c r="CI537" s="5"/>
      <c r="CJ537" s="5"/>
      <c r="CK537" s="5"/>
      <c r="CL537" s="5"/>
    </row>
    <row r="538" spans="1:103" ht="6" customHeight="1">
      <c r="A538" s="208"/>
      <c r="B538" s="209"/>
      <c r="C538" s="209"/>
      <c r="D538" s="209"/>
      <c r="E538" s="209"/>
      <c r="F538" s="280"/>
      <c r="G538" s="280"/>
      <c r="H538" s="280"/>
      <c r="I538" s="280"/>
      <c r="J538" s="280"/>
      <c r="K538" s="280"/>
      <c r="L538" s="280"/>
      <c r="M538" s="280"/>
      <c r="N538" s="280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  <c r="AL538" s="42"/>
      <c r="AM538" s="42"/>
      <c r="AN538" s="42"/>
      <c r="AO538" s="42"/>
      <c r="AP538" s="42"/>
      <c r="AQ538" s="42"/>
      <c r="BK538" s="317"/>
      <c r="BL538" s="5"/>
      <c r="BM538" s="5"/>
      <c r="BN538" s="5"/>
      <c r="BO538" s="5"/>
      <c r="BP538" s="5"/>
      <c r="BQ538" s="5"/>
      <c r="BR538" s="5"/>
      <c r="BS538" s="5"/>
      <c r="BT538" s="5"/>
      <c r="BV538" s="317"/>
      <c r="CF538" s="5"/>
      <c r="CG538" s="5"/>
      <c r="CH538" s="5"/>
      <c r="CI538" s="5"/>
      <c r="CJ538" s="5"/>
      <c r="CK538" s="5"/>
      <c r="CL538" s="5"/>
    </row>
    <row r="539" spans="1:103" ht="10.25" customHeight="1">
      <c r="A539" s="208"/>
      <c r="B539" s="209"/>
      <c r="C539" s="209"/>
      <c r="D539" s="210"/>
      <c r="E539" s="211"/>
      <c r="F539" s="369"/>
      <c r="G539" s="369"/>
      <c r="H539" s="369"/>
      <c r="I539" s="369"/>
      <c r="J539" s="369"/>
      <c r="K539" s="369"/>
      <c r="L539" s="369"/>
      <c r="M539" s="230"/>
      <c r="N539" s="230"/>
      <c r="O539" s="235"/>
      <c r="P539" s="235"/>
      <c r="Q539" s="235"/>
      <c r="R539" s="235"/>
      <c r="S539" s="235"/>
      <c r="T539" s="235"/>
      <c r="U539" s="235"/>
      <c r="V539" s="235"/>
      <c r="W539" s="235"/>
      <c r="X539" s="235"/>
      <c r="Y539" s="235"/>
      <c r="Z539" s="235"/>
      <c r="AA539" s="235"/>
      <c r="AB539" s="235"/>
      <c r="AC539" s="235"/>
      <c r="AD539" s="235"/>
      <c r="AE539" s="235"/>
      <c r="AF539" s="235"/>
      <c r="AG539" s="235"/>
      <c r="AH539" s="235"/>
      <c r="AI539" s="235"/>
      <c r="AJ539" s="235"/>
      <c r="AK539" s="235"/>
      <c r="AL539" s="235"/>
      <c r="AM539" s="235"/>
      <c r="AN539" s="235"/>
      <c r="AO539" s="235"/>
      <c r="AP539" s="235"/>
      <c r="AQ539" s="235"/>
      <c r="BK539" s="317"/>
      <c r="BL539" s="5"/>
      <c r="BM539" s="5"/>
      <c r="BN539" s="5"/>
      <c r="BO539" s="5"/>
      <c r="BP539" s="5"/>
      <c r="BQ539" s="5"/>
      <c r="BR539" s="5"/>
      <c r="BS539" s="5"/>
      <c r="BT539" s="5"/>
      <c r="BV539" s="317"/>
      <c r="CF539" s="5"/>
      <c r="CG539" s="5"/>
      <c r="CH539" s="5"/>
      <c r="CI539" s="5"/>
      <c r="CJ539" s="5"/>
      <c r="CK539" s="5"/>
      <c r="CL539" s="5"/>
    </row>
    <row r="540" spans="1:103" ht="2" customHeight="1">
      <c r="A540" s="209"/>
      <c r="B540" s="209"/>
      <c r="C540" s="212"/>
      <c r="D540" s="213"/>
      <c r="E540" s="209"/>
      <c r="F540" s="209"/>
      <c r="G540" s="209"/>
      <c r="H540" s="209"/>
      <c r="I540" s="209"/>
      <c r="J540" s="209"/>
      <c r="K540" s="209"/>
      <c r="L540" s="209"/>
      <c r="M540" s="209"/>
      <c r="N540" s="209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  <c r="AQ540" s="46"/>
      <c r="BK540" s="317"/>
      <c r="BL540" s="5"/>
      <c r="BM540" s="5"/>
      <c r="BN540" s="5"/>
      <c r="BO540" s="5"/>
      <c r="BP540" s="5"/>
      <c r="BQ540" s="5"/>
      <c r="BR540" s="5"/>
      <c r="BS540" s="5"/>
      <c r="BT540" s="5"/>
      <c r="BV540" s="317"/>
      <c r="CF540" s="5"/>
      <c r="CG540" s="5"/>
      <c r="CH540" s="5"/>
      <c r="CI540" s="5"/>
      <c r="CJ540" s="5"/>
      <c r="CK540" s="5"/>
      <c r="CL540" s="5"/>
    </row>
    <row r="541" spans="1:103" ht="26.4" customHeight="1">
      <c r="A541" s="374"/>
      <c r="B541" s="374"/>
      <c r="C541" s="374"/>
      <c r="D541" s="372"/>
      <c r="E541" s="373"/>
      <c r="F541" s="370"/>
      <c r="G541" s="215"/>
      <c r="H541" s="373"/>
      <c r="I541" s="370"/>
      <c r="J541" s="370"/>
      <c r="K541" s="370"/>
      <c r="L541" s="373"/>
      <c r="M541" s="374"/>
      <c r="N541" s="213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BK541" s="317"/>
      <c r="BL541" s="5"/>
      <c r="BM541" s="5"/>
      <c r="BN541" s="5"/>
      <c r="BO541" s="5"/>
      <c r="BP541" s="5"/>
      <c r="BQ541" s="5"/>
      <c r="BR541" s="5"/>
      <c r="BS541" s="5"/>
      <c r="BT541" s="5"/>
      <c r="BV541" s="317"/>
      <c r="CF541" s="5"/>
      <c r="CG541" s="5"/>
      <c r="CH541" s="5"/>
      <c r="CI541" s="5"/>
      <c r="CJ541" s="5"/>
      <c r="CK541" s="5"/>
      <c r="CL541" s="5"/>
    </row>
    <row r="542" spans="1:103" ht="9.65" customHeight="1">
      <c r="A542" s="374"/>
      <c r="B542" s="374"/>
      <c r="C542" s="374"/>
      <c r="D542" s="372"/>
      <c r="E542" s="373"/>
      <c r="F542" s="370"/>
      <c r="G542" s="215"/>
      <c r="H542" s="373"/>
      <c r="I542" s="233"/>
      <c r="J542" s="233"/>
      <c r="K542" s="233"/>
      <c r="L542" s="373"/>
      <c r="M542" s="374"/>
      <c r="N542" s="213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BK542" s="317"/>
      <c r="BL542" s="5"/>
      <c r="BM542" s="5"/>
      <c r="BN542" s="5"/>
      <c r="BO542" s="5"/>
      <c r="BP542" s="5"/>
      <c r="BQ542" s="5"/>
      <c r="BR542" s="5"/>
      <c r="BS542" s="5"/>
      <c r="BT542" s="5"/>
      <c r="BV542" s="317"/>
      <c r="CF542" s="5"/>
      <c r="CG542" s="5"/>
      <c r="CH542" s="5"/>
      <c r="CI542" s="5"/>
      <c r="CJ542" s="5"/>
      <c r="CK542" s="5"/>
      <c r="CL542" s="5"/>
    </row>
    <row r="543" spans="1:103" ht="10.25" customHeight="1">
      <c r="A543" s="216"/>
      <c r="B543" s="217"/>
      <c r="C543" s="218"/>
      <c r="D543" s="219"/>
      <c r="E543" s="217"/>
      <c r="F543" s="217"/>
      <c r="G543" s="217"/>
      <c r="H543" s="220"/>
      <c r="I543" s="217"/>
      <c r="J543" s="217"/>
      <c r="K543" s="217"/>
      <c r="L543" s="217"/>
      <c r="M543" s="217"/>
      <c r="N543" s="217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BA543" s="5"/>
      <c r="BB543" s="5"/>
      <c r="BC543" s="5"/>
      <c r="BD543" s="5"/>
      <c r="BE543" s="63"/>
      <c r="BF543" s="63"/>
      <c r="BG543" s="63"/>
      <c r="BK543" s="317"/>
      <c r="BL543" s="5"/>
      <c r="BM543" s="5"/>
      <c r="BN543" s="5"/>
      <c r="BO543" s="5"/>
      <c r="BP543" s="5"/>
      <c r="BQ543" s="5"/>
      <c r="BR543" s="5"/>
      <c r="BS543" s="5"/>
      <c r="BT543" s="5"/>
      <c r="BV543" s="317"/>
      <c r="CF543" s="5"/>
      <c r="CG543" s="53"/>
      <c r="CH543" s="53"/>
      <c r="CI543" s="53"/>
      <c r="CJ543" s="53"/>
      <c r="CK543" s="53"/>
      <c r="CL543" s="53"/>
      <c r="CN543" s="53"/>
      <c r="CO543" s="53"/>
      <c r="CP543" s="53"/>
      <c r="CQ543" s="53"/>
      <c r="CR543" s="53"/>
      <c r="CS543" s="53"/>
    </row>
    <row r="544" spans="1:103" ht="10.25" customHeight="1">
      <c r="A544" s="216"/>
      <c r="B544" s="217"/>
      <c r="C544" s="218"/>
      <c r="D544" s="219"/>
      <c r="E544" s="217"/>
      <c r="F544" s="217"/>
      <c r="G544" s="217"/>
      <c r="H544" s="220"/>
      <c r="I544" s="217"/>
      <c r="J544" s="217"/>
      <c r="K544" s="217"/>
      <c r="L544" s="217"/>
      <c r="M544" s="217"/>
      <c r="N544" s="217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BA544" s="5"/>
      <c r="BB544" s="5"/>
      <c r="BC544" s="5"/>
      <c r="BD544" s="5"/>
      <c r="BE544" s="63"/>
      <c r="BF544" s="63"/>
      <c r="BG544" s="63"/>
      <c r="BK544" s="317"/>
      <c r="BL544" s="5"/>
      <c r="BM544" s="5"/>
      <c r="BN544" s="5"/>
      <c r="BO544" s="5"/>
      <c r="BP544" s="5"/>
      <c r="BQ544" s="5"/>
      <c r="BR544" s="5"/>
      <c r="BS544" s="5"/>
      <c r="BT544" s="5"/>
      <c r="BV544" s="317"/>
      <c r="CF544" s="5"/>
      <c r="CG544" s="53"/>
      <c r="CH544" s="53"/>
      <c r="CI544" s="53"/>
      <c r="CJ544" s="53"/>
      <c r="CK544" s="53"/>
      <c r="CL544" s="53"/>
      <c r="CN544" s="53"/>
      <c r="CO544" s="53"/>
      <c r="CP544" s="53"/>
      <c r="CQ544" s="53"/>
      <c r="CR544" s="53"/>
      <c r="CS544" s="53"/>
    </row>
    <row r="545" spans="1:103" ht="10.25" customHeight="1">
      <c r="A545" s="216"/>
      <c r="B545" s="217"/>
      <c r="C545" s="218"/>
      <c r="D545" s="219"/>
      <c r="E545" s="217"/>
      <c r="F545" s="217"/>
      <c r="G545" s="217"/>
      <c r="H545" s="220"/>
      <c r="I545" s="217"/>
      <c r="J545" s="217"/>
      <c r="K545" s="217"/>
      <c r="L545" s="217"/>
      <c r="M545" s="217"/>
      <c r="N545" s="217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BA545" s="5"/>
      <c r="BB545" s="5"/>
      <c r="BC545" s="5"/>
      <c r="BD545" s="5"/>
      <c r="BE545" s="63"/>
      <c r="BF545" s="63"/>
      <c r="BG545" s="63"/>
      <c r="BK545" s="317"/>
      <c r="BL545" s="5"/>
      <c r="BM545" s="5"/>
      <c r="BN545" s="5"/>
      <c r="BO545" s="5"/>
      <c r="BP545" s="5"/>
      <c r="BQ545" s="5"/>
      <c r="BR545" s="5"/>
      <c r="BS545" s="5"/>
      <c r="BT545" s="5"/>
      <c r="BV545" s="317"/>
      <c r="CF545" s="5"/>
      <c r="CG545" s="53"/>
      <c r="CH545" s="53"/>
      <c r="CI545" s="53"/>
      <c r="CJ545" s="53"/>
      <c r="CK545" s="53"/>
      <c r="CL545" s="53"/>
      <c r="CN545" s="53"/>
      <c r="CO545" s="53"/>
      <c r="CP545" s="53"/>
      <c r="CQ545" s="53"/>
      <c r="CR545" s="53"/>
      <c r="CS545" s="53"/>
    </row>
    <row r="546" spans="1:103" ht="10.25" customHeight="1">
      <c r="A546" s="216"/>
      <c r="B546" s="217"/>
      <c r="C546" s="218"/>
      <c r="D546" s="219"/>
      <c r="E546" s="217"/>
      <c r="F546" s="217"/>
      <c r="G546" s="217"/>
      <c r="H546" s="220"/>
      <c r="I546" s="217"/>
      <c r="J546" s="217"/>
      <c r="K546" s="217"/>
      <c r="L546" s="217"/>
      <c r="M546" s="217"/>
      <c r="N546" s="217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BA546" s="5"/>
      <c r="BB546" s="5"/>
      <c r="BC546" s="5"/>
      <c r="BD546" s="5"/>
      <c r="BE546" s="63"/>
      <c r="BF546" s="63"/>
      <c r="BG546" s="63"/>
      <c r="BK546" s="317"/>
      <c r="BL546" s="5"/>
      <c r="BM546" s="5"/>
      <c r="BN546" s="5"/>
      <c r="BO546" s="5"/>
      <c r="BP546" s="5"/>
      <c r="BQ546" s="5"/>
      <c r="BR546" s="5"/>
      <c r="BS546" s="5"/>
      <c r="BT546" s="5"/>
      <c r="BV546" s="317"/>
      <c r="CF546" s="5"/>
      <c r="CG546" s="53"/>
      <c r="CH546" s="53"/>
      <c r="CI546" s="53"/>
      <c r="CJ546" s="53"/>
      <c r="CK546" s="53"/>
      <c r="CL546" s="53"/>
      <c r="CN546" s="53"/>
      <c r="CO546" s="53"/>
      <c r="CP546" s="53"/>
      <c r="CQ546" s="53"/>
      <c r="CR546" s="53"/>
      <c r="CS546" s="53"/>
    </row>
    <row r="547" spans="1:103" ht="10.25" customHeight="1">
      <c r="A547" s="216"/>
      <c r="B547" s="217"/>
      <c r="C547" s="218"/>
      <c r="D547" s="219"/>
      <c r="E547" s="217"/>
      <c r="F547" s="217"/>
      <c r="G547" s="217"/>
      <c r="H547" s="220"/>
      <c r="I547" s="217"/>
      <c r="J547" s="217"/>
      <c r="K547" s="217"/>
      <c r="L547" s="217"/>
      <c r="M547" s="217"/>
      <c r="N547" s="217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BA547" s="5"/>
      <c r="BB547" s="5"/>
      <c r="BC547" s="5"/>
      <c r="BD547" s="5"/>
      <c r="BE547" s="63"/>
      <c r="BF547" s="63"/>
      <c r="BG547" s="63"/>
      <c r="BK547" s="317"/>
      <c r="BL547" s="5"/>
      <c r="BM547" s="5"/>
      <c r="BN547" s="5"/>
      <c r="BO547" s="5"/>
      <c r="BP547" s="5"/>
      <c r="BQ547" s="5"/>
      <c r="BR547" s="5"/>
      <c r="BS547" s="5"/>
      <c r="BT547" s="5"/>
      <c r="BV547" s="317"/>
      <c r="CF547" s="5"/>
      <c r="CG547" s="53"/>
      <c r="CH547" s="53"/>
      <c r="CI547" s="53"/>
      <c r="CJ547" s="53"/>
      <c r="CK547" s="53"/>
      <c r="CL547" s="53"/>
      <c r="CN547" s="53"/>
      <c r="CO547" s="53"/>
      <c r="CP547" s="53"/>
      <c r="CQ547" s="53"/>
      <c r="CR547" s="53"/>
      <c r="CS547" s="53"/>
    </row>
    <row r="548" spans="1:103" ht="10.25" customHeight="1">
      <c r="A548" s="216"/>
      <c r="B548" s="217"/>
      <c r="C548" s="218"/>
      <c r="D548" s="219"/>
      <c r="E548" s="217"/>
      <c r="F548" s="217"/>
      <c r="G548" s="217"/>
      <c r="H548" s="220"/>
      <c r="I548" s="217"/>
      <c r="J548" s="217"/>
      <c r="K548" s="217"/>
      <c r="L548" s="217"/>
      <c r="M548" s="217"/>
      <c r="N548" s="217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BA548" s="5"/>
      <c r="BB548" s="5"/>
      <c r="BC548" s="5"/>
      <c r="BD548" s="5"/>
      <c r="BE548" s="63"/>
      <c r="BF548" s="63"/>
      <c r="BG548" s="63"/>
      <c r="BK548" s="317"/>
      <c r="BL548" s="5"/>
      <c r="BM548" s="5"/>
      <c r="BN548" s="5"/>
      <c r="BO548" s="5"/>
      <c r="BP548" s="5"/>
      <c r="BQ548" s="5"/>
      <c r="BR548" s="5"/>
      <c r="BS548" s="5"/>
      <c r="BT548" s="5"/>
      <c r="BV548" s="317"/>
      <c r="CF548" s="5"/>
      <c r="CG548" s="53"/>
      <c r="CH548" s="53"/>
      <c r="CI548" s="53"/>
      <c r="CJ548" s="53"/>
      <c r="CK548" s="53"/>
      <c r="CL548" s="53"/>
      <c r="CN548" s="53"/>
      <c r="CO548" s="53"/>
      <c r="CP548" s="53"/>
      <c r="CQ548" s="53"/>
      <c r="CR548" s="53"/>
      <c r="CS548" s="53"/>
    </row>
    <row r="549" spans="1:103" ht="10.25" customHeight="1">
      <c r="A549" s="216"/>
      <c r="B549" s="217"/>
      <c r="C549" s="218"/>
      <c r="D549" s="219"/>
      <c r="E549" s="217"/>
      <c r="F549" s="217"/>
      <c r="G549" s="217"/>
      <c r="H549" s="220"/>
      <c r="I549" s="217"/>
      <c r="J549" s="217"/>
      <c r="K549" s="217"/>
      <c r="L549" s="217"/>
      <c r="M549" s="217"/>
      <c r="N549" s="217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BA549" s="5"/>
      <c r="BB549" s="5"/>
      <c r="BC549" s="5"/>
      <c r="BD549" s="5"/>
      <c r="BE549" s="63"/>
      <c r="BF549" s="63"/>
      <c r="BG549" s="63"/>
      <c r="BK549" s="317"/>
      <c r="BL549" s="5"/>
      <c r="BM549" s="5"/>
      <c r="BN549" s="5"/>
      <c r="BO549" s="5"/>
      <c r="BP549" s="5"/>
      <c r="BQ549" s="5"/>
      <c r="BR549" s="5"/>
      <c r="BS549" s="5"/>
      <c r="BT549" s="5"/>
      <c r="BV549" s="317"/>
      <c r="CF549" s="5"/>
      <c r="CG549" s="53"/>
      <c r="CH549" s="53"/>
      <c r="CI549" s="53"/>
      <c r="CJ549" s="53"/>
      <c r="CK549" s="53"/>
      <c r="CL549" s="53"/>
      <c r="CN549" s="53"/>
      <c r="CO549" s="53"/>
      <c r="CP549" s="53"/>
      <c r="CQ549" s="53"/>
      <c r="CR549" s="53"/>
      <c r="CS549" s="53"/>
    </row>
    <row r="550" spans="1:103" ht="10.25" customHeight="1">
      <c r="A550" s="216"/>
      <c r="B550" s="217"/>
      <c r="C550" s="218"/>
      <c r="D550" s="219"/>
      <c r="E550" s="217"/>
      <c r="F550" s="217"/>
      <c r="G550" s="217"/>
      <c r="H550" s="220"/>
      <c r="I550" s="217"/>
      <c r="J550" s="217"/>
      <c r="K550" s="217"/>
      <c r="L550" s="217"/>
      <c r="M550" s="217"/>
      <c r="N550" s="217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W550" s="63"/>
      <c r="AX550" s="63"/>
      <c r="AY550" s="63"/>
      <c r="AZ550" s="63"/>
      <c r="BA550" s="5"/>
      <c r="BB550" s="5"/>
      <c r="BC550" s="5"/>
      <c r="BD550" s="5"/>
      <c r="BE550" s="63"/>
      <c r="BF550" s="63"/>
      <c r="BG550" s="63"/>
      <c r="BV550" s="317"/>
      <c r="CF550" s="5"/>
      <c r="CG550" s="53"/>
      <c r="CH550" s="53"/>
      <c r="CI550" s="53"/>
      <c r="CJ550" s="53"/>
      <c r="CK550" s="53"/>
      <c r="CL550" s="53"/>
      <c r="CN550" s="53"/>
      <c r="CO550" s="53"/>
      <c r="CP550" s="53"/>
      <c r="CQ550" s="53"/>
      <c r="CR550" s="53"/>
      <c r="CS550" s="53"/>
    </row>
    <row r="551" spans="1:103" ht="10.25" customHeight="1">
      <c r="A551" s="216"/>
      <c r="B551" s="217"/>
      <c r="C551" s="218"/>
      <c r="D551" s="219"/>
      <c r="E551" s="217"/>
      <c r="F551" s="217"/>
      <c r="G551" s="217"/>
      <c r="H551" s="220"/>
      <c r="I551" s="217"/>
      <c r="J551" s="217"/>
      <c r="K551" s="217"/>
      <c r="L551" s="217"/>
      <c r="M551" s="217"/>
      <c r="N551" s="217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W551" s="63"/>
      <c r="AX551" s="63"/>
      <c r="AY551" s="63"/>
      <c r="AZ551" s="63"/>
      <c r="BA551" s="5"/>
      <c r="BB551" s="5"/>
      <c r="BC551" s="5"/>
      <c r="BD551" s="5"/>
      <c r="BE551" s="63"/>
      <c r="BF551" s="63"/>
      <c r="BG551" s="63"/>
      <c r="BV551" s="317"/>
      <c r="CF551" s="5"/>
      <c r="CG551" s="53"/>
      <c r="CH551" s="53"/>
      <c r="CI551" s="53"/>
      <c r="CJ551" s="53"/>
      <c r="CK551" s="53"/>
      <c r="CL551" s="53"/>
      <c r="CN551" s="53"/>
      <c r="CO551" s="53"/>
      <c r="CP551" s="53"/>
      <c r="CQ551" s="53"/>
      <c r="CR551" s="53"/>
      <c r="CS551" s="53"/>
    </row>
    <row r="552" spans="1:103" ht="10.25" customHeight="1">
      <c r="A552" s="216"/>
      <c r="B552" s="217"/>
      <c r="C552" s="218"/>
      <c r="D552" s="219"/>
      <c r="E552" s="217"/>
      <c r="F552" s="217"/>
      <c r="G552" s="217"/>
      <c r="H552" s="220"/>
      <c r="I552" s="217"/>
      <c r="J552" s="217"/>
      <c r="K552" s="217"/>
      <c r="L552" s="217"/>
      <c r="M552" s="217"/>
      <c r="N552" s="217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  <c r="AQ552" s="44"/>
      <c r="AW552" s="63"/>
      <c r="AX552" s="63"/>
      <c r="AY552" s="63"/>
      <c r="AZ552" s="63"/>
      <c r="BA552" s="5"/>
      <c r="BB552" s="5"/>
      <c r="BC552" s="5"/>
      <c r="BD552" s="5"/>
      <c r="BE552" s="63"/>
      <c r="BF552" s="63"/>
      <c r="BG552" s="63"/>
      <c r="BV552" s="317"/>
      <c r="CF552" s="5"/>
      <c r="CG552" s="53"/>
      <c r="CH552" s="53"/>
      <c r="CI552" s="53"/>
      <c r="CJ552" s="53"/>
      <c r="CK552" s="53"/>
      <c r="CL552" s="53"/>
      <c r="CN552" s="53"/>
      <c r="CO552" s="53"/>
      <c r="CP552" s="53"/>
      <c r="CQ552" s="53"/>
      <c r="CR552" s="53"/>
      <c r="CS552" s="53"/>
      <c r="CT552" s="5"/>
      <c r="CU552" s="5"/>
      <c r="CV552" s="5"/>
      <c r="CW552" s="5"/>
      <c r="CX552" s="5"/>
      <c r="CY552" s="5"/>
    </row>
    <row r="553" spans="1:103" ht="10.25" customHeight="1">
      <c r="A553" s="216"/>
      <c r="B553" s="217"/>
      <c r="C553" s="218"/>
      <c r="D553" s="219"/>
      <c r="E553" s="217"/>
      <c r="F553" s="217"/>
      <c r="G553" s="217"/>
      <c r="H553" s="220"/>
      <c r="I553" s="217"/>
      <c r="J553" s="217"/>
      <c r="K553" s="217"/>
      <c r="L553" s="217"/>
      <c r="M553" s="217"/>
      <c r="N553" s="217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4"/>
      <c r="AQ553" s="44"/>
      <c r="AW553" s="63"/>
      <c r="AX553" s="63"/>
      <c r="AY553" s="63"/>
      <c r="AZ553" s="63"/>
      <c r="BA553" s="5"/>
      <c r="BB553" s="5"/>
      <c r="BC553" s="5"/>
      <c r="BD553" s="5"/>
      <c r="BE553" s="63"/>
      <c r="BF553" s="63"/>
      <c r="BG553" s="63"/>
      <c r="BV553" s="317"/>
      <c r="CF553" s="5"/>
      <c r="CG553" s="53"/>
      <c r="CH553" s="53"/>
      <c r="CI553" s="53"/>
      <c r="CJ553" s="53"/>
      <c r="CK553" s="53"/>
      <c r="CL553" s="53"/>
      <c r="CN553" s="53"/>
      <c r="CO553" s="53"/>
      <c r="CP553" s="53"/>
      <c r="CQ553" s="53"/>
      <c r="CR553" s="53"/>
      <c r="CS553" s="53"/>
      <c r="CT553" s="5"/>
      <c r="CU553" s="5"/>
      <c r="CV553" s="5"/>
      <c r="CW553" s="5"/>
      <c r="CX553" s="5"/>
      <c r="CY553" s="5"/>
    </row>
    <row r="554" spans="1:103" ht="10.25" customHeight="1">
      <c r="A554" s="216"/>
      <c r="B554" s="217"/>
      <c r="C554" s="218"/>
      <c r="D554" s="219"/>
      <c r="E554" s="217"/>
      <c r="F554" s="217"/>
      <c r="G554" s="217"/>
      <c r="H554" s="220"/>
      <c r="I554" s="217"/>
      <c r="J554" s="217"/>
      <c r="K554" s="217"/>
      <c r="L554" s="217"/>
      <c r="M554" s="217"/>
      <c r="N554" s="217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  <c r="AP554" s="44"/>
      <c r="AQ554" s="44"/>
      <c r="AW554" s="63"/>
      <c r="AX554" s="63"/>
      <c r="AY554" s="63"/>
      <c r="AZ554" s="63"/>
      <c r="BA554" s="5"/>
      <c r="BB554" s="5"/>
      <c r="BC554" s="5"/>
      <c r="BD554" s="5"/>
      <c r="BE554" s="63"/>
      <c r="BF554" s="63"/>
      <c r="BG554" s="63"/>
      <c r="BV554" s="317"/>
      <c r="CF554" s="5"/>
      <c r="CG554" s="53"/>
      <c r="CH554" s="53"/>
      <c r="CI554" s="53"/>
      <c r="CJ554" s="53"/>
      <c r="CK554" s="53"/>
      <c r="CL554" s="53"/>
      <c r="CN554" s="53"/>
      <c r="CO554" s="53"/>
      <c r="CP554" s="53"/>
      <c r="CQ554" s="53"/>
      <c r="CR554" s="53"/>
      <c r="CS554" s="53"/>
      <c r="CT554" s="5"/>
      <c r="CU554" s="5"/>
      <c r="CV554" s="5"/>
      <c r="CW554" s="5"/>
      <c r="CX554" s="5"/>
      <c r="CY554" s="5"/>
    </row>
    <row r="555" spans="1:103" ht="10.25" customHeight="1">
      <c r="A555" s="216"/>
      <c r="B555" s="217"/>
      <c r="C555" s="218"/>
      <c r="D555" s="219"/>
      <c r="E555" s="217"/>
      <c r="F555" s="217"/>
      <c r="G555" s="217"/>
      <c r="H555" s="220"/>
      <c r="I555" s="217"/>
      <c r="J555" s="217"/>
      <c r="K555" s="217"/>
      <c r="L555" s="217"/>
      <c r="M555" s="217"/>
      <c r="N555" s="217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  <c r="AQ555" s="44"/>
      <c r="BA555" s="5"/>
      <c r="BB555" s="5"/>
      <c r="BC555" s="5"/>
      <c r="BD555" s="5"/>
      <c r="BE555" s="63"/>
      <c r="BF555" s="63"/>
      <c r="BG555" s="63"/>
      <c r="BV555" s="317"/>
      <c r="CF555" s="5"/>
      <c r="CG555" s="53"/>
      <c r="CH555" s="53"/>
      <c r="CI555" s="53"/>
      <c r="CJ555" s="53"/>
      <c r="CK555" s="53"/>
      <c r="CL555" s="53"/>
      <c r="CN555" s="53"/>
      <c r="CO555" s="53"/>
      <c r="CP555" s="53"/>
      <c r="CQ555" s="53"/>
      <c r="CR555" s="53"/>
      <c r="CS555" s="53"/>
      <c r="CT555" s="5"/>
      <c r="CU555" s="5"/>
      <c r="CV555" s="5"/>
      <c r="CW555" s="5"/>
      <c r="CX555" s="5"/>
      <c r="CY555" s="5"/>
    </row>
    <row r="556" spans="1:103" ht="10.25" customHeight="1">
      <c r="A556" s="216"/>
      <c r="B556" s="217"/>
      <c r="C556" s="218"/>
      <c r="D556" s="219"/>
      <c r="E556" s="217"/>
      <c r="F556" s="217"/>
      <c r="G556" s="217"/>
      <c r="H556" s="220"/>
      <c r="I556" s="217"/>
      <c r="J556" s="217"/>
      <c r="K556" s="217"/>
      <c r="L556" s="217"/>
      <c r="M556" s="217"/>
      <c r="N556" s="217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  <c r="AP556" s="44"/>
      <c r="AQ556" s="44"/>
      <c r="BA556" s="5"/>
      <c r="BB556" s="5"/>
      <c r="BC556" s="5"/>
      <c r="BD556" s="5"/>
      <c r="BE556" s="63"/>
      <c r="BF556" s="63"/>
      <c r="BG556" s="63"/>
      <c r="BV556" s="317"/>
      <c r="CF556" s="5"/>
      <c r="CG556" s="53"/>
      <c r="CH556" s="53"/>
      <c r="CI556" s="53"/>
      <c r="CJ556" s="53"/>
      <c r="CK556" s="53"/>
      <c r="CL556" s="53"/>
      <c r="CN556" s="53"/>
      <c r="CO556" s="53"/>
      <c r="CP556" s="53"/>
      <c r="CQ556" s="53"/>
      <c r="CR556" s="53"/>
      <c r="CS556" s="53"/>
      <c r="CT556" s="5"/>
      <c r="CU556" s="5"/>
      <c r="CV556" s="5"/>
      <c r="CW556" s="5"/>
      <c r="CX556" s="5"/>
      <c r="CY556" s="5"/>
    </row>
    <row r="557" spans="1:103" ht="10.25" customHeight="1">
      <c r="A557" s="216"/>
      <c r="B557" s="217"/>
      <c r="C557" s="218"/>
      <c r="D557" s="219"/>
      <c r="E557" s="217"/>
      <c r="F557" s="217"/>
      <c r="G557" s="217"/>
      <c r="H557" s="220"/>
      <c r="I557" s="217"/>
      <c r="J557" s="217"/>
      <c r="K557" s="217"/>
      <c r="L557" s="217"/>
      <c r="M557" s="217"/>
      <c r="N557" s="217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  <c r="AP557" s="44"/>
      <c r="AQ557" s="44"/>
      <c r="BA557" s="5"/>
      <c r="BB557" s="5"/>
      <c r="BC557" s="5"/>
      <c r="BD557" s="5"/>
      <c r="BE557" s="63"/>
      <c r="BF557" s="63"/>
      <c r="BG557" s="63"/>
      <c r="CA557" s="317"/>
      <c r="CF557" s="5"/>
      <c r="CG557" s="53"/>
      <c r="CH557" s="53"/>
      <c r="CI557" s="53"/>
      <c r="CJ557" s="53"/>
      <c r="CK557" s="53"/>
      <c r="CL557" s="53"/>
      <c r="CN557" s="53"/>
      <c r="CO557" s="53"/>
      <c r="CP557" s="53"/>
      <c r="CQ557" s="53"/>
      <c r="CR557" s="53"/>
      <c r="CS557" s="53"/>
      <c r="CT557" s="5"/>
      <c r="CU557" s="5"/>
      <c r="CV557" s="5"/>
      <c r="CW557" s="5"/>
      <c r="CX557" s="5"/>
      <c r="CY557" s="5"/>
    </row>
    <row r="558" spans="1:103" ht="10.25" customHeight="1">
      <c r="A558" s="216"/>
      <c r="B558" s="217"/>
      <c r="C558" s="218"/>
      <c r="D558" s="219"/>
      <c r="E558" s="217"/>
      <c r="F558" s="217"/>
      <c r="G558" s="217"/>
      <c r="H558" s="220"/>
      <c r="I558" s="217"/>
      <c r="J558" s="217"/>
      <c r="K558" s="217"/>
      <c r="L558" s="217"/>
      <c r="M558" s="217"/>
      <c r="N558" s="217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  <c r="AP558" s="44"/>
      <c r="AQ558" s="44"/>
      <c r="BA558" s="5"/>
      <c r="BB558" s="5"/>
      <c r="BC558" s="5"/>
      <c r="BD558" s="5"/>
      <c r="BE558" s="63"/>
      <c r="BF558" s="63"/>
      <c r="BG558" s="63"/>
      <c r="CA558" s="317"/>
      <c r="CF558" s="5"/>
      <c r="CG558" s="53"/>
      <c r="CH558" s="53"/>
      <c r="CI558" s="53"/>
      <c r="CJ558" s="53"/>
      <c r="CK558" s="53"/>
      <c r="CL558" s="53"/>
      <c r="CN558" s="53"/>
      <c r="CO558" s="53"/>
      <c r="CP558" s="53"/>
      <c r="CQ558" s="53"/>
      <c r="CR558" s="53"/>
      <c r="CS558" s="53"/>
      <c r="CT558" s="5"/>
      <c r="CU558" s="5"/>
      <c r="CV558" s="5"/>
      <c r="CW558" s="5"/>
      <c r="CX558" s="5"/>
      <c r="CY558" s="5"/>
    </row>
    <row r="559" spans="1:103" ht="10.25" customHeight="1">
      <c r="A559" s="216"/>
      <c r="B559" s="217"/>
      <c r="C559" s="218"/>
      <c r="D559" s="219"/>
      <c r="E559" s="217"/>
      <c r="F559" s="217"/>
      <c r="G559" s="217"/>
      <c r="H559" s="220"/>
      <c r="I559" s="217"/>
      <c r="J559" s="217"/>
      <c r="K559" s="217"/>
      <c r="L559" s="217"/>
      <c r="M559" s="217"/>
      <c r="N559" s="217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  <c r="AP559" s="44"/>
      <c r="AQ559" s="44"/>
      <c r="BA559" s="5"/>
      <c r="BB559" s="5"/>
      <c r="BC559" s="5"/>
      <c r="BD559" s="5"/>
      <c r="BE559" s="63"/>
      <c r="BF559" s="63"/>
      <c r="BG559" s="63"/>
      <c r="CA559" s="317"/>
      <c r="CF559" s="5"/>
      <c r="CG559" s="53"/>
      <c r="CH559" s="53"/>
      <c r="CI559" s="53"/>
      <c r="CJ559" s="53"/>
      <c r="CK559" s="53"/>
      <c r="CL559" s="53"/>
      <c r="CN559" s="53"/>
      <c r="CO559" s="53"/>
      <c r="CP559" s="53"/>
      <c r="CQ559" s="53"/>
      <c r="CR559" s="53"/>
      <c r="CS559" s="53"/>
      <c r="CT559" s="5"/>
      <c r="CU559" s="5"/>
      <c r="CV559" s="5"/>
      <c r="CW559" s="5"/>
      <c r="CX559" s="5"/>
      <c r="CY559" s="5"/>
    </row>
    <row r="560" spans="1:103" ht="10.25" customHeight="1">
      <c r="A560" s="216"/>
      <c r="B560" s="217"/>
      <c r="C560" s="218"/>
      <c r="D560" s="219"/>
      <c r="E560" s="217"/>
      <c r="F560" s="217"/>
      <c r="G560" s="217"/>
      <c r="H560" s="220"/>
      <c r="I560" s="217"/>
      <c r="J560" s="217"/>
      <c r="K560" s="217"/>
      <c r="L560" s="217"/>
      <c r="M560" s="217"/>
      <c r="N560" s="217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  <c r="AP560" s="44"/>
      <c r="AQ560" s="44"/>
      <c r="BA560" s="5"/>
      <c r="BB560" s="5"/>
      <c r="BC560" s="5"/>
      <c r="BD560" s="5"/>
      <c r="BE560" s="63"/>
      <c r="BF560" s="63"/>
      <c r="BG560" s="63"/>
      <c r="CA560" s="317"/>
      <c r="CF560" s="5"/>
      <c r="CG560" s="53"/>
      <c r="CH560" s="53"/>
      <c r="CI560" s="53"/>
      <c r="CJ560" s="53"/>
      <c r="CK560" s="53"/>
      <c r="CL560" s="53"/>
      <c r="CN560" s="53"/>
      <c r="CO560" s="53"/>
      <c r="CP560" s="53"/>
      <c r="CQ560" s="53"/>
      <c r="CR560" s="53"/>
      <c r="CS560" s="53"/>
      <c r="CT560" s="5"/>
      <c r="CU560" s="5"/>
      <c r="CV560" s="5"/>
      <c r="CW560" s="5"/>
      <c r="CX560" s="5"/>
      <c r="CY560" s="5"/>
    </row>
    <row r="561" spans="1:103" ht="10.25" customHeight="1">
      <c r="A561" s="216"/>
      <c r="B561" s="217"/>
      <c r="C561" s="218"/>
      <c r="D561" s="219"/>
      <c r="E561" s="217"/>
      <c r="F561" s="217"/>
      <c r="G561" s="217"/>
      <c r="H561" s="220"/>
      <c r="I561" s="217"/>
      <c r="J561" s="217"/>
      <c r="K561" s="217"/>
      <c r="L561" s="217"/>
      <c r="M561" s="217"/>
      <c r="N561" s="217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  <c r="AQ561" s="44"/>
      <c r="BA561" s="5"/>
      <c r="BB561" s="5"/>
      <c r="BC561" s="5"/>
      <c r="BD561" s="5"/>
      <c r="BE561" s="63"/>
      <c r="BF561" s="63"/>
      <c r="BG561" s="63"/>
      <c r="CA561" s="317"/>
      <c r="CF561" s="5"/>
      <c r="CG561" s="53"/>
      <c r="CH561" s="53"/>
      <c r="CI561" s="53"/>
      <c r="CJ561" s="53"/>
      <c r="CK561" s="53"/>
      <c r="CL561" s="53"/>
      <c r="CN561" s="53"/>
      <c r="CO561" s="53"/>
      <c r="CP561" s="53"/>
      <c r="CQ561" s="53"/>
      <c r="CR561" s="53"/>
      <c r="CS561" s="53"/>
      <c r="CT561" s="5"/>
      <c r="CU561" s="5"/>
      <c r="CV561" s="5"/>
      <c r="CW561" s="5"/>
      <c r="CX561" s="5"/>
      <c r="CY561" s="5"/>
    </row>
    <row r="562" spans="1:103" ht="10.25" customHeight="1">
      <c r="A562" s="216"/>
      <c r="B562" s="217"/>
      <c r="C562" s="218"/>
      <c r="D562" s="219"/>
      <c r="E562" s="217"/>
      <c r="F562" s="217"/>
      <c r="G562" s="217"/>
      <c r="H562" s="220"/>
      <c r="I562" s="217"/>
      <c r="J562" s="217"/>
      <c r="K562" s="217"/>
      <c r="L562" s="217"/>
      <c r="M562" s="217"/>
      <c r="N562" s="217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  <c r="AP562" s="44"/>
      <c r="AQ562" s="44"/>
      <c r="BA562" s="5"/>
      <c r="BB562" s="5"/>
      <c r="BC562" s="5"/>
      <c r="BD562" s="5"/>
      <c r="BE562" s="63"/>
      <c r="BF562" s="63"/>
      <c r="BG562" s="63"/>
      <c r="CA562" s="317"/>
      <c r="CF562" s="5"/>
      <c r="CG562" s="53"/>
      <c r="CH562" s="53"/>
      <c r="CI562" s="53"/>
      <c r="CJ562" s="53"/>
      <c r="CK562" s="53"/>
      <c r="CL562" s="53"/>
      <c r="CN562" s="53"/>
      <c r="CO562" s="53"/>
      <c r="CP562" s="53"/>
      <c r="CQ562" s="53"/>
      <c r="CR562" s="53"/>
      <c r="CS562" s="53"/>
      <c r="CT562" s="5"/>
      <c r="CU562" s="5"/>
      <c r="CV562" s="5"/>
      <c r="CW562" s="5"/>
      <c r="CX562" s="5"/>
      <c r="CY562" s="5"/>
    </row>
    <row r="563" spans="1:103" ht="10.25" customHeight="1">
      <c r="A563" s="216"/>
      <c r="B563" s="217"/>
      <c r="C563" s="218"/>
      <c r="D563" s="219"/>
      <c r="E563" s="217"/>
      <c r="F563" s="217"/>
      <c r="G563" s="217"/>
      <c r="H563" s="220"/>
      <c r="I563" s="217"/>
      <c r="J563" s="217"/>
      <c r="K563" s="217"/>
      <c r="L563" s="217"/>
      <c r="M563" s="217"/>
      <c r="N563" s="217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4"/>
      <c r="AQ563" s="44"/>
      <c r="BA563" s="5"/>
      <c r="BB563" s="5"/>
      <c r="BC563" s="5"/>
      <c r="BD563" s="5"/>
      <c r="BE563" s="63"/>
      <c r="BF563" s="63"/>
      <c r="BG563" s="63"/>
      <c r="CA563" s="317"/>
      <c r="CF563" s="5"/>
      <c r="CG563" s="53"/>
      <c r="CH563" s="53"/>
      <c r="CI563" s="53"/>
      <c r="CJ563" s="53"/>
      <c r="CK563" s="53"/>
      <c r="CL563" s="53"/>
      <c r="CN563" s="53"/>
      <c r="CO563" s="53"/>
      <c r="CP563" s="53"/>
      <c r="CQ563" s="53"/>
      <c r="CR563" s="53"/>
      <c r="CS563" s="53"/>
      <c r="CT563" s="5"/>
      <c r="CU563" s="5"/>
      <c r="CV563" s="5"/>
      <c r="CW563" s="5"/>
      <c r="CX563" s="5"/>
      <c r="CY563" s="5"/>
    </row>
    <row r="564" spans="1:103" ht="10.25" customHeight="1">
      <c r="A564" s="216"/>
      <c r="B564" s="217"/>
      <c r="C564" s="218"/>
      <c r="D564" s="219"/>
      <c r="E564" s="217"/>
      <c r="F564" s="217"/>
      <c r="G564" s="217"/>
      <c r="H564" s="220"/>
      <c r="I564" s="217"/>
      <c r="J564" s="217"/>
      <c r="K564" s="217"/>
      <c r="L564" s="217"/>
      <c r="M564" s="217"/>
      <c r="N564" s="217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4"/>
      <c r="AQ564" s="44"/>
      <c r="BA564" s="5"/>
      <c r="BB564" s="5"/>
      <c r="BC564" s="5"/>
      <c r="BD564" s="5"/>
      <c r="BE564" s="63"/>
      <c r="BF564" s="63"/>
      <c r="BG564" s="63"/>
      <c r="CA564" s="317"/>
      <c r="CF564" s="5"/>
      <c r="CG564" s="53"/>
      <c r="CH564" s="53"/>
      <c r="CI564" s="53"/>
      <c r="CJ564" s="53"/>
      <c r="CK564" s="53"/>
      <c r="CL564" s="53"/>
      <c r="CN564" s="53"/>
      <c r="CO564" s="53"/>
      <c r="CP564" s="53"/>
      <c r="CQ564" s="53"/>
      <c r="CR564" s="53"/>
      <c r="CS564" s="53"/>
      <c r="CT564" s="5"/>
      <c r="CU564" s="5"/>
      <c r="CV564" s="5"/>
      <c r="CW564" s="5"/>
      <c r="CX564" s="5"/>
      <c r="CY564" s="5"/>
    </row>
    <row r="565" spans="1:103" ht="10.25" customHeight="1">
      <c r="A565" s="216"/>
      <c r="B565" s="217"/>
      <c r="C565" s="218"/>
      <c r="D565" s="219"/>
      <c r="E565" s="217"/>
      <c r="F565" s="217"/>
      <c r="G565" s="217"/>
      <c r="H565" s="220"/>
      <c r="I565" s="217"/>
      <c r="J565" s="217"/>
      <c r="K565" s="217"/>
      <c r="L565" s="217"/>
      <c r="M565" s="217"/>
      <c r="N565" s="217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4"/>
      <c r="AQ565" s="44"/>
      <c r="BA565" s="5"/>
      <c r="BB565" s="5"/>
      <c r="BC565" s="5"/>
      <c r="BD565" s="5"/>
      <c r="BE565" s="63"/>
      <c r="BF565" s="63"/>
      <c r="BG565" s="63"/>
      <c r="CA565" s="317"/>
      <c r="CF565" s="5"/>
      <c r="CG565" s="53"/>
      <c r="CH565" s="53"/>
      <c r="CI565" s="53"/>
      <c r="CJ565" s="53"/>
      <c r="CK565" s="53"/>
      <c r="CL565" s="53"/>
      <c r="CN565" s="53"/>
      <c r="CO565" s="53"/>
      <c r="CP565" s="53"/>
      <c r="CQ565" s="53"/>
      <c r="CR565" s="53"/>
      <c r="CS565" s="53"/>
      <c r="CT565" s="5"/>
      <c r="CU565" s="5"/>
      <c r="CV565" s="5"/>
      <c r="CW565" s="5"/>
      <c r="CX565" s="5"/>
      <c r="CY565" s="5"/>
    </row>
    <row r="566" spans="1:103" ht="10.25" customHeight="1">
      <c r="A566" s="216"/>
      <c r="B566" s="217"/>
      <c r="C566" s="218"/>
      <c r="D566" s="219"/>
      <c r="E566" s="217"/>
      <c r="F566" s="217"/>
      <c r="G566" s="217"/>
      <c r="H566" s="220"/>
      <c r="I566" s="217"/>
      <c r="J566" s="217"/>
      <c r="K566" s="217"/>
      <c r="L566" s="217"/>
      <c r="M566" s="217"/>
      <c r="N566" s="217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BA566" s="5"/>
      <c r="BB566" s="5"/>
      <c r="BC566" s="5"/>
      <c r="BD566" s="5"/>
      <c r="BE566" s="63"/>
      <c r="BF566" s="63"/>
      <c r="BG566" s="63"/>
      <c r="CA566" s="317"/>
      <c r="CF566" s="5"/>
      <c r="CG566" s="53"/>
      <c r="CH566" s="53"/>
      <c r="CI566" s="53"/>
      <c r="CJ566" s="53"/>
      <c r="CK566" s="53"/>
      <c r="CL566" s="53"/>
      <c r="CN566" s="53"/>
      <c r="CO566" s="53"/>
      <c r="CP566" s="53"/>
      <c r="CQ566" s="53"/>
      <c r="CR566" s="53"/>
      <c r="CS566" s="53"/>
      <c r="CT566" s="5"/>
      <c r="CU566" s="5"/>
      <c r="CV566" s="5"/>
      <c r="CW566" s="5"/>
      <c r="CX566" s="5"/>
      <c r="CY566" s="5"/>
    </row>
    <row r="567" spans="1:103" ht="10.25" customHeight="1">
      <c r="A567" s="216"/>
      <c r="B567" s="217"/>
      <c r="C567" s="218"/>
      <c r="D567" s="219"/>
      <c r="E567" s="217"/>
      <c r="F567" s="217"/>
      <c r="G567" s="217"/>
      <c r="H567" s="220"/>
      <c r="I567" s="217"/>
      <c r="J567" s="217"/>
      <c r="K567" s="217"/>
      <c r="L567" s="217"/>
      <c r="M567" s="217"/>
      <c r="N567" s="217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BA567" s="5"/>
      <c r="BB567" s="5"/>
      <c r="BC567" s="5"/>
      <c r="BD567" s="5"/>
      <c r="BE567" s="63"/>
      <c r="BF567" s="63"/>
      <c r="BG567" s="63"/>
      <c r="CA567" s="317"/>
      <c r="CF567" s="5"/>
      <c r="CG567" s="53"/>
      <c r="CH567" s="53"/>
      <c r="CI567" s="53"/>
      <c r="CJ567" s="53"/>
      <c r="CK567" s="53"/>
      <c r="CL567" s="53"/>
      <c r="CN567" s="53"/>
      <c r="CO567" s="53"/>
      <c r="CP567" s="53"/>
      <c r="CQ567" s="53"/>
      <c r="CR567" s="53"/>
      <c r="CS567" s="53"/>
      <c r="CT567" s="5"/>
      <c r="CU567" s="5"/>
      <c r="CV567" s="5"/>
      <c r="CW567" s="5"/>
      <c r="CX567" s="5"/>
      <c r="CY567" s="5"/>
    </row>
    <row r="568" spans="1:103" ht="10.25" customHeight="1">
      <c r="A568" s="216"/>
      <c r="B568" s="217"/>
      <c r="C568" s="218"/>
      <c r="D568" s="219"/>
      <c r="E568" s="217"/>
      <c r="F568" s="217"/>
      <c r="G568" s="217"/>
      <c r="H568" s="220"/>
      <c r="I568" s="217"/>
      <c r="J568" s="217"/>
      <c r="K568" s="217"/>
      <c r="L568" s="217"/>
      <c r="M568" s="217"/>
      <c r="N568" s="217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  <c r="AP568" s="44"/>
      <c r="AQ568" s="44"/>
      <c r="BA568" s="5"/>
      <c r="BB568" s="5"/>
      <c r="BC568" s="5"/>
      <c r="BD568" s="5"/>
      <c r="BE568" s="63"/>
      <c r="BF568" s="63"/>
      <c r="BG568" s="63"/>
      <c r="CA568" s="317"/>
      <c r="CF568" s="5"/>
      <c r="CG568" s="53"/>
      <c r="CH568" s="53"/>
      <c r="CI568" s="53"/>
      <c r="CJ568" s="53"/>
      <c r="CK568" s="53"/>
      <c r="CL568" s="53"/>
      <c r="CN568" s="53"/>
      <c r="CO568" s="53"/>
      <c r="CP568" s="53"/>
      <c r="CQ568" s="53"/>
      <c r="CR568" s="53"/>
      <c r="CS568" s="53"/>
      <c r="CT568" s="5"/>
      <c r="CU568" s="5"/>
      <c r="CV568" s="5"/>
      <c r="CW568" s="5"/>
      <c r="CX568" s="5"/>
      <c r="CY568" s="5"/>
    </row>
    <row r="569" spans="1:103" ht="10.25" customHeight="1">
      <c r="A569" s="216"/>
      <c r="B569" s="217"/>
      <c r="C569" s="218"/>
      <c r="D569" s="219"/>
      <c r="E569" s="217"/>
      <c r="F569" s="217"/>
      <c r="G569" s="217"/>
      <c r="H569" s="220"/>
      <c r="I569" s="217"/>
      <c r="J569" s="217"/>
      <c r="K569" s="217"/>
      <c r="L569" s="217"/>
      <c r="M569" s="217"/>
      <c r="N569" s="217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  <c r="AQ569" s="44"/>
      <c r="BA569" s="5"/>
      <c r="BB569" s="5"/>
      <c r="BC569" s="5"/>
      <c r="BD569" s="5"/>
      <c r="BE569" s="63"/>
      <c r="BF569" s="63"/>
      <c r="BG569" s="63"/>
      <c r="CA569" s="256"/>
      <c r="CB569" s="261"/>
      <c r="CC569" s="261"/>
      <c r="CD569" s="261"/>
      <c r="CE569" s="261"/>
      <c r="CF569" s="255"/>
      <c r="CG569" s="53"/>
      <c r="CH569" s="53"/>
      <c r="CI569" s="53"/>
      <c r="CJ569" s="53"/>
      <c r="CK569" s="53"/>
      <c r="CL569" s="53"/>
      <c r="CN569" s="53"/>
      <c r="CO569" s="53"/>
      <c r="CP569" s="53"/>
      <c r="CQ569" s="53"/>
      <c r="CR569" s="53"/>
      <c r="CS569" s="53"/>
      <c r="CT569" s="261"/>
      <c r="CU569" s="255"/>
      <c r="CV569" s="261"/>
      <c r="CW569" s="261"/>
      <c r="CX569" s="261"/>
      <c r="CY569" s="255"/>
    </row>
    <row r="570" spans="1:103" ht="10.25" customHeight="1">
      <c r="A570" s="216"/>
      <c r="B570" s="217"/>
      <c r="C570" s="218"/>
      <c r="D570" s="219"/>
      <c r="E570" s="217"/>
      <c r="F570" s="217"/>
      <c r="G570" s="217"/>
      <c r="H570" s="220"/>
      <c r="I570" s="217"/>
      <c r="J570" s="217"/>
      <c r="K570" s="217"/>
      <c r="L570" s="217"/>
      <c r="M570" s="217"/>
      <c r="N570" s="217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BA570" s="5"/>
      <c r="BB570" s="5"/>
      <c r="BC570" s="5"/>
      <c r="BD570" s="5"/>
      <c r="BE570" s="63"/>
      <c r="BF570" s="63"/>
      <c r="BG570" s="63"/>
      <c r="CA570" s="256"/>
      <c r="CB570" s="261"/>
      <c r="CC570" s="261"/>
      <c r="CD570" s="261"/>
      <c r="CE570" s="261"/>
      <c r="CF570" s="255"/>
      <c r="CG570" s="53"/>
      <c r="CH570" s="53"/>
      <c r="CI570" s="53"/>
      <c r="CJ570" s="53"/>
      <c r="CK570" s="53"/>
      <c r="CL570" s="53"/>
      <c r="CN570" s="53"/>
      <c r="CO570" s="53"/>
      <c r="CP570" s="53"/>
      <c r="CQ570" s="53"/>
      <c r="CR570" s="53"/>
      <c r="CS570" s="53"/>
      <c r="CT570" s="261"/>
      <c r="CU570" s="255"/>
      <c r="CV570" s="261"/>
      <c r="CW570" s="261"/>
      <c r="CX570" s="261"/>
      <c r="CY570" s="255"/>
    </row>
    <row r="571" spans="1:103" ht="10.25" customHeight="1">
      <c r="A571" s="216"/>
      <c r="B571" s="217"/>
      <c r="C571" s="218"/>
      <c r="D571" s="219"/>
      <c r="E571" s="217"/>
      <c r="F571" s="217"/>
      <c r="G571" s="217"/>
      <c r="H571" s="220"/>
      <c r="I571" s="217"/>
      <c r="J571" s="217"/>
      <c r="K571" s="217"/>
      <c r="L571" s="217"/>
      <c r="M571" s="217"/>
      <c r="N571" s="217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BA571" s="5"/>
      <c r="BB571" s="5"/>
      <c r="BC571" s="5"/>
      <c r="BD571" s="5"/>
      <c r="BE571" s="63"/>
      <c r="BF571" s="63"/>
      <c r="BG571" s="63"/>
      <c r="CA571" s="256"/>
      <c r="CB571" s="261"/>
      <c r="CC571" s="261"/>
      <c r="CD571" s="261"/>
      <c r="CE571" s="261"/>
      <c r="CF571" s="255"/>
      <c r="CG571" s="53"/>
      <c r="CH571" s="53"/>
      <c r="CI571" s="53"/>
      <c r="CJ571" s="53"/>
      <c r="CK571" s="53"/>
      <c r="CL571" s="53"/>
      <c r="CN571" s="53"/>
      <c r="CO571" s="53"/>
      <c r="CP571" s="53"/>
      <c r="CQ571" s="53"/>
      <c r="CR571" s="53"/>
      <c r="CS571" s="53"/>
      <c r="CT571" s="261"/>
      <c r="CU571" s="255"/>
      <c r="CV571" s="261"/>
      <c r="CW571" s="255"/>
      <c r="CX571" s="261"/>
      <c r="CY571" s="255"/>
    </row>
    <row r="572" spans="1:103" ht="10.25" customHeight="1">
      <c r="A572" s="216"/>
      <c r="B572" s="217"/>
      <c r="C572" s="218"/>
      <c r="D572" s="219"/>
      <c r="E572" s="217"/>
      <c r="F572" s="217"/>
      <c r="G572" s="217"/>
      <c r="H572" s="220"/>
      <c r="I572" s="217"/>
      <c r="J572" s="217"/>
      <c r="K572" s="217"/>
      <c r="L572" s="217"/>
      <c r="M572" s="217"/>
      <c r="N572" s="217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BA572" s="5"/>
      <c r="BB572" s="5"/>
      <c r="BC572" s="5"/>
      <c r="BD572" s="5"/>
      <c r="BE572" s="63"/>
      <c r="BF572" s="63"/>
      <c r="BG572" s="63"/>
      <c r="CA572" s="256"/>
      <c r="CB572" s="261"/>
      <c r="CC572" s="261"/>
      <c r="CD572" s="261"/>
      <c r="CE572" s="261"/>
      <c r="CF572" s="255"/>
      <c r="CG572" s="53"/>
      <c r="CH572" s="53"/>
      <c r="CI572" s="53"/>
      <c r="CJ572" s="53"/>
      <c r="CK572" s="53"/>
      <c r="CL572" s="53"/>
      <c r="CN572" s="53"/>
      <c r="CO572" s="53"/>
      <c r="CP572" s="53"/>
      <c r="CQ572" s="53"/>
      <c r="CR572" s="53"/>
      <c r="CS572" s="53"/>
      <c r="CT572" s="261"/>
      <c r="CU572" s="255"/>
      <c r="CV572" s="255"/>
      <c r="CW572" s="261"/>
      <c r="CX572" s="261"/>
      <c r="CY572" s="255"/>
    </row>
    <row r="573" spans="1:103" ht="10.25" customHeight="1">
      <c r="A573" s="216"/>
      <c r="B573" s="217"/>
      <c r="C573" s="218"/>
      <c r="D573" s="219"/>
      <c r="E573" s="217"/>
      <c r="F573" s="217"/>
      <c r="G573" s="217"/>
      <c r="H573" s="220"/>
      <c r="I573" s="217"/>
      <c r="J573" s="217"/>
      <c r="K573" s="217"/>
      <c r="L573" s="217"/>
      <c r="M573" s="217"/>
      <c r="N573" s="217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BA573" s="5"/>
      <c r="BB573" s="5"/>
      <c r="BC573" s="5"/>
      <c r="BD573" s="5"/>
      <c r="BE573" s="63"/>
      <c r="BF573" s="63"/>
      <c r="BG573" s="63"/>
      <c r="CA573" s="256"/>
      <c r="CB573" s="261"/>
      <c r="CC573" s="261"/>
      <c r="CD573" s="261"/>
      <c r="CE573" s="261"/>
      <c r="CF573" s="255"/>
      <c r="CG573" s="53"/>
      <c r="CH573" s="53"/>
      <c r="CI573" s="53"/>
      <c r="CJ573" s="53"/>
      <c r="CK573" s="53"/>
      <c r="CL573" s="53"/>
      <c r="CN573" s="53"/>
      <c r="CO573" s="53"/>
      <c r="CP573" s="53"/>
      <c r="CQ573" s="53"/>
      <c r="CR573" s="53"/>
      <c r="CS573" s="53"/>
      <c r="CT573" s="261"/>
      <c r="CU573" s="255"/>
      <c r="CV573" s="261"/>
      <c r="CW573" s="255"/>
      <c r="CX573" s="261"/>
      <c r="CY573" s="255"/>
    </row>
    <row r="574" spans="1:103" ht="10.25" customHeight="1">
      <c r="A574" s="216"/>
      <c r="B574" s="217"/>
      <c r="C574" s="218"/>
      <c r="D574" s="219"/>
      <c r="E574" s="217"/>
      <c r="F574" s="217"/>
      <c r="G574" s="217"/>
      <c r="H574" s="220"/>
      <c r="I574" s="217"/>
      <c r="J574" s="217"/>
      <c r="K574" s="217"/>
      <c r="L574" s="217"/>
      <c r="M574" s="217"/>
      <c r="N574" s="217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BA574" s="5"/>
      <c r="BB574" s="5"/>
      <c r="BC574" s="5"/>
      <c r="BD574" s="5"/>
      <c r="BE574" s="63"/>
      <c r="BF574" s="63"/>
      <c r="BG574" s="63"/>
      <c r="CA574" s="256"/>
      <c r="CB574" s="261"/>
      <c r="CC574" s="261"/>
      <c r="CD574" s="261"/>
      <c r="CE574" s="255"/>
      <c r="CF574" s="261"/>
      <c r="CG574" s="53"/>
      <c r="CH574" s="53"/>
      <c r="CI574" s="53"/>
      <c r="CJ574" s="53"/>
      <c r="CK574" s="53"/>
      <c r="CL574" s="53"/>
      <c r="CN574" s="53"/>
      <c r="CO574" s="53"/>
      <c r="CP574" s="53"/>
      <c r="CQ574" s="53"/>
      <c r="CR574" s="53"/>
      <c r="CS574" s="53"/>
      <c r="CT574" s="255"/>
      <c r="CU574" s="261"/>
      <c r="CV574" s="255"/>
      <c r="CW574" s="261"/>
      <c r="CX574" s="261"/>
      <c r="CY574" s="255"/>
    </row>
    <row r="575" spans="1:103" ht="10.25" customHeight="1">
      <c r="A575" s="216"/>
      <c r="B575" s="217"/>
      <c r="C575" s="218"/>
      <c r="D575" s="219"/>
      <c r="E575" s="217"/>
      <c r="F575" s="217"/>
      <c r="G575" s="217"/>
      <c r="H575" s="220"/>
      <c r="I575" s="217"/>
      <c r="J575" s="217"/>
      <c r="K575" s="217"/>
      <c r="L575" s="217"/>
      <c r="M575" s="217"/>
      <c r="N575" s="217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BA575" s="5"/>
      <c r="BB575" s="5"/>
      <c r="BC575" s="5"/>
      <c r="BD575" s="5"/>
      <c r="BE575" s="63"/>
      <c r="BF575" s="63"/>
      <c r="BG575" s="63"/>
      <c r="CA575" s="256"/>
      <c r="CB575" s="261"/>
      <c r="CC575" s="261"/>
      <c r="CD575" s="261"/>
      <c r="CE575" s="255"/>
      <c r="CF575" s="261"/>
      <c r="CG575" s="53"/>
      <c r="CH575" s="53"/>
      <c r="CI575" s="53"/>
      <c r="CJ575" s="53"/>
      <c r="CK575" s="53"/>
      <c r="CL575" s="53"/>
      <c r="CN575" s="53"/>
      <c r="CO575" s="53"/>
      <c r="CP575" s="53"/>
      <c r="CQ575" s="53"/>
      <c r="CR575" s="53"/>
      <c r="CS575" s="53"/>
      <c r="CT575" s="255"/>
      <c r="CU575" s="261"/>
      <c r="CV575" s="261"/>
      <c r="CW575" s="255"/>
      <c r="CX575" s="261"/>
      <c r="CY575" s="255"/>
    </row>
    <row r="576" spans="1:103" ht="10.25" customHeight="1">
      <c r="A576" s="216"/>
      <c r="B576" s="217"/>
      <c r="C576" s="218"/>
      <c r="D576" s="219"/>
      <c r="E576" s="217"/>
      <c r="F576" s="217"/>
      <c r="G576" s="217"/>
      <c r="H576" s="220"/>
      <c r="I576" s="217"/>
      <c r="J576" s="217"/>
      <c r="K576" s="217"/>
      <c r="L576" s="217"/>
      <c r="M576" s="217"/>
      <c r="N576" s="217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BA576" s="5"/>
      <c r="BB576" s="5"/>
      <c r="BC576" s="5"/>
      <c r="BD576" s="5"/>
      <c r="BE576" s="63"/>
      <c r="BF576" s="63"/>
      <c r="BG576" s="63"/>
      <c r="CA576" s="256"/>
      <c r="CB576" s="261"/>
      <c r="CC576" s="261"/>
      <c r="CD576" s="255"/>
      <c r="CE576" s="261"/>
      <c r="CF576" s="261"/>
      <c r="CG576" s="53"/>
      <c r="CH576" s="53"/>
      <c r="CI576" s="53"/>
      <c r="CJ576" s="53"/>
      <c r="CK576" s="53"/>
      <c r="CL576" s="53"/>
      <c r="CN576" s="53"/>
      <c r="CO576" s="53"/>
      <c r="CP576" s="53"/>
      <c r="CQ576" s="53"/>
      <c r="CR576" s="53"/>
      <c r="CS576" s="53"/>
      <c r="CT576" s="261"/>
      <c r="CU576" s="261"/>
      <c r="CV576" s="255"/>
      <c r="CW576" s="261"/>
      <c r="CX576" s="261"/>
      <c r="CY576" s="255"/>
    </row>
    <row r="577" spans="1:103" ht="10.25" customHeight="1">
      <c r="A577" s="216"/>
      <c r="B577" s="217"/>
      <c r="C577" s="218"/>
      <c r="D577" s="219"/>
      <c r="E577" s="217"/>
      <c r="F577" s="217"/>
      <c r="G577" s="217"/>
      <c r="H577" s="220"/>
      <c r="I577" s="217"/>
      <c r="J577" s="217"/>
      <c r="K577" s="217"/>
      <c r="L577" s="217"/>
      <c r="M577" s="217"/>
      <c r="N577" s="217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BA577" s="5"/>
      <c r="BB577" s="5"/>
      <c r="BC577" s="5"/>
      <c r="BD577" s="5"/>
      <c r="BE577" s="63"/>
      <c r="BF577" s="63"/>
      <c r="BG577" s="63"/>
      <c r="CA577" s="256"/>
      <c r="CB577" s="261"/>
      <c r="CC577" s="261"/>
      <c r="CD577" s="255"/>
      <c r="CE577" s="261"/>
      <c r="CF577" s="261"/>
      <c r="CG577" s="53"/>
      <c r="CH577" s="53"/>
      <c r="CI577" s="53"/>
      <c r="CJ577" s="53"/>
      <c r="CK577" s="53"/>
      <c r="CL577" s="53"/>
      <c r="CN577" s="53"/>
      <c r="CO577" s="53"/>
      <c r="CP577" s="53"/>
      <c r="CQ577" s="53"/>
      <c r="CR577" s="53"/>
      <c r="CS577" s="53"/>
      <c r="CT577" s="261"/>
      <c r="CU577" s="261"/>
      <c r="CV577" s="261"/>
      <c r="CW577" s="255"/>
      <c r="CX577" s="261"/>
      <c r="CY577" s="255"/>
    </row>
    <row r="578" spans="1:103" ht="10.25" customHeight="1">
      <c r="A578" s="216"/>
      <c r="B578" s="217"/>
      <c r="C578" s="218"/>
      <c r="D578" s="219"/>
      <c r="E578" s="217"/>
      <c r="F578" s="217"/>
      <c r="G578" s="217"/>
      <c r="H578" s="220"/>
      <c r="I578" s="217"/>
      <c r="J578" s="217"/>
      <c r="K578" s="217"/>
      <c r="L578" s="217"/>
      <c r="M578" s="217"/>
      <c r="N578" s="217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BA578" s="5"/>
      <c r="BB578" s="5"/>
      <c r="BC578" s="5"/>
      <c r="BD578" s="5"/>
      <c r="BE578" s="63"/>
      <c r="BF578" s="63"/>
      <c r="BG578" s="63"/>
      <c r="CA578" s="256"/>
      <c r="CB578" s="261"/>
      <c r="CC578" s="261"/>
      <c r="CD578" s="255"/>
      <c r="CE578" s="261"/>
      <c r="CF578" s="261"/>
      <c r="CG578" s="53"/>
      <c r="CH578" s="53"/>
      <c r="CI578" s="53"/>
      <c r="CJ578" s="53"/>
      <c r="CK578" s="53"/>
      <c r="CL578" s="53"/>
      <c r="CN578" s="53"/>
      <c r="CO578" s="53"/>
      <c r="CP578" s="53"/>
      <c r="CQ578" s="53"/>
      <c r="CR578" s="53"/>
      <c r="CS578" s="53"/>
      <c r="CT578" s="261"/>
      <c r="CU578" s="261"/>
      <c r="CV578" s="261"/>
      <c r="CW578" s="261"/>
      <c r="CX578" s="261"/>
      <c r="CY578" s="255"/>
    </row>
    <row r="579" spans="1:103" ht="10.25" customHeight="1">
      <c r="A579" s="216"/>
      <c r="B579" s="217"/>
      <c r="C579" s="218"/>
      <c r="D579" s="219"/>
      <c r="E579" s="217"/>
      <c r="F579" s="217"/>
      <c r="G579" s="217"/>
      <c r="H579" s="220"/>
      <c r="I579" s="217"/>
      <c r="J579" s="217"/>
      <c r="K579" s="217"/>
      <c r="L579" s="217"/>
      <c r="M579" s="217"/>
      <c r="N579" s="217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BA579" s="5"/>
      <c r="BB579" s="5"/>
      <c r="BC579" s="5"/>
      <c r="BD579" s="5"/>
      <c r="BE579" s="63"/>
      <c r="BF579" s="63"/>
      <c r="BG579" s="63"/>
      <c r="CA579" s="256"/>
      <c r="CB579" s="261"/>
      <c r="CC579" s="261"/>
      <c r="CD579" s="261"/>
      <c r="CE579" s="261"/>
      <c r="CF579" s="261"/>
      <c r="CG579" s="53"/>
      <c r="CH579" s="53"/>
      <c r="CI579" s="53"/>
      <c r="CJ579" s="53"/>
      <c r="CK579" s="53"/>
      <c r="CL579" s="53"/>
      <c r="CN579" s="53"/>
      <c r="CO579" s="53"/>
      <c r="CP579" s="53"/>
      <c r="CQ579" s="53"/>
      <c r="CR579" s="53"/>
      <c r="CS579" s="53"/>
      <c r="CT579" s="261"/>
      <c r="CU579" s="261"/>
      <c r="CV579" s="255"/>
      <c r="CW579" s="255"/>
      <c r="CX579" s="261"/>
      <c r="CY579" s="255"/>
    </row>
    <row r="580" spans="1:103" ht="10.25" customHeight="1">
      <c r="A580" s="216"/>
      <c r="B580" s="217"/>
      <c r="C580" s="218"/>
      <c r="D580" s="219"/>
      <c r="E580" s="217"/>
      <c r="F580" s="217"/>
      <c r="G580" s="217"/>
      <c r="H580" s="220"/>
      <c r="I580" s="217"/>
      <c r="J580" s="217"/>
      <c r="K580" s="217"/>
      <c r="L580" s="217"/>
      <c r="M580" s="217"/>
      <c r="N580" s="217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BA580" s="5"/>
      <c r="BB580" s="5"/>
      <c r="BC580" s="5"/>
      <c r="BD580" s="5"/>
      <c r="BE580" s="63"/>
      <c r="BF580" s="63"/>
      <c r="BG580" s="63"/>
      <c r="CA580" s="256"/>
      <c r="CB580" s="261"/>
      <c r="CC580" s="261"/>
      <c r="CD580" s="261"/>
      <c r="CE580" s="261"/>
      <c r="CF580" s="261"/>
      <c r="CG580" s="53"/>
      <c r="CH580" s="53"/>
      <c r="CI580" s="53"/>
      <c r="CJ580" s="53"/>
      <c r="CK580" s="53"/>
      <c r="CL580" s="53"/>
      <c r="CN580" s="53"/>
      <c r="CO580" s="53"/>
      <c r="CP580" s="53"/>
      <c r="CQ580" s="53"/>
      <c r="CR580" s="53"/>
      <c r="CS580" s="53"/>
      <c r="CT580" s="261"/>
      <c r="CU580" s="261"/>
      <c r="CV580" s="261"/>
      <c r="CW580" s="261"/>
      <c r="CX580" s="261"/>
      <c r="CY580" s="255"/>
    </row>
    <row r="581" spans="1:103" ht="10.25" customHeight="1">
      <c r="A581" s="216"/>
      <c r="B581" s="217"/>
      <c r="C581" s="218"/>
      <c r="D581" s="219"/>
      <c r="E581" s="217"/>
      <c r="F581" s="217"/>
      <c r="G581" s="217"/>
      <c r="H581" s="220"/>
      <c r="I581" s="217"/>
      <c r="J581" s="217"/>
      <c r="K581" s="217"/>
      <c r="L581" s="217"/>
      <c r="M581" s="217"/>
      <c r="N581" s="217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BA581" s="5"/>
      <c r="BB581" s="5"/>
      <c r="BC581" s="5"/>
      <c r="BD581" s="5"/>
      <c r="BE581" s="63"/>
      <c r="BF581" s="63"/>
      <c r="BG581" s="63"/>
      <c r="CA581" s="256"/>
      <c r="CB581" s="261"/>
      <c r="CC581" s="261"/>
      <c r="CD581" s="261"/>
      <c r="CE581" s="261"/>
      <c r="CF581" s="261"/>
      <c r="CG581" s="53"/>
      <c r="CH581" s="53"/>
      <c r="CI581" s="53"/>
      <c r="CJ581" s="53"/>
      <c r="CK581" s="53"/>
      <c r="CL581" s="53"/>
      <c r="CN581" s="53"/>
      <c r="CO581" s="53"/>
      <c r="CP581" s="53"/>
      <c r="CQ581" s="53"/>
      <c r="CR581" s="53"/>
      <c r="CS581" s="53"/>
      <c r="CT581" s="261"/>
      <c r="CU581" s="261"/>
      <c r="CV581" s="255"/>
      <c r="CW581" s="255"/>
      <c r="CX581" s="261"/>
      <c r="CY581" s="255"/>
    </row>
    <row r="582" spans="1:103" ht="10.25" customHeight="1">
      <c r="A582" s="216"/>
      <c r="B582" s="217"/>
      <c r="C582" s="218"/>
      <c r="D582" s="219"/>
      <c r="E582" s="217"/>
      <c r="F582" s="217"/>
      <c r="G582" s="217"/>
      <c r="H582" s="220"/>
      <c r="I582" s="217"/>
      <c r="J582" s="217"/>
      <c r="K582" s="217"/>
      <c r="L582" s="217"/>
      <c r="M582" s="217"/>
      <c r="N582" s="217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BA582" s="5"/>
      <c r="BB582" s="5"/>
      <c r="BC582" s="5"/>
      <c r="BD582" s="5"/>
      <c r="BE582" s="63"/>
      <c r="BF582" s="63"/>
      <c r="BG582" s="63"/>
      <c r="CA582" s="256"/>
      <c r="CB582" s="261"/>
      <c r="CC582" s="261"/>
      <c r="CD582" s="261"/>
      <c r="CE582" s="261"/>
      <c r="CF582" s="261"/>
      <c r="CG582" s="53"/>
      <c r="CH582" s="53"/>
      <c r="CI582" s="53"/>
      <c r="CJ582" s="53"/>
      <c r="CK582" s="53"/>
      <c r="CL582" s="53"/>
      <c r="CN582" s="53"/>
      <c r="CO582" s="53"/>
      <c r="CP582" s="53"/>
      <c r="CQ582" s="53"/>
      <c r="CR582" s="53"/>
      <c r="CS582" s="53"/>
      <c r="CT582" s="261"/>
      <c r="CU582" s="261"/>
      <c r="CV582" s="261"/>
      <c r="CW582" s="261"/>
      <c r="CX582" s="255"/>
      <c r="CY582" s="255"/>
    </row>
    <row r="583" spans="1:103" ht="10.25" customHeight="1">
      <c r="A583" s="216"/>
      <c r="B583" s="217"/>
      <c r="C583" s="218"/>
      <c r="D583" s="219"/>
      <c r="E583" s="217"/>
      <c r="F583" s="217"/>
      <c r="G583" s="217"/>
      <c r="H583" s="220"/>
      <c r="I583" s="217"/>
      <c r="J583" s="217"/>
      <c r="K583" s="217"/>
      <c r="L583" s="217"/>
      <c r="M583" s="217"/>
      <c r="N583" s="217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BA583" s="5"/>
      <c r="BB583" s="5"/>
      <c r="BC583" s="5"/>
      <c r="BD583" s="5"/>
      <c r="BE583" s="63"/>
      <c r="BF583" s="63"/>
      <c r="BG583" s="63"/>
      <c r="CA583" s="256"/>
      <c r="CB583" s="261"/>
      <c r="CC583" s="261"/>
      <c r="CD583" s="261"/>
      <c r="CE583" s="261"/>
      <c r="CF583" s="261"/>
      <c r="CG583" s="53"/>
      <c r="CH583" s="53"/>
      <c r="CI583" s="53"/>
      <c r="CJ583" s="53"/>
      <c r="CK583" s="53"/>
      <c r="CL583" s="53"/>
      <c r="CN583" s="53"/>
      <c r="CO583" s="53"/>
      <c r="CP583" s="53"/>
      <c r="CQ583" s="53"/>
      <c r="CR583" s="53"/>
      <c r="CS583" s="53"/>
      <c r="CT583" s="261"/>
      <c r="CU583" s="261"/>
      <c r="CV583" s="255"/>
      <c r="CW583" s="255"/>
      <c r="CX583" s="261"/>
      <c r="CY583" s="255"/>
    </row>
    <row r="584" spans="1:103" ht="10.25" customHeight="1">
      <c r="A584" s="216"/>
      <c r="B584" s="217"/>
      <c r="C584" s="218"/>
      <c r="D584" s="219"/>
      <c r="E584" s="217"/>
      <c r="F584" s="217"/>
      <c r="G584" s="217"/>
      <c r="H584" s="220"/>
      <c r="I584" s="217"/>
      <c r="J584" s="217"/>
      <c r="K584" s="217"/>
      <c r="L584" s="217"/>
      <c r="M584" s="217"/>
      <c r="N584" s="217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BA584" s="5"/>
      <c r="BB584" s="5"/>
      <c r="BC584" s="5"/>
      <c r="BD584" s="5"/>
      <c r="BE584" s="63"/>
      <c r="BF584" s="63"/>
      <c r="BG584" s="63"/>
      <c r="CA584" s="256"/>
      <c r="CB584" s="261"/>
      <c r="CC584" s="261"/>
      <c r="CD584" s="261"/>
      <c r="CE584" s="261"/>
      <c r="CF584" s="261"/>
      <c r="CG584" s="53"/>
      <c r="CH584" s="53"/>
      <c r="CI584" s="53"/>
      <c r="CJ584" s="53"/>
      <c r="CK584" s="53"/>
      <c r="CL584" s="53"/>
      <c r="CN584" s="53"/>
      <c r="CO584" s="53"/>
      <c r="CP584" s="53"/>
      <c r="CQ584" s="53"/>
      <c r="CR584" s="53"/>
      <c r="CS584" s="53"/>
      <c r="CT584" s="261"/>
      <c r="CU584" s="261"/>
      <c r="CV584" s="261"/>
      <c r="CW584" s="261"/>
      <c r="CX584" s="261"/>
      <c r="CY584" s="255"/>
    </row>
    <row r="585" spans="1:103" ht="10.25" customHeight="1">
      <c r="A585" s="216"/>
      <c r="B585" s="217"/>
      <c r="C585" s="218"/>
      <c r="D585" s="219"/>
      <c r="E585" s="217"/>
      <c r="F585" s="217"/>
      <c r="G585" s="217"/>
      <c r="H585" s="220"/>
      <c r="I585" s="217"/>
      <c r="J585" s="217"/>
      <c r="K585" s="217"/>
      <c r="L585" s="217"/>
      <c r="M585" s="217"/>
      <c r="N585" s="217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BA585" s="5"/>
      <c r="BB585" s="5"/>
      <c r="BC585" s="5"/>
      <c r="BD585" s="5"/>
      <c r="BE585" s="63"/>
      <c r="BF585" s="63"/>
      <c r="BG585" s="63"/>
      <c r="CA585" s="256"/>
      <c r="CB585" s="261"/>
      <c r="CC585" s="261"/>
      <c r="CD585" s="261"/>
      <c r="CE585" s="261"/>
      <c r="CF585" s="261"/>
      <c r="CG585" s="53"/>
      <c r="CH585" s="53"/>
      <c r="CI585" s="53"/>
      <c r="CJ585" s="53"/>
      <c r="CK585" s="53"/>
      <c r="CL585" s="53"/>
      <c r="CN585" s="53"/>
      <c r="CO585" s="53"/>
      <c r="CP585" s="53"/>
      <c r="CQ585" s="53"/>
      <c r="CR585" s="53"/>
      <c r="CS585" s="53"/>
      <c r="CT585" s="261"/>
      <c r="CU585" s="261"/>
      <c r="CV585" s="261"/>
      <c r="CW585" s="255"/>
      <c r="CX585" s="261"/>
      <c r="CY585" s="255"/>
    </row>
    <row r="586" spans="1:103" ht="10.25" customHeight="1">
      <c r="A586" s="216"/>
      <c r="B586" s="217"/>
      <c r="C586" s="218"/>
      <c r="D586" s="219"/>
      <c r="E586" s="217"/>
      <c r="F586" s="217"/>
      <c r="G586" s="217"/>
      <c r="H586" s="220"/>
      <c r="I586" s="217"/>
      <c r="J586" s="217"/>
      <c r="K586" s="217"/>
      <c r="L586" s="217"/>
      <c r="M586" s="217"/>
      <c r="N586" s="217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BA586" s="5"/>
      <c r="BB586" s="5"/>
      <c r="BC586" s="5"/>
      <c r="BD586" s="5"/>
      <c r="BE586" s="63"/>
      <c r="BF586" s="63"/>
      <c r="BG586" s="63"/>
      <c r="CA586" s="256"/>
      <c r="CB586" s="261"/>
      <c r="CC586" s="261"/>
      <c r="CD586" s="261"/>
      <c r="CE586" s="261"/>
      <c r="CF586" s="261"/>
      <c r="CG586" s="53"/>
      <c r="CH586" s="53"/>
      <c r="CI586" s="53"/>
      <c r="CJ586" s="53"/>
      <c r="CK586" s="53"/>
      <c r="CL586" s="53"/>
      <c r="CN586" s="53"/>
      <c r="CO586" s="53"/>
      <c r="CP586" s="53"/>
      <c r="CQ586" s="53"/>
      <c r="CR586" s="53"/>
      <c r="CS586" s="53"/>
      <c r="CT586" s="261"/>
      <c r="CU586" s="261"/>
      <c r="CV586" s="261"/>
      <c r="CW586" s="261"/>
      <c r="CX586" s="261"/>
      <c r="CY586" s="255"/>
    </row>
    <row r="587" spans="1:103" ht="10.25" customHeight="1">
      <c r="A587" s="216"/>
      <c r="B587" s="217"/>
      <c r="C587" s="218"/>
      <c r="D587" s="219"/>
      <c r="E587" s="217"/>
      <c r="F587" s="217"/>
      <c r="G587" s="217"/>
      <c r="H587" s="220"/>
      <c r="I587" s="217"/>
      <c r="J587" s="217"/>
      <c r="K587" s="217"/>
      <c r="L587" s="217"/>
      <c r="M587" s="217"/>
      <c r="N587" s="217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BA587" s="5"/>
      <c r="BB587" s="5"/>
      <c r="BC587" s="5"/>
      <c r="BD587" s="5"/>
      <c r="BE587" s="63"/>
      <c r="BF587" s="63"/>
      <c r="BG587" s="63"/>
      <c r="CA587" s="256"/>
      <c r="CB587" s="261"/>
      <c r="CC587" s="261"/>
      <c r="CD587" s="261"/>
      <c r="CE587" s="261"/>
      <c r="CF587" s="261"/>
      <c r="CG587" s="53"/>
      <c r="CH587" s="53"/>
      <c r="CI587" s="53"/>
      <c r="CJ587" s="53"/>
      <c r="CK587" s="53"/>
      <c r="CL587" s="53"/>
      <c r="CN587" s="53"/>
      <c r="CO587" s="53"/>
      <c r="CP587" s="53"/>
      <c r="CQ587" s="53"/>
      <c r="CR587" s="53"/>
      <c r="CS587" s="53"/>
      <c r="CT587" s="261"/>
      <c r="CU587" s="261"/>
      <c r="CV587" s="255"/>
      <c r="CW587" s="255"/>
      <c r="CX587" s="261"/>
      <c r="CY587" s="255"/>
    </row>
    <row r="588" spans="1:103" ht="10.25" customHeight="1">
      <c r="A588" s="216"/>
      <c r="B588" s="217"/>
      <c r="C588" s="218"/>
      <c r="D588" s="219"/>
      <c r="E588" s="217"/>
      <c r="F588" s="217"/>
      <c r="G588" s="217"/>
      <c r="H588" s="220"/>
      <c r="I588" s="217"/>
      <c r="J588" s="217"/>
      <c r="K588" s="217"/>
      <c r="L588" s="217"/>
      <c r="M588" s="217"/>
      <c r="N588" s="217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BA588" s="5"/>
      <c r="BB588" s="5"/>
      <c r="BC588" s="5"/>
      <c r="BD588" s="5"/>
      <c r="BE588" s="63"/>
      <c r="BF588" s="63"/>
      <c r="BG588" s="63"/>
      <c r="CA588" s="256"/>
      <c r="CB588" s="261"/>
      <c r="CC588" s="261"/>
      <c r="CD588" s="261"/>
      <c r="CE588" s="261"/>
      <c r="CF588" s="261"/>
      <c r="CG588" s="53"/>
      <c r="CH588" s="53"/>
      <c r="CI588" s="53"/>
      <c r="CJ588" s="53"/>
      <c r="CK588" s="53"/>
      <c r="CL588" s="53"/>
      <c r="CN588" s="53"/>
      <c r="CO588" s="53"/>
      <c r="CP588" s="53"/>
      <c r="CQ588" s="53"/>
      <c r="CR588" s="53"/>
      <c r="CS588" s="53"/>
      <c r="CT588" s="261"/>
      <c r="CU588" s="261"/>
      <c r="CV588" s="261"/>
      <c r="CW588" s="261"/>
      <c r="CX588" s="261"/>
      <c r="CY588" s="255"/>
    </row>
    <row r="589" spans="1:103" ht="10.25" customHeight="1">
      <c r="A589" s="216"/>
      <c r="B589" s="217"/>
      <c r="C589" s="218"/>
      <c r="D589" s="219"/>
      <c r="E589" s="217"/>
      <c r="F589" s="217"/>
      <c r="G589" s="217"/>
      <c r="H589" s="220"/>
      <c r="I589" s="217"/>
      <c r="J589" s="217"/>
      <c r="K589" s="217"/>
      <c r="L589" s="217"/>
      <c r="M589" s="217"/>
      <c r="N589" s="217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BA589" s="5"/>
      <c r="BB589" s="5"/>
      <c r="BC589" s="5"/>
      <c r="BD589" s="5"/>
      <c r="BE589" s="63"/>
      <c r="BF589" s="63"/>
      <c r="BG589" s="63"/>
      <c r="CA589" s="256"/>
      <c r="CB589" s="261"/>
      <c r="CC589" s="261"/>
      <c r="CD589" s="261"/>
      <c r="CE589" s="261"/>
      <c r="CF589" s="261"/>
      <c r="CG589" s="53"/>
      <c r="CH589" s="53"/>
      <c r="CI589" s="53"/>
      <c r="CJ589" s="53"/>
      <c r="CK589" s="53"/>
      <c r="CL589" s="53"/>
      <c r="CN589" s="53"/>
      <c r="CO589" s="53"/>
      <c r="CP589" s="53"/>
      <c r="CQ589" s="53"/>
      <c r="CR589" s="53"/>
      <c r="CS589" s="53"/>
      <c r="CT589" s="261"/>
      <c r="CU589" s="261"/>
      <c r="CV589" s="255"/>
      <c r="CW589" s="255"/>
      <c r="CX589" s="255"/>
      <c r="CY589" s="255"/>
    </row>
    <row r="590" spans="1:103" ht="10.25" customHeight="1">
      <c r="A590" s="216"/>
      <c r="B590" s="217"/>
      <c r="C590" s="218"/>
      <c r="D590" s="219"/>
      <c r="E590" s="217"/>
      <c r="F590" s="217"/>
      <c r="G590" s="217"/>
      <c r="H590" s="220"/>
      <c r="I590" s="217"/>
      <c r="J590" s="217"/>
      <c r="K590" s="217"/>
      <c r="L590" s="217"/>
      <c r="M590" s="217"/>
      <c r="N590" s="217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  <c r="AQ590" s="44"/>
      <c r="BA590" s="5"/>
      <c r="BB590" s="5"/>
      <c r="BC590" s="5"/>
      <c r="BD590" s="5"/>
      <c r="BE590" s="63"/>
      <c r="BF590" s="63"/>
      <c r="BG590" s="63"/>
      <c r="CA590" s="256"/>
      <c r="CB590" s="261"/>
      <c r="CC590" s="261"/>
      <c r="CD590" s="261"/>
      <c r="CE590" s="261"/>
      <c r="CF590" s="261"/>
      <c r="CG590" s="53"/>
      <c r="CH590" s="53"/>
      <c r="CI590" s="53"/>
      <c r="CJ590" s="53"/>
      <c r="CK590" s="53"/>
      <c r="CL590" s="53"/>
      <c r="CN590" s="53"/>
      <c r="CO590" s="53"/>
      <c r="CP590" s="53"/>
      <c r="CQ590" s="53"/>
      <c r="CR590" s="53"/>
      <c r="CS590" s="53"/>
      <c r="CT590" s="261"/>
      <c r="CU590" s="261"/>
      <c r="CV590" s="261"/>
      <c r="CW590" s="255"/>
      <c r="CX590" s="261"/>
      <c r="CY590" s="255"/>
    </row>
    <row r="591" spans="1:103" ht="10.25" customHeight="1">
      <c r="A591" s="216"/>
      <c r="B591" s="217"/>
      <c r="C591" s="218"/>
      <c r="D591" s="219"/>
      <c r="E591" s="217"/>
      <c r="F591" s="217"/>
      <c r="G591" s="217"/>
      <c r="H591" s="220"/>
      <c r="I591" s="217"/>
      <c r="J591" s="217"/>
      <c r="K591" s="217"/>
      <c r="L591" s="217"/>
      <c r="M591" s="217"/>
      <c r="N591" s="217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BA591" s="5"/>
      <c r="BB591" s="5"/>
      <c r="BC591" s="5"/>
      <c r="BD591" s="5"/>
      <c r="BE591" s="63"/>
      <c r="BF591" s="63"/>
      <c r="BG591" s="63"/>
      <c r="CA591" s="256"/>
      <c r="CB591" s="261"/>
      <c r="CC591" s="261"/>
      <c r="CD591" s="261"/>
      <c r="CE591" s="261"/>
      <c r="CF591" s="261"/>
      <c r="CG591" s="53"/>
      <c r="CH591" s="53"/>
      <c r="CI591" s="53"/>
      <c r="CJ591" s="53"/>
      <c r="CK591" s="53"/>
      <c r="CL591" s="53"/>
      <c r="CN591" s="53"/>
      <c r="CO591" s="53"/>
      <c r="CP591" s="53"/>
      <c r="CQ591" s="53"/>
      <c r="CR591" s="53"/>
      <c r="CS591" s="53"/>
      <c r="CT591" s="261"/>
      <c r="CU591" s="261"/>
      <c r="CV591" s="255"/>
      <c r="CW591" s="255"/>
      <c r="CX591" s="261"/>
      <c r="CY591" s="255"/>
    </row>
    <row r="592" spans="1:103" ht="10.25" customHeight="1">
      <c r="A592" s="216"/>
      <c r="B592" s="217"/>
      <c r="C592" s="218"/>
      <c r="D592" s="219"/>
      <c r="E592" s="217"/>
      <c r="F592" s="217"/>
      <c r="G592" s="217"/>
      <c r="H592" s="220"/>
      <c r="I592" s="217"/>
      <c r="J592" s="217"/>
      <c r="K592" s="217"/>
      <c r="L592" s="217"/>
      <c r="M592" s="217"/>
      <c r="N592" s="217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  <c r="AP592" s="44"/>
      <c r="AQ592" s="44"/>
      <c r="BA592" s="5"/>
      <c r="BB592" s="5"/>
      <c r="BC592" s="5"/>
      <c r="BD592" s="5"/>
      <c r="BE592" s="63"/>
      <c r="BF592" s="63"/>
      <c r="BG592" s="63"/>
      <c r="CA592" s="256"/>
      <c r="CB592" s="261"/>
      <c r="CC592" s="261"/>
      <c r="CD592" s="261"/>
      <c r="CE592" s="261"/>
      <c r="CF592" s="261"/>
      <c r="CG592" s="53"/>
      <c r="CH592" s="53"/>
      <c r="CI592" s="53"/>
      <c r="CJ592" s="53"/>
      <c r="CK592" s="53"/>
      <c r="CL592" s="53"/>
      <c r="CN592" s="53"/>
      <c r="CO592" s="53"/>
      <c r="CP592" s="53"/>
      <c r="CQ592" s="53"/>
      <c r="CR592" s="53"/>
      <c r="CS592" s="53"/>
      <c r="CT592" s="261"/>
      <c r="CU592" s="261"/>
      <c r="CV592" s="261"/>
      <c r="CW592" s="261"/>
      <c r="CX592" s="261"/>
      <c r="CY592" s="255"/>
    </row>
    <row r="593" spans="1:103" ht="10.25" customHeight="1">
      <c r="A593" s="216"/>
      <c r="B593" s="217"/>
      <c r="C593" s="218"/>
      <c r="D593" s="219"/>
      <c r="E593" s="217"/>
      <c r="F593" s="217"/>
      <c r="G593" s="217"/>
      <c r="H593" s="220"/>
      <c r="I593" s="217"/>
      <c r="J593" s="217"/>
      <c r="K593" s="217"/>
      <c r="L593" s="217"/>
      <c r="M593" s="217"/>
      <c r="N593" s="217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4"/>
      <c r="AQ593" s="44"/>
      <c r="BA593" s="5"/>
      <c r="BB593" s="5"/>
      <c r="BC593" s="5"/>
      <c r="BD593" s="5"/>
      <c r="BE593" s="63"/>
      <c r="BF593" s="63"/>
      <c r="BG593" s="63"/>
      <c r="CA593" s="256"/>
      <c r="CB593" s="261"/>
      <c r="CC593" s="261"/>
      <c r="CD593" s="261"/>
      <c r="CE593" s="261"/>
      <c r="CF593" s="261"/>
      <c r="CG593" s="53"/>
      <c r="CH593" s="53"/>
      <c r="CI593" s="53"/>
      <c r="CJ593" s="53"/>
      <c r="CK593" s="53"/>
      <c r="CL593" s="53"/>
      <c r="CN593" s="53"/>
      <c r="CO593" s="53"/>
      <c r="CP593" s="53"/>
      <c r="CQ593" s="53"/>
      <c r="CR593" s="53"/>
      <c r="CS593" s="53"/>
      <c r="CT593" s="261"/>
      <c r="CU593" s="261"/>
      <c r="CV593" s="255"/>
      <c r="CW593" s="255"/>
      <c r="CX593" s="261"/>
      <c r="CY593" s="255"/>
    </row>
    <row r="594" spans="1:103" ht="10.25" customHeight="1">
      <c r="A594" s="216"/>
      <c r="B594" s="217"/>
      <c r="C594" s="218"/>
      <c r="D594" s="219"/>
      <c r="E594" s="217"/>
      <c r="F594" s="217"/>
      <c r="G594" s="217"/>
      <c r="H594" s="220"/>
      <c r="I594" s="217"/>
      <c r="J594" s="217"/>
      <c r="K594" s="217"/>
      <c r="L594" s="217"/>
      <c r="M594" s="217"/>
      <c r="N594" s="217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  <c r="AQ594" s="44"/>
      <c r="BA594" s="5"/>
      <c r="BB594" s="5"/>
      <c r="BC594" s="5"/>
      <c r="BD594" s="5"/>
      <c r="BE594" s="63"/>
      <c r="BF594" s="63"/>
      <c r="BG594" s="63"/>
      <c r="CA594" s="256"/>
      <c r="CB594" s="261"/>
      <c r="CC594" s="261"/>
      <c r="CD594" s="261"/>
      <c r="CE594" s="261"/>
      <c r="CF594" s="255"/>
      <c r="CG594" s="53"/>
      <c r="CH594" s="53"/>
      <c r="CI594" s="53"/>
      <c r="CJ594" s="53"/>
      <c r="CK594" s="53"/>
      <c r="CL594" s="53"/>
      <c r="CN594" s="53"/>
      <c r="CO594" s="53"/>
      <c r="CP594" s="53"/>
      <c r="CQ594" s="53"/>
      <c r="CR594" s="53"/>
      <c r="CS594" s="53"/>
      <c r="CT594" s="261"/>
      <c r="CU594" s="255"/>
      <c r="CV594" s="261"/>
      <c r="CW594" s="261"/>
      <c r="CX594" s="261"/>
      <c r="CY594" s="255"/>
    </row>
    <row r="595" spans="1:103" ht="10.25" customHeight="1">
      <c r="A595" s="216"/>
      <c r="B595" s="217"/>
      <c r="C595" s="218"/>
      <c r="D595" s="219"/>
      <c r="E595" s="217"/>
      <c r="F595" s="217"/>
      <c r="G595" s="217"/>
      <c r="H595" s="220"/>
      <c r="I595" s="217"/>
      <c r="J595" s="217"/>
      <c r="K595" s="217"/>
      <c r="L595" s="217"/>
      <c r="M595" s="217"/>
      <c r="N595" s="217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4"/>
      <c r="AQ595" s="44"/>
      <c r="BA595" s="5"/>
      <c r="BB595" s="5"/>
      <c r="BC595" s="5"/>
      <c r="BD595" s="5"/>
      <c r="BE595" s="63"/>
      <c r="BF595" s="63"/>
      <c r="BG595" s="63"/>
      <c r="CA595" s="256"/>
      <c r="CB595" s="261"/>
      <c r="CC595" s="261"/>
      <c r="CD595" s="261"/>
      <c r="CE595" s="261"/>
      <c r="CF595" s="255"/>
      <c r="CG595" s="53"/>
      <c r="CH595" s="53"/>
      <c r="CI595" s="53"/>
      <c r="CJ595" s="53"/>
      <c r="CK595" s="53"/>
      <c r="CL595" s="53"/>
      <c r="CN595" s="53"/>
      <c r="CO595" s="53"/>
      <c r="CP595" s="53"/>
      <c r="CQ595" s="53"/>
      <c r="CR595" s="53"/>
      <c r="CS595" s="53"/>
      <c r="CT595" s="261"/>
      <c r="CU595" s="255"/>
      <c r="CV595" s="255"/>
      <c r="CW595" s="255"/>
      <c r="CX595" s="261"/>
      <c r="CY595" s="255"/>
    </row>
    <row r="596" spans="1:103" ht="10.25" customHeight="1">
      <c r="A596" s="216"/>
      <c r="B596" s="217"/>
      <c r="C596" s="218"/>
      <c r="D596" s="219"/>
      <c r="E596" s="217"/>
      <c r="F596" s="217"/>
      <c r="G596" s="217"/>
      <c r="H596" s="220"/>
      <c r="I596" s="217"/>
      <c r="J596" s="217"/>
      <c r="K596" s="217"/>
      <c r="L596" s="217"/>
      <c r="M596" s="217"/>
      <c r="N596" s="217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4"/>
      <c r="AQ596" s="44"/>
      <c r="BA596" s="5"/>
      <c r="BB596" s="5"/>
      <c r="BC596" s="5"/>
      <c r="BD596" s="5"/>
      <c r="BE596" s="63"/>
      <c r="BF596" s="63"/>
      <c r="BG596" s="63"/>
      <c r="CA596" s="256"/>
      <c r="CB596" s="261"/>
      <c r="CC596" s="261"/>
      <c r="CD596" s="261"/>
      <c r="CE596" s="255"/>
      <c r="CF596" s="261"/>
      <c r="CG596" s="53"/>
      <c r="CH596" s="53"/>
      <c r="CI596" s="53"/>
      <c r="CJ596" s="53"/>
      <c r="CK596" s="53"/>
      <c r="CL596" s="53"/>
      <c r="CN596" s="53"/>
      <c r="CO596" s="53"/>
      <c r="CP596" s="53"/>
      <c r="CQ596" s="53"/>
      <c r="CR596" s="53"/>
      <c r="CS596" s="53"/>
      <c r="CT596" s="255"/>
      <c r="CU596" s="261"/>
      <c r="CV596" s="261"/>
      <c r="CW596" s="261"/>
      <c r="CX596" s="261"/>
      <c r="CY596" s="255"/>
    </row>
    <row r="597" spans="1:103" ht="10.25" customHeight="1">
      <c r="A597" s="216"/>
      <c r="B597" s="217"/>
      <c r="C597" s="218"/>
      <c r="D597" s="219"/>
      <c r="E597" s="217"/>
      <c r="F597" s="217"/>
      <c r="G597" s="217"/>
      <c r="H597" s="220"/>
      <c r="I597" s="217"/>
      <c r="J597" s="217"/>
      <c r="K597" s="217"/>
      <c r="L597" s="217"/>
      <c r="M597" s="217"/>
      <c r="N597" s="217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  <c r="AQ597" s="44"/>
      <c r="BA597" s="5"/>
      <c r="BB597" s="5"/>
      <c r="BC597" s="5"/>
      <c r="BD597" s="5"/>
      <c r="BE597" s="63"/>
      <c r="BF597" s="63"/>
      <c r="BG597" s="63"/>
      <c r="CA597" s="256"/>
      <c r="CB597" s="261"/>
      <c r="CC597" s="261"/>
      <c r="CD597" s="261"/>
      <c r="CE597" s="255"/>
      <c r="CF597" s="261"/>
      <c r="CG597" s="53"/>
      <c r="CH597" s="53"/>
      <c r="CI597" s="53"/>
      <c r="CJ597" s="53"/>
      <c r="CK597" s="53"/>
      <c r="CL597" s="53"/>
      <c r="CN597" s="53"/>
      <c r="CO597" s="53"/>
      <c r="CP597" s="53"/>
      <c r="CQ597" s="53"/>
      <c r="CR597" s="53"/>
      <c r="CS597" s="53"/>
      <c r="CT597" s="255"/>
      <c r="CU597" s="261"/>
      <c r="CV597" s="255"/>
      <c r="CW597" s="255"/>
      <c r="CX597" s="261"/>
      <c r="CY597" s="255"/>
    </row>
    <row r="598" spans="1:103" ht="10.25" customHeight="1">
      <c r="A598" s="216"/>
      <c r="B598" s="217"/>
      <c r="C598" s="218"/>
      <c r="D598" s="219"/>
      <c r="E598" s="217"/>
      <c r="F598" s="217"/>
      <c r="G598" s="217"/>
      <c r="H598" s="220"/>
      <c r="I598" s="217"/>
      <c r="J598" s="217"/>
      <c r="K598" s="217"/>
      <c r="L598" s="217"/>
      <c r="M598" s="217"/>
      <c r="N598" s="217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  <c r="AP598" s="44"/>
      <c r="AQ598" s="44"/>
      <c r="BA598" s="5"/>
      <c r="BB598" s="5"/>
      <c r="BC598" s="5"/>
      <c r="BD598" s="5"/>
      <c r="BE598" s="63"/>
      <c r="BF598" s="63"/>
      <c r="BG598" s="63"/>
      <c r="CA598" s="256"/>
      <c r="CB598" s="261"/>
      <c r="CC598" s="261"/>
      <c r="CD598" s="261"/>
      <c r="CE598" s="261"/>
      <c r="CF598" s="261"/>
      <c r="CG598" s="53"/>
      <c r="CH598" s="53"/>
      <c r="CI598" s="53"/>
      <c r="CJ598" s="53"/>
      <c r="CK598" s="53"/>
      <c r="CL598" s="53"/>
      <c r="CN598" s="53"/>
      <c r="CO598" s="53"/>
      <c r="CP598" s="53"/>
      <c r="CQ598" s="53"/>
      <c r="CR598" s="53"/>
      <c r="CS598" s="53"/>
      <c r="CT598" s="261"/>
      <c r="CU598" s="261"/>
      <c r="CV598" s="261"/>
      <c r="CW598" s="261"/>
      <c r="CX598" s="255"/>
      <c r="CY598" s="255"/>
    </row>
    <row r="599" spans="1:103" ht="10.25" customHeight="1">
      <c r="A599" s="216"/>
      <c r="B599" s="217"/>
      <c r="C599" s="218"/>
      <c r="D599" s="219"/>
      <c r="E599" s="217"/>
      <c r="F599" s="217"/>
      <c r="G599" s="217"/>
      <c r="H599" s="220"/>
      <c r="I599" s="217"/>
      <c r="J599" s="217"/>
      <c r="K599" s="217"/>
      <c r="L599" s="217"/>
      <c r="M599" s="217"/>
      <c r="N599" s="217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4"/>
      <c r="AQ599" s="44"/>
      <c r="BA599" s="5"/>
      <c r="BB599" s="5"/>
      <c r="BC599" s="5"/>
      <c r="BD599" s="5"/>
      <c r="BE599" s="63"/>
      <c r="BF599" s="63"/>
      <c r="BG599" s="63"/>
      <c r="CA599" s="256"/>
      <c r="CB599" s="261"/>
      <c r="CC599" s="261"/>
      <c r="CD599" s="261"/>
      <c r="CE599" s="261"/>
      <c r="CF599" s="261"/>
      <c r="CG599" s="53"/>
      <c r="CH599" s="53"/>
      <c r="CI599" s="53"/>
      <c r="CJ599" s="53"/>
      <c r="CK599" s="53"/>
      <c r="CL599" s="53"/>
      <c r="CN599" s="53"/>
      <c r="CO599" s="53"/>
      <c r="CP599" s="53"/>
      <c r="CQ599" s="53"/>
      <c r="CR599" s="53"/>
      <c r="CS599" s="53"/>
      <c r="CT599" s="261"/>
      <c r="CU599" s="261"/>
      <c r="CV599" s="255"/>
      <c r="CW599" s="255"/>
      <c r="CX599" s="261"/>
      <c r="CY599" s="255"/>
    </row>
    <row r="600" spans="1:103" ht="10.25" customHeight="1">
      <c r="A600" s="216"/>
      <c r="B600" s="217"/>
      <c r="C600" s="218"/>
      <c r="D600" s="219"/>
      <c r="E600" s="217"/>
      <c r="F600" s="217"/>
      <c r="G600" s="217"/>
      <c r="H600" s="220"/>
      <c r="I600" s="217"/>
      <c r="J600" s="217"/>
      <c r="K600" s="217"/>
      <c r="L600" s="217"/>
      <c r="M600" s="217"/>
      <c r="N600" s="217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BA600" s="5"/>
      <c r="BB600" s="5"/>
      <c r="BC600" s="5"/>
      <c r="BD600" s="5"/>
      <c r="BE600" s="63"/>
      <c r="BF600" s="63"/>
      <c r="BG600" s="63"/>
      <c r="CA600" s="256"/>
      <c r="CB600" s="261"/>
      <c r="CC600" s="261"/>
      <c r="CD600" s="261"/>
      <c r="CE600" s="261"/>
      <c r="CF600" s="261"/>
      <c r="CG600" s="53"/>
      <c r="CH600" s="53"/>
      <c r="CI600" s="53"/>
      <c r="CJ600" s="53"/>
      <c r="CK600" s="53"/>
      <c r="CL600" s="53"/>
      <c r="CN600" s="53"/>
      <c r="CO600" s="53"/>
      <c r="CP600" s="53"/>
      <c r="CQ600" s="53"/>
      <c r="CR600" s="53"/>
      <c r="CS600" s="53"/>
      <c r="CT600" s="261"/>
      <c r="CU600" s="261"/>
      <c r="CV600" s="261"/>
      <c r="CW600" s="255"/>
      <c r="CX600" s="261"/>
      <c r="CY600" s="255"/>
    </row>
    <row r="601" spans="1:103" ht="10.25" customHeight="1">
      <c r="A601" s="216"/>
      <c r="B601" s="217"/>
      <c r="C601" s="218"/>
      <c r="D601" s="219"/>
      <c r="E601" s="217"/>
      <c r="F601" s="217"/>
      <c r="G601" s="217"/>
      <c r="H601" s="220"/>
      <c r="I601" s="217"/>
      <c r="J601" s="217"/>
      <c r="K601" s="217"/>
      <c r="L601" s="217"/>
      <c r="M601" s="217"/>
      <c r="N601" s="217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4"/>
      <c r="AQ601" s="44"/>
      <c r="BA601" s="5"/>
      <c r="BB601" s="5"/>
      <c r="BC601" s="5"/>
      <c r="BD601" s="5"/>
      <c r="BE601" s="63"/>
      <c r="BF601" s="63"/>
      <c r="BG601" s="63"/>
      <c r="CA601" s="256"/>
      <c r="CB601" s="261"/>
      <c r="CC601" s="261"/>
      <c r="CD601" s="261"/>
      <c r="CE601" s="261"/>
      <c r="CF601" s="261"/>
      <c r="CG601" s="53"/>
      <c r="CH601" s="53"/>
      <c r="CI601" s="53"/>
      <c r="CJ601" s="53"/>
      <c r="CK601" s="53"/>
      <c r="CL601" s="53"/>
      <c r="CN601" s="53"/>
      <c r="CO601" s="53"/>
      <c r="CP601" s="53"/>
      <c r="CQ601" s="53"/>
      <c r="CR601" s="53"/>
      <c r="CS601" s="53"/>
      <c r="CT601" s="261"/>
      <c r="CU601" s="261"/>
      <c r="CV601" s="255"/>
      <c r="CW601" s="255"/>
      <c r="CX601" s="261"/>
      <c r="CY601" s="255"/>
    </row>
    <row r="602" spans="1:103" ht="10.25" customHeight="1">
      <c r="A602" s="216"/>
      <c r="B602" s="217"/>
      <c r="C602" s="218"/>
      <c r="D602" s="219"/>
      <c r="E602" s="217"/>
      <c r="F602" s="217"/>
      <c r="G602" s="217"/>
      <c r="H602" s="220"/>
      <c r="I602" s="217"/>
      <c r="J602" s="217"/>
      <c r="K602" s="217"/>
      <c r="L602" s="217"/>
      <c r="M602" s="217"/>
      <c r="N602" s="217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4"/>
      <c r="AQ602" s="44"/>
      <c r="BA602" s="5"/>
      <c r="BB602" s="5"/>
      <c r="BC602" s="5"/>
      <c r="BD602" s="5"/>
      <c r="BE602" s="63"/>
      <c r="BF602" s="63"/>
      <c r="BG602" s="63"/>
      <c r="CA602" s="256"/>
      <c r="CB602" s="261"/>
      <c r="CC602" s="261"/>
      <c r="CD602" s="261"/>
      <c r="CE602" s="261"/>
      <c r="CF602" s="261"/>
      <c r="CG602" s="53"/>
      <c r="CH602" s="53"/>
      <c r="CI602" s="53"/>
      <c r="CJ602" s="53"/>
      <c r="CK602" s="53"/>
      <c r="CL602" s="53"/>
      <c r="CN602" s="53"/>
      <c r="CO602" s="53"/>
      <c r="CP602" s="53"/>
      <c r="CQ602" s="53"/>
      <c r="CR602" s="53"/>
      <c r="CS602" s="53"/>
      <c r="CT602" s="261"/>
      <c r="CU602" s="261"/>
      <c r="CV602" s="261"/>
      <c r="CW602" s="261"/>
      <c r="CX602" s="261"/>
      <c r="CY602" s="255"/>
    </row>
    <row r="603" spans="1:103" ht="10.25" customHeight="1">
      <c r="A603" s="216"/>
      <c r="B603" s="217"/>
      <c r="C603" s="218"/>
      <c r="D603" s="219"/>
      <c r="E603" s="217"/>
      <c r="F603" s="217"/>
      <c r="G603" s="217"/>
      <c r="H603" s="220"/>
      <c r="I603" s="217"/>
      <c r="J603" s="217"/>
      <c r="K603" s="217"/>
      <c r="L603" s="217"/>
      <c r="M603" s="217"/>
      <c r="N603" s="217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  <c r="AQ603" s="44"/>
      <c r="BA603" s="5"/>
      <c r="BB603" s="5"/>
      <c r="BC603" s="5"/>
      <c r="BD603" s="5"/>
      <c r="BE603" s="63"/>
      <c r="BF603" s="63"/>
      <c r="BG603" s="63"/>
      <c r="CA603" s="256"/>
      <c r="CB603" s="261"/>
      <c r="CC603" s="261"/>
      <c r="CD603" s="255"/>
      <c r="CE603" s="261"/>
      <c r="CF603" s="261"/>
      <c r="CG603" s="53"/>
      <c r="CH603" s="53"/>
      <c r="CI603" s="53"/>
      <c r="CJ603" s="53"/>
      <c r="CK603" s="53"/>
      <c r="CL603" s="53"/>
      <c r="CN603" s="53"/>
      <c r="CO603" s="53"/>
      <c r="CP603" s="53"/>
      <c r="CQ603" s="53"/>
      <c r="CR603" s="53"/>
      <c r="CS603" s="53"/>
      <c r="CT603" s="261"/>
      <c r="CU603" s="261"/>
      <c r="CV603" s="261"/>
      <c r="CW603" s="261"/>
      <c r="CX603" s="261"/>
      <c r="CY603" s="255"/>
    </row>
    <row r="604" spans="1:103" ht="10.25" customHeight="1">
      <c r="A604" s="216"/>
      <c r="B604" s="217"/>
      <c r="C604" s="218"/>
      <c r="D604" s="219"/>
      <c r="E604" s="217"/>
      <c r="F604" s="217"/>
      <c r="G604" s="217"/>
      <c r="H604" s="220"/>
      <c r="I604" s="217"/>
      <c r="J604" s="217"/>
      <c r="K604" s="217"/>
      <c r="L604" s="217"/>
      <c r="M604" s="217"/>
      <c r="N604" s="217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  <c r="AQ604" s="44"/>
      <c r="BA604" s="5"/>
      <c r="BB604" s="5"/>
      <c r="BC604" s="5"/>
      <c r="BD604" s="5"/>
      <c r="BE604" s="63"/>
      <c r="BF604" s="63"/>
      <c r="BG604" s="63"/>
      <c r="CA604" s="256"/>
      <c r="CB604" s="261"/>
      <c r="CC604" s="261"/>
      <c r="CD604" s="255"/>
      <c r="CE604" s="261"/>
      <c r="CF604" s="261"/>
      <c r="CG604" s="53"/>
      <c r="CH604" s="53"/>
      <c r="CI604" s="53"/>
      <c r="CJ604" s="53"/>
      <c r="CK604" s="53"/>
      <c r="CL604" s="53"/>
      <c r="CN604" s="53"/>
      <c r="CO604" s="53"/>
      <c r="CP604" s="53"/>
      <c r="CQ604" s="53"/>
      <c r="CR604" s="53"/>
      <c r="CS604" s="53"/>
      <c r="CT604" s="261"/>
      <c r="CU604" s="261"/>
      <c r="CV604" s="261"/>
      <c r="CW604" s="261"/>
      <c r="CX604" s="261"/>
      <c r="CY604" s="255"/>
    </row>
    <row r="605" spans="1:103" ht="10.25" customHeight="1">
      <c r="A605" s="216"/>
      <c r="B605" s="217"/>
      <c r="C605" s="218"/>
      <c r="D605" s="219"/>
      <c r="E605" s="217"/>
      <c r="F605" s="217"/>
      <c r="G605" s="217"/>
      <c r="H605" s="220"/>
      <c r="I605" s="217"/>
      <c r="J605" s="217"/>
      <c r="K605" s="217"/>
      <c r="L605" s="217"/>
      <c r="M605" s="217"/>
      <c r="N605" s="217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4"/>
      <c r="AQ605" s="44"/>
      <c r="BA605" s="5"/>
      <c r="BB605" s="5"/>
      <c r="BC605" s="5"/>
      <c r="BD605" s="5"/>
      <c r="BE605" s="63"/>
      <c r="BF605" s="63"/>
      <c r="BG605" s="63"/>
      <c r="CA605" s="256"/>
      <c r="CB605" s="261"/>
      <c r="CC605" s="261"/>
      <c r="CD605" s="255"/>
      <c r="CE605" s="261"/>
      <c r="CF605" s="261"/>
      <c r="CG605" s="53"/>
      <c r="CH605" s="53"/>
      <c r="CI605" s="53"/>
      <c r="CJ605" s="53"/>
      <c r="CK605" s="53"/>
      <c r="CL605" s="53"/>
      <c r="CN605" s="53"/>
      <c r="CO605" s="53"/>
      <c r="CP605" s="53"/>
      <c r="CQ605" s="53"/>
      <c r="CR605" s="53"/>
      <c r="CS605" s="53"/>
      <c r="CT605" s="261"/>
      <c r="CU605" s="261"/>
      <c r="CV605" s="261"/>
      <c r="CW605" s="261"/>
      <c r="CX605" s="261"/>
      <c r="CY605" s="255"/>
    </row>
    <row r="606" spans="1:103" ht="10.25" customHeight="1">
      <c r="A606" s="216"/>
      <c r="B606" s="217"/>
      <c r="C606" s="218"/>
      <c r="D606" s="219"/>
      <c r="E606" s="217"/>
      <c r="F606" s="217"/>
      <c r="G606" s="217"/>
      <c r="H606" s="220"/>
      <c r="I606" s="217"/>
      <c r="J606" s="217"/>
      <c r="K606" s="217"/>
      <c r="L606" s="217"/>
      <c r="M606" s="217"/>
      <c r="N606" s="217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BA606" s="5"/>
      <c r="BB606" s="5"/>
      <c r="BC606" s="5"/>
      <c r="BD606" s="5"/>
      <c r="BE606" s="63"/>
      <c r="BF606" s="63"/>
      <c r="BG606" s="63"/>
      <c r="CA606" s="256"/>
      <c r="CB606" s="261"/>
      <c r="CC606" s="255"/>
      <c r="CD606" s="261"/>
      <c r="CE606" s="261"/>
      <c r="CF606" s="261"/>
      <c r="CG606" s="53"/>
      <c r="CH606" s="53"/>
      <c r="CI606" s="53"/>
      <c r="CJ606" s="53"/>
      <c r="CK606" s="53"/>
      <c r="CL606" s="53"/>
      <c r="CN606" s="53"/>
      <c r="CO606" s="53"/>
      <c r="CP606" s="53"/>
      <c r="CQ606" s="53"/>
      <c r="CR606" s="53"/>
      <c r="CS606" s="53"/>
      <c r="CT606" s="261"/>
      <c r="CU606" s="261"/>
      <c r="CV606" s="261"/>
      <c r="CW606" s="261"/>
      <c r="CX606" s="261"/>
      <c r="CY606" s="255"/>
    </row>
    <row r="607" spans="1:103" ht="10.25" customHeight="1">
      <c r="A607" s="216"/>
      <c r="B607" s="217"/>
      <c r="C607" s="218"/>
      <c r="D607" s="219"/>
      <c r="E607" s="217"/>
      <c r="F607" s="217"/>
      <c r="G607" s="217"/>
      <c r="H607" s="220"/>
      <c r="I607" s="217"/>
      <c r="J607" s="217"/>
      <c r="K607" s="217"/>
      <c r="L607" s="217"/>
      <c r="M607" s="217"/>
      <c r="N607" s="217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BA607" s="5"/>
      <c r="BB607" s="5"/>
      <c r="BC607" s="5"/>
      <c r="BD607" s="5"/>
      <c r="BE607" s="63"/>
      <c r="BF607" s="63"/>
      <c r="BG607" s="63"/>
      <c r="CA607" s="256"/>
      <c r="CB607" s="261"/>
      <c r="CC607" s="255"/>
      <c r="CD607" s="261"/>
      <c r="CE607" s="261"/>
      <c r="CF607" s="261"/>
      <c r="CG607" s="53"/>
      <c r="CH607" s="53"/>
      <c r="CI607" s="53"/>
      <c r="CJ607" s="53"/>
      <c r="CK607" s="53"/>
      <c r="CL607" s="53"/>
      <c r="CN607" s="53"/>
      <c r="CO607" s="53"/>
      <c r="CP607" s="53"/>
      <c r="CQ607" s="53"/>
      <c r="CR607" s="53"/>
      <c r="CS607" s="53"/>
      <c r="CT607" s="261"/>
      <c r="CU607" s="261"/>
      <c r="CV607" s="261"/>
      <c r="CW607" s="261"/>
      <c r="CX607" s="261"/>
      <c r="CY607" s="255"/>
    </row>
    <row r="608" spans="1:103" ht="10.25" customHeight="1">
      <c r="A608" s="371"/>
      <c r="B608" s="371"/>
      <c r="C608" s="371"/>
      <c r="D608" s="269"/>
      <c r="L608" s="269"/>
      <c r="M608" s="269"/>
      <c r="N608" s="269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  <c r="AN608" s="63"/>
      <c r="AO608" s="63"/>
      <c r="AP608" s="63"/>
      <c r="AQ608" s="63"/>
      <c r="CA608" s="256"/>
      <c r="CB608" s="261"/>
      <c r="CC608" s="255"/>
      <c r="CD608" s="261"/>
      <c r="CE608" s="261"/>
      <c r="CF608" s="261"/>
      <c r="CG608" s="261"/>
      <c r="CH608" s="261"/>
      <c r="CI608" s="261"/>
      <c r="CJ608" s="261"/>
      <c r="CK608" s="261"/>
      <c r="CL608" s="255"/>
      <c r="CN608" s="256"/>
      <c r="CO608" s="256"/>
      <c r="CP608" s="261"/>
      <c r="CQ608" s="261"/>
      <c r="CR608" s="255"/>
      <c r="CS608" s="261"/>
      <c r="CT608" s="261"/>
      <c r="CU608" s="261"/>
      <c r="CV608" s="261"/>
      <c r="CW608" s="261"/>
      <c r="CX608" s="261"/>
      <c r="CY608" s="255"/>
    </row>
    <row r="609" spans="1:103" ht="12.65" customHeight="1">
      <c r="A609" s="270"/>
      <c r="C609" s="271"/>
      <c r="D609" s="372"/>
      <c r="E609" s="372"/>
      <c r="F609" s="272"/>
      <c r="G609" s="272"/>
      <c r="H609" s="273"/>
      <c r="L609" s="269"/>
      <c r="M609" s="269"/>
      <c r="N609" s="269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  <c r="AN609" s="63"/>
      <c r="AO609" s="63"/>
      <c r="AP609" s="63"/>
      <c r="AQ609" s="63"/>
      <c r="CA609" s="256"/>
      <c r="CB609" s="261"/>
      <c r="CC609" s="255"/>
      <c r="CD609" s="261"/>
      <c r="CE609" s="261"/>
      <c r="CF609" s="261"/>
      <c r="CG609" s="261"/>
      <c r="CH609" s="261"/>
      <c r="CI609" s="261"/>
      <c r="CJ609" s="261"/>
      <c r="CK609" s="255"/>
      <c r="CL609" s="255"/>
      <c r="CN609" s="256"/>
      <c r="CO609" s="256"/>
      <c r="CP609" s="261"/>
      <c r="CQ609" s="261"/>
      <c r="CR609" s="255"/>
      <c r="CS609" s="261"/>
      <c r="CT609" s="261"/>
      <c r="CU609" s="261"/>
      <c r="CV609" s="261"/>
      <c r="CW609" s="261"/>
      <c r="CX609" s="255"/>
      <c r="CY609" s="255"/>
    </row>
    <row r="610" spans="1:103" ht="10.25" customHeight="1">
      <c r="A610" s="270"/>
      <c r="D610" s="372"/>
      <c r="E610" s="372"/>
      <c r="F610" s="272"/>
      <c r="G610" s="272"/>
      <c r="H610" s="273"/>
      <c r="L610" s="269"/>
      <c r="M610" s="269"/>
      <c r="N610" s="269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  <c r="AL610" s="63"/>
      <c r="AM610" s="63"/>
      <c r="AN610" s="63"/>
      <c r="AO610" s="63"/>
      <c r="AP610" s="63"/>
      <c r="AQ610" s="63"/>
      <c r="CA610" s="256"/>
      <c r="CB610" s="261"/>
      <c r="CC610" s="255"/>
      <c r="CD610" s="261"/>
      <c r="CE610" s="261"/>
      <c r="CF610" s="261"/>
      <c r="CG610" s="261"/>
      <c r="CH610" s="261"/>
      <c r="CI610" s="261"/>
      <c r="CJ610" s="261"/>
      <c r="CK610" s="261"/>
      <c r="CL610" s="255"/>
      <c r="CN610" s="256"/>
      <c r="CO610" s="256"/>
      <c r="CP610" s="261"/>
      <c r="CQ610" s="261"/>
      <c r="CR610" s="255"/>
      <c r="CS610" s="261"/>
      <c r="CT610" s="261"/>
      <c r="CU610" s="261"/>
      <c r="CV610" s="261"/>
      <c r="CW610" s="261"/>
      <c r="CX610" s="261"/>
      <c r="CY610" s="255"/>
    </row>
    <row r="611" spans="1:103" ht="10.25" customHeight="1">
      <c r="C611" s="270"/>
      <c r="D611" s="274"/>
      <c r="E611" s="214"/>
      <c r="F611" s="272"/>
      <c r="G611" s="272"/>
      <c r="H611" s="272"/>
      <c r="I611" s="273"/>
      <c r="J611" s="273"/>
      <c r="K611" s="273"/>
      <c r="L611" s="275"/>
      <c r="M611" s="269"/>
      <c r="N611" s="269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  <c r="AN611" s="63"/>
      <c r="AO611" s="63"/>
      <c r="AP611" s="63"/>
      <c r="AQ611" s="63"/>
      <c r="CA611" s="256"/>
      <c r="CB611" s="261"/>
      <c r="CC611" s="255"/>
      <c r="CD611" s="261"/>
      <c r="CE611" s="261"/>
      <c r="CF611" s="261"/>
      <c r="CG611" s="261"/>
      <c r="CH611" s="261"/>
      <c r="CI611" s="261"/>
      <c r="CJ611" s="261"/>
      <c r="CK611" s="261"/>
      <c r="CL611" s="255"/>
      <c r="CN611" s="256"/>
      <c r="CO611" s="256"/>
      <c r="CP611" s="261"/>
      <c r="CQ611" s="261"/>
      <c r="CR611" s="255"/>
      <c r="CS611" s="261"/>
      <c r="CT611" s="261"/>
      <c r="CU611" s="261"/>
      <c r="CV611" s="261"/>
      <c r="CW611" s="261"/>
      <c r="CX611" s="261"/>
      <c r="CY611" s="255"/>
    </row>
    <row r="612" spans="1:103" ht="10.25" customHeight="1">
      <c r="A612" s="270"/>
      <c r="D612" s="372"/>
      <c r="E612" s="372"/>
      <c r="F612" s="272"/>
      <c r="G612" s="272"/>
      <c r="H612" s="272"/>
      <c r="I612" s="273"/>
      <c r="J612" s="273"/>
      <c r="K612" s="273"/>
      <c r="L612" s="275"/>
      <c r="M612" s="269"/>
      <c r="N612" s="269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  <c r="AN612" s="63"/>
      <c r="AO612" s="63"/>
      <c r="AP612" s="63"/>
      <c r="AQ612" s="63"/>
      <c r="CA612" s="256"/>
      <c r="CB612" s="261"/>
      <c r="CC612" s="255"/>
      <c r="CD612" s="261"/>
      <c r="CE612" s="261"/>
      <c r="CF612" s="261"/>
      <c r="CG612" s="261"/>
      <c r="CH612" s="261"/>
      <c r="CI612" s="255"/>
      <c r="CJ612" s="255"/>
      <c r="CK612" s="261"/>
      <c r="CL612" s="255"/>
      <c r="CN612" s="256"/>
      <c r="CO612" s="256"/>
      <c r="CP612" s="261"/>
      <c r="CQ612" s="261"/>
      <c r="CR612" s="255"/>
      <c r="CS612" s="261"/>
      <c r="CT612" s="261"/>
      <c r="CU612" s="261"/>
      <c r="CV612" s="261"/>
      <c r="CW612" s="255"/>
      <c r="CX612" s="261"/>
      <c r="CY612" s="255"/>
    </row>
    <row r="613" spans="1:103" ht="10.25" customHeight="1">
      <c r="A613" s="270"/>
      <c r="D613" s="372"/>
      <c r="E613" s="372"/>
      <c r="F613" s="272"/>
      <c r="G613" s="272"/>
      <c r="H613" s="272"/>
      <c r="I613" s="273"/>
      <c r="J613" s="273"/>
      <c r="K613" s="273"/>
      <c r="L613" s="275"/>
      <c r="M613" s="269"/>
      <c r="N613" s="269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  <c r="AN613" s="63"/>
      <c r="AO613" s="63"/>
      <c r="AP613" s="63"/>
      <c r="AQ613" s="63"/>
      <c r="CA613" s="256"/>
      <c r="CB613" s="261"/>
      <c r="CC613" s="255"/>
      <c r="CD613" s="261"/>
      <c r="CE613" s="261"/>
      <c r="CF613" s="261"/>
      <c r="CG613" s="255"/>
      <c r="CH613" s="255"/>
      <c r="CI613" s="261"/>
      <c r="CJ613" s="261"/>
      <c r="CK613" s="261"/>
      <c r="CL613" s="255"/>
      <c r="CN613" s="256"/>
      <c r="CO613" s="256"/>
      <c r="CP613" s="261"/>
      <c r="CQ613" s="261"/>
      <c r="CR613" s="255"/>
      <c r="CS613" s="261"/>
      <c r="CT613" s="261"/>
      <c r="CU613" s="261"/>
      <c r="CV613" s="255"/>
      <c r="CW613" s="261"/>
      <c r="CX613" s="261"/>
      <c r="CY613" s="255"/>
    </row>
    <row r="614" spans="1:103" ht="10.25" customHeight="1">
      <c r="A614" s="270"/>
      <c r="D614" s="372"/>
      <c r="E614" s="372"/>
      <c r="F614" s="272"/>
      <c r="G614" s="272"/>
      <c r="H614" s="272"/>
      <c r="I614" s="273"/>
      <c r="J614" s="273"/>
      <c r="K614" s="273"/>
      <c r="L614" s="275"/>
      <c r="M614" s="269"/>
      <c r="N614" s="269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  <c r="AN614" s="63"/>
      <c r="AO614" s="63"/>
      <c r="AP614" s="63"/>
      <c r="AQ614" s="63"/>
      <c r="CA614" s="256"/>
      <c r="CB614" s="261"/>
      <c r="CC614" s="255"/>
      <c r="CD614" s="261"/>
      <c r="CE614" s="261"/>
      <c r="CF614" s="261"/>
      <c r="CG614" s="255"/>
      <c r="CH614" s="255"/>
      <c r="CI614" s="261"/>
      <c r="CJ614" s="261"/>
      <c r="CK614" s="261"/>
      <c r="CL614" s="255"/>
      <c r="CN614" s="256"/>
      <c r="CO614" s="256"/>
      <c r="CP614" s="261"/>
      <c r="CQ614" s="261"/>
      <c r="CR614" s="255"/>
      <c r="CS614" s="261"/>
      <c r="CT614" s="261"/>
      <c r="CU614" s="261"/>
      <c r="CV614" s="255"/>
      <c r="CW614" s="261"/>
      <c r="CX614" s="261"/>
      <c r="CY614" s="255"/>
    </row>
    <row r="615" spans="1:103" ht="10.25" customHeight="1">
      <c r="A615" s="270"/>
      <c r="D615" s="372"/>
      <c r="E615" s="372"/>
      <c r="F615" s="272"/>
      <c r="G615" s="272"/>
      <c r="H615" s="272"/>
      <c r="I615" s="375"/>
      <c r="J615" s="375"/>
      <c r="K615" s="375"/>
      <c r="L615" s="375"/>
      <c r="M615" s="269"/>
      <c r="N615" s="269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  <c r="AL615" s="63"/>
      <c r="AM615" s="63"/>
      <c r="AN615" s="63"/>
      <c r="AO615" s="63"/>
      <c r="AP615" s="63"/>
      <c r="AQ615" s="63"/>
      <c r="CA615" s="256"/>
      <c r="CB615" s="261"/>
      <c r="CC615" s="255"/>
      <c r="CD615" s="261"/>
      <c r="CE615" s="261"/>
      <c r="CF615" s="261"/>
      <c r="CG615" s="261"/>
      <c r="CH615" s="261"/>
      <c r="CI615" s="261"/>
      <c r="CJ615" s="261"/>
      <c r="CK615" s="261"/>
      <c r="CL615" s="255"/>
      <c r="CN615" s="256"/>
      <c r="CO615" s="256"/>
      <c r="CP615" s="261"/>
      <c r="CQ615" s="261"/>
      <c r="CR615" s="255"/>
      <c r="CS615" s="261"/>
      <c r="CT615" s="261"/>
      <c r="CU615" s="261"/>
      <c r="CV615" s="261"/>
      <c r="CW615" s="261"/>
      <c r="CX615" s="261"/>
      <c r="CY615" s="255"/>
    </row>
    <row r="616" spans="1:103" ht="10.25" customHeight="1">
      <c r="A616" s="270"/>
      <c r="D616" s="372"/>
      <c r="E616" s="372"/>
      <c r="H616" s="209"/>
      <c r="I616" s="213"/>
      <c r="J616" s="213"/>
      <c r="K616" s="213"/>
      <c r="L616" s="213"/>
      <c r="M616" s="213"/>
      <c r="N616" s="213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CA616" s="256"/>
      <c r="CB616" s="261"/>
      <c r="CC616" s="255"/>
      <c r="CD616" s="261"/>
      <c r="CE616" s="261"/>
      <c r="CF616" s="261"/>
      <c r="CG616" s="261"/>
      <c r="CH616" s="261"/>
      <c r="CI616" s="261"/>
      <c r="CJ616" s="261"/>
      <c r="CK616" s="261"/>
      <c r="CL616" s="255"/>
      <c r="CN616" s="256"/>
      <c r="CO616" s="256"/>
      <c r="CP616" s="261"/>
      <c r="CQ616" s="261"/>
      <c r="CR616" s="255"/>
      <c r="CS616" s="261"/>
      <c r="CT616" s="261"/>
      <c r="CU616" s="261"/>
      <c r="CV616" s="261"/>
      <c r="CW616" s="261"/>
      <c r="CX616" s="261"/>
      <c r="CY616" s="255"/>
    </row>
    <row r="617" spans="1:103" ht="10.25" customHeight="1">
      <c r="A617" s="270"/>
      <c r="C617" s="269"/>
      <c r="D617" s="275"/>
      <c r="E617" s="275"/>
      <c r="F617" s="209"/>
      <c r="G617" s="209"/>
      <c r="H617" s="209"/>
      <c r="I617" s="209"/>
      <c r="J617" s="209"/>
      <c r="K617" s="209"/>
      <c r="L617" s="376"/>
      <c r="M617" s="376"/>
      <c r="N617" s="279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  <c r="AF617" s="51"/>
      <c r="AG617" s="51"/>
      <c r="AH617" s="51"/>
      <c r="AI617" s="51"/>
      <c r="AJ617" s="51"/>
      <c r="AK617" s="51"/>
      <c r="AL617" s="51"/>
      <c r="AM617" s="51"/>
      <c r="AN617" s="51"/>
      <c r="AO617" s="51"/>
      <c r="AP617" s="51"/>
      <c r="AQ617" s="51"/>
      <c r="CA617" s="256"/>
      <c r="CB617" s="261"/>
      <c r="CC617" s="255"/>
      <c r="CD617" s="261"/>
      <c r="CE617" s="261"/>
      <c r="CF617" s="261"/>
      <c r="CG617" s="261"/>
      <c r="CH617" s="261"/>
      <c r="CI617" s="261"/>
      <c r="CJ617" s="261"/>
      <c r="CK617" s="261"/>
      <c r="CL617" s="255"/>
      <c r="CN617" s="256"/>
      <c r="CO617" s="256"/>
      <c r="CP617" s="261"/>
      <c r="CQ617" s="261"/>
      <c r="CR617" s="255"/>
      <c r="CS617" s="261"/>
      <c r="CT617" s="261"/>
      <c r="CU617" s="261"/>
      <c r="CV617" s="261"/>
      <c r="CW617" s="261"/>
      <c r="CX617" s="261"/>
      <c r="CY617" s="255"/>
    </row>
    <row r="618" spans="1:103" ht="10.25" customHeight="1">
      <c r="A618" s="270"/>
      <c r="C618" s="269"/>
      <c r="D618" s="269"/>
      <c r="F618" s="209"/>
      <c r="G618" s="209"/>
      <c r="H618" s="276"/>
      <c r="I618" s="276"/>
      <c r="J618" s="276"/>
      <c r="K618" s="276"/>
      <c r="L618" s="374"/>
      <c r="M618" s="374"/>
      <c r="N618" s="213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CA618" s="256"/>
      <c r="CB618" s="261"/>
      <c r="CC618" s="255"/>
      <c r="CD618" s="261"/>
      <c r="CE618" s="261"/>
      <c r="CF618" s="261"/>
      <c r="CG618" s="261"/>
      <c r="CH618" s="261"/>
      <c r="CI618" s="261"/>
      <c r="CJ618" s="261"/>
      <c r="CK618" s="261"/>
      <c r="CL618" s="255"/>
      <c r="CN618" s="256"/>
      <c r="CO618" s="256"/>
      <c r="CP618" s="261"/>
      <c r="CQ618" s="261"/>
      <c r="CR618" s="255"/>
      <c r="CS618" s="261"/>
      <c r="CT618" s="261"/>
      <c r="CU618" s="261"/>
      <c r="CV618" s="261"/>
      <c r="CW618" s="261"/>
      <c r="CX618" s="261"/>
      <c r="CY618" s="255"/>
    </row>
    <row r="619" spans="1:103" ht="10.25" customHeight="1">
      <c r="A619" s="270"/>
      <c r="D619" s="269"/>
      <c r="F619" s="208"/>
      <c r="G619" s="208"/>
      <c r="H619" s="277"/>
      <c r="I619" s="277"/>
      <c r="J619" s="277"/>
      <c r="K619" s="277"/>
      <c r="L619" s="372"/>
      <c r="M619" s="372"/>
      <c r="N619" s="214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CA619" s="256"/>
      <c r="CB619" s="261"/>
      <c r="CC619" s="255"/>
      <c r="CD619" s="261"/>
      <c r="CE619" s="261"/>
      <c r="CF619" s="261"/>
      <c r="CG619" s="261"/>
      <c r="CH619" s="261"/>
      <c r="CI619" s="261"/>
      <c r="CJ619" s="261"/>
      <c r="CK619" s="261"/>
      <c r="CL619" s="255"/>
      <c r="CN619" s="256"/>
      <c r="CO619" s="256"/>
      <c r="CP619" s="261"/>
      <c r="CQ619" s="261"/>
      <c r="CR619" s="255"/>
      <c r="CS619" s="261"/>
      <c r="CT619" s="261"/>
      <c r="CU619" s="261"/>
      <c r="CV619" s="261"/>
      <c r="CW619" s="261"/>
      <c r="CX619" s="261"/>
      <c r="CY619" s="255"/>
    </row>
    <row r="620" spans="1:103" ht="10.25" customHeight="1">
      <c r="CA620" s="256"/>
      <c r="CB620" s="261"/>
      <c r="CC620" s="255"/>
      <c r="CD620" s="261"/>
      <c r="CE620" s="261"/>
      <c r="CF620" s="255"/>
      <c r="CG620" s="261"/>
      <c r="CH620" s="261"/>
      <c r="CI620" s="261"/>
      <c r="CJ620" s="261"/>
      <c r="CK620" s="261"/>
      <c r="CL620" s="255"/>
      <c r="CN620" s="256"/>
      <c r="CO620" s="256"/>
      <c r="CP620" s="261"/>
      <c r="CQ620" s="261"/>
      <c r="CR620" s="255"/>
      <c r="CS620" s="261"/>
      <c r="CT620" s="261"/>
      <c r="CU620" s="255"/>
      <c r="CV620" s="261"/>
      <c r="CW620" s="261"/>
      <c r="CX620" s="261"/>
      <c r="CY620" s="255"/>
    </row>
    <row r="621" spans="1:103" ht="10.25" customHeight="1">
      <c r="C621" s="278"/>
      <c r="CA621" s="256"/>
      <c r="CB621" s="261"/>
      <c r="CC621" s="255"/>
      <c r="CD621" s="261"/>
      <c r="CE621" s="261"/>
      <c r="CF621" s="255"/>
      <c r="CG621" s="261"/>
      <c r="CH621" s="261"/>
      <c r="CI621" s="261"/>
      <c r="CJ621" s="261"/>
      <c r="CK621" s="261"/>
      <c r="CL621" s="255"/>
      <c r="CN621" s="256"/>
      <c r="CO621" s="256"/>
      <c r="CP621" s="261"/>
      <c r="CQ621" s="261"/>
      <c r="CR621" s="255"/>
      <c r="CS621" s="261"/>
      <c r="CT621" s="261"/>
      <c r="CU621" s="255"/>
      <c r="CV621" s="261"/>
      <c r="CW621" s="261"/>
      <c r="CX621" s="261"/>
      <c r="CY621" s="255"/>
    </row>
    <row r="622" spans="1:103" ht="10.25" customHeight="1">
      <c r="C622" s="278"/>
      <c r="F622" s="377"/>
      <c r="G622" s="377"/>
      <c r="H622" s="377"/>
      <c r="I622" s="377"/>
      <c r="J622" s="377"/>
      <c r="K622" s="377"/>
      <c r="L622" s="377"/>
      <c r="M622" s="377"/>
      <c r="N622" s="269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  <c r="AN622" s="63"/>
      <c r="AO622" s="63"/>
      <c r="AP622" s="63"/>
      <c r="AQ622" s="63"/>
      <c r="CA622" s="256"/>
      <c r="CB622" s="261"/>
      <c r="CC622" s="255"/>
      <c r="CD622" s="261"/>
      <c r="CE622" s="261"/>
      <c r="CF622" s="255"/>
      <c r="CG622" s="261"/>
      <c r="CH622" s="261"/>
      <c r="CI622" s="261"/>
      <c r="CJ622" s="261"/>
      <c r="CK622" s="261"/>
      <c r="CL622" s="255"/>
      <c r="CN622" s="256"/>
      <c r="CO622" s="256"/>
      <c r="CP622" s="261"/>
      <c r="CQ622" s="261"/>
      <c r="CR622" s="255"/>
      <c r="CS622" s="261"/>
      <c r="CT622" s="261"/>
      <c r="CU622" s="255"/>
      <c r="CV622" s="261"/>
      <c r="CW622" s="261"/>
      <c r="CX622" s="261"/>
      <c r="CY622" s="255"/>
    </row>
    <row r="623" spans="1:103" ht="10.4" customHeight="1">
      <c r="C623" s="278"/>
      <c r="F623" s="377"/>
      <c r="G623" s="377"/>
      <c r="H623" s="377"/>
      <c r="I623" s="377"/>
      <c r="J623" s="377"/>
      <c r="K623" s="377"/>
      <c r="L623" s="377"/>
      <c r="M623" s="377"/>
      <c r="N623" s="269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  <c r="AN623" s="63"/>
      <c r="AO623" s="63"/>
      <c r="AP623" s="63"/>
      <c r="AQ623" s="63"/>
      <c r="AS623" s="236"/>
      <c r="BE623" s="63"/>
      <c r="BF623" s="63"/>
      <c r="BG623" s="63"/>
      <c r="BK623" s="317"/>
      <c r="BL623" s="5"/>
      <c r="BM623" s="5"/>
      <c r="BN623" s="5"/>
      <c r="BO623" s="5"/>
      <c r="BP623" s="5"/>
      <c r="BQ623" s="5"/>
      <c r="BR623" s="5"/>
      <c r="BS623" s="5"/>
      <c r="BT623" s="5"/>
      <c r="BV623" s="317"/>
      <c r="CF623" s="5"/>
      <c r="CG623" s="5"/>
      <c r="CH623" s="5"/>
      <c r="CI623" s="5"/>
      <c r="CJ623" s="5"/>
      <c r="CK623" s="5"/>
      <c r="CL623" s="5"/>
    </row>
    <row r="624" spans="1:103" ht="10.25" customHeight="1">
      <c r="A624" s="377"/>
      <c r="B624" s="377"/>
      <c r="C624" s="377"/>
      <c r="D624" s="377"/>
      <c r="E624" s="377"/>
      <c r="F624" s="377"/>
      <c r="G624" s="377"/>
      <c r="H624" s="377"/>
      <c r="I624" s="377"/>
      <c r="J624" s="377"/>
      <c r="K624" s="377"/>
      <c r="L624" s="377"/>
      <c r="M624" s="377"/>
      <c r="N624" s="269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  <c r="AN624" s="63"/>
      <c r="AO624" s="63"/>
      <c r="AP624" s="63"/>
      <c r="AQ624" s="63"/>
      <c r="BE624" s="63"/>
      <c r="BF624" s="63"/>
      <c r="BG624" s="63"/>
      <c r="BK624" s="317"/>
      <c r="BL624" s="5"/>
      <c r="BM624" s="5"/>
      <c r="BN624" s="5"/>
      <c r="BO624" s="5"/>
      <c r="BP624" s="5"/>
      <c r="BQ624" s="5"/>
      <c r="BR624" s="5"/>
      <c r="BS624" s="5"/>
      <c r="BT624" s="5"/>
      <c r="BV624" s="317"/>
      <c r="CF624" s="5"/>
      <c r="CG624" s="5"/>
      <c r="CH624" s="5"/>
      <c r="CI624" s="5"/>
      <c r="CJ624" s="5"/>
      <c r="CK624" s="5"/>
      <c r="CL624" s="5"/>
    </row>
    <row r="625" spans="1:97" ht="10.25" customHeight="1">
      <c r="A625" s="376"/>
      <c r="B625" s="376"/>
      <c r="C625" s="376"/>
      <c r="D625" s="376"/>
      <c r="E625" s="376"/>
      <c r="F625" s="376"/>
      <c r="G625" s="376"/>
      <c r="H625" s="376"/>
      <c r="I625" s="376"/>
      <c r="J625" s="376"/>
      <c r="K625" s="376"/>
      <c r="L625" s="376"/>
      <c r="M625" s="376"/>
      <c r="N625" s="279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  <c r="AF625" s="51"/>
      <c r="AG625" s="51"/>
      <c r="AH625" s="51"/>
      <c r="AI625" s="51"/>
      <c r="AJ625" s="51"/>
      <c r="AK625" s="51"/>
      <c r="AL625" s="51"/>
      <c r="AM625" s="51"/>
      <c r="AN625" s="51"/>
      <c r="AO625" s="51"/>
      <c r="AP625" s="51"/>
      <c r="AQ625" s="51"/>
      <c r="BE625" s="63"/>
      <c r="BF625" s="63"/>
      <c r="BG625" s="63"/>
      <c r="BK625" s="317"/>
      <c r="BL625" s="5"/>
      <c r="BM625" s="5"/>
      <c r="BN625" s="5"/>
      <c r="BO625" s="5"/>
      <c r="BP625" s="5"/>
      <c r="BQ625" s="5"/>
      <c r="BR625" s="5"/>
      <c r="BS625" s="5"/>
      <c r="BT625" s="5"/>
      <c r="BV625" s="317"/>
      <c r="CF625" s="5"/>
      <c r="CG625" s="5"/>
      <c r="CH625" s="5"/>
      <c r="CI625" s="5"/>
      <c r="CJ625" s="5"/>
      <c r="CK625" s="5"/>
      <c r="CL625" s="5"/>
    </row>
    <row r="626" spans="1:97" ht="10.25" customHeight="1">
      <c r="A626" s="374"/>
      <c r="B626" s="374"/>
      <c r="C626" s="374"/>
      <c r="D626" s="374"/>
      <c r="E626" s="374"/>
      <c r="F626" s="374"/>
      <c r="G626" s="374"/>
      <c r="H626" s="374"/>
      <c r="I626" s="374"/>
      <c r="J626" s="374"/>
      <c r="K626" s="374"/>
      <c r="L626" s="374"/>
      <c r="M626" s="374"/>
      <c r="N626" s="213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BE626" s="63"/>
      <c r="BF626" s="63"/>
      <c r="BG626" s="63"/>
      <c r="BK626" s="317"/>
      <c r="BL626" s="5"/>
      <c r="BM626" s="5"/>
      <c r="BN626" s="5"/>
      <c r="BO626" s="5"/>
      <c r="BP626" s="5"/>
      <c r="BQ626" s="5"/>
      <c r="BR626" s="5"/>
      <c r="BS626" s="5"/>
      <c r="BT626" s="5"/>
      <c r="BV626" s="317"/>
      <c r="CF626" s="5"/>
      <c r="CG626" s="5"/>
      <c r="CH626" s="5"/>
      <c r="CI626" s="5"/>
      <c r="CJ626" s="5"/>
      <c r="CK626" s="5"/>
      <c r="CL626" s="5"/>
    </row>
    <row r="627" spans="1:97" ht="6" customHeight="1">
      <c r="A627" s="208"/>
      <c r="B627" s="209"/>
      <c r="C627" s="209"/>
      <c r="D627" s="209"/>
      <c r="E627" s="209"/>
      <c r="F627" s="280"/>
      <c r="G627" s="280"/>
      <c r="H627" s="280"/>
      <c r="I627" s="280"/>
      <c r="J627" s="280"/>
      <c r="K627" s="280"/>
      <c r="L627" s="280"/>
      <c r="M627" s="280"/>
      <c r="N627" s="280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  <c r="AL627" s="42"/>
      <c r="AM627" s="42"/>
      <c r="AN627" s="42"/>
      <c r="AO627" s="42"/>
      <c r="AP627" s="42"/>
      <c r="AQ627" s="42"/>
      <c r="BK627" s="317"/>
      <c r="BL627" s="5"/>
      <c r="BM627" s="5"/>
      <c r="BN627" s="5"/>
      <c r="BO627" s="5"/>
      <c r="BP627" s="5"/>
      <c r="BQ627" s="5"/>
      <c r="BR627" s="5"/>
      <c r="BS627" s="5"/>
      <c r="BT627" s="5"/>
      <c r="BV627" s="317"/>
      <c r="CF627" s="5"/>
      <c r="CG627" s="5"/>
      <c r="CH627" s="5"/>
      <c r="CI627" s="5"/>
      <c r="CJ627" s="5"/>
      <c r="CK627" s="5"/>
      <c r="CL627" s="5"/>
    </row>
    <row r="628" spans="1:97" ht="10.25" customHeight="1">
      <c r="A628" s="208"/>
      <c r="B628" s="209"/>
      <c r="C628" s="209"/>
      <c r="D628" s="210"/>
      <c r="E628" s="211"/>
      <c r="F628" s="369"/>
      <c r="G628" s="369"/>
      <c r="H628" s="369"/>
      <c r="I628" s="369"/>
      <c r="J628" s="369"/>
      <c r="K628" s="369"/>
      <c r="L628" s="369"/>
      <c r="M628" s="230"/>
      <c r="N628" s="230"/>
      <c r="O628" s="235"/>
      <c r="P628" s="235"/>
      <c r="Q628" s="235"/>
      <c r="R628" s="235"/>
      <c r="S628" s="235"/>
      <c r="T628" s="235"/>
      <c r="U628" s="235"/>
      <c r="V628" s="235"/>
      <c r="W628" s="235"/>
      <c r="X628" s="235"/>
      <c r="Y628" s="235"/>
      <c r="Z628" s="235"/>
      <c r="AA628" s="235"/>
      <c r="AB628" s="235"/>
      <c r="AC628" s="235"/>
      <c r="AD628" s="235"/>
      <c r="AE628" s="235"/>
      <c r="AF628" s="235"/>
      <c r="AG628" s="235"/>
      <c r="AH628" s="235"/>
      <c r="AI628" s="235"/>
      <c r="AJ628" s="235"/>
      <c r="AK628" s="235"/>
      <c r="AL628" s="235"/>
      <c r="AM628" s="235"/>
      <c r="AN628" s="235"/>
      <c r="AO628" s="235"/>
      <c r="AP628" s="235"/>
      <c r="AQ628" s="235"/>
      <c r="BK628" s="317"/>
      <c r="BL628" s="5"/>
      <c r="BM628" s="5"/>
      <c r="BN628" s="5"/>
      <c r="BO628" s="5"/>
      <c r="BP628" s="5"/>
      <c r="BQ628" s="5"/>
      <c r="BR628" s="5"/>
      <c r="BS628" s="5"/>
      <c r="BT628" s="5"/>
      <c r="BV628" s="317"/>
      <c r="CF628" s="5"/>
      <c r="CG628" s="5"/>
      <c r="CH628" s="5"/>
      <c r="CI628" s="5"/>
      <c r="CJ628" s="5"/>
      <c r="CK628" s="5"/>
      <c r="CL628" s="5"/>
    </row>
    <row r="629" spans="1:97" ht="2" customHeight="1">
      <c r="A629" s="209"/>
      <c r="B629" s="209"/>
      <c r="C629" s="212"/>
      <c r="D629" s="213"/>
      <c r="E629" s="209"/>
      <c r="F629" s="209"/>
      <c r="G629" s="209"/>
      <c r="H629" s="209"/>
      <c r="I629" s="209"/>
      <c r="J629" s="209"/>
      <c r="K629" s="209"/>
      <c r="L629" s="209"/>
      <c r="M629" s="209"/>
      <c r="N629" s="209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  <c r="AQ629" s="46"/>
      <c r="BK629" s="317"/>
      <c r="BL629" s="5"/>
      <c r="BM629" s="5"/>
      <c r="BN629" s="5"/>
      <c r="BO629" s="5"/>
      <c r="BP629" s="5"/>
      <c r="BQ629" s="5"/>
      <c r="BR629" s="5"/>
      <c r="BS629" s="5"/>
      <c r="BT629" s="5"/>
      <c r="BV629" s="317"/>
      <c r="CF629" s="5"/>
      <c r="CG629" s="5"/>
      <c r="CH629" s="5"/>
      <c r="CI629" s="5"/>
      <c r="CJ629" s="5"/>
      <c r="CK629" s="5"/>
      <c r="CL629" s="5"/>
    </row>
    <row r="630" spans="1:97" ht="26.4" customHeight="1">
      <c r="A630" s="374"/>
      <c r="B630" s="374"/>
      <c r="C630" s="374"/>
      <c r="D630" s="372"/>
      <c r="E630" s="373"/>
      <c r="F630" s="370"/>
      <c r="G630" s="215"/>
      <c r="H630" s="373"/>
      <c r="I630" s="370"/>
      <c r="J630" s="370"/>
      <c r="K630" s="370"/>
      <c r="L630" s="373"/>
      <c r="M630" s="374"/>
      <c r="N630" s="213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BK630" s="317"/>
      <c r="BL630" s="5"/>
      <c r="BM630" s="5"/>
      <c r="BN630" s="5"/>
      <c r="BO630" s="5"/>
      <c r="BP630" s="5"/>
      <c r="BQ630" s="5"/>
      <c r="BR630" s="5"/>
      <c r="BS630" s="5"/>
      <c r="BT630" s="5"/>
      <c r="BV630" s="317"/>
      <c r="CF630" s="5"/>
      <c r="CG630" s="5"/>
      <c r="CH630" s="5"/>
      <c r="CI630" s="5"/>
      <c r="CJ630" s="5"/>
      <c r="CK630" s="5"/>
      <c r="CL630" s="5"/>
    </row>
    <row r="631" spans="1:97" ht="9.65" customHeight="1">
      <c r="A631" s="374"/>
      <c r="B631" s="374"/>
      <c r="C631" s="374"/>
      <c r="D631" s="372"/>
      <c r="E631" s="373"/>
      <c r="F631" s="370"/>
      <c r="G631" s="215"/>
      <c r="H631" s="373"/>
      <c r="I631" s="233"/>
      <c r="J631" s="233"/>
      <c r="K631" s="233"/>
      <c r="L631" s="373"/>
      <c r="M631" s="374"/>
      <c r="N631" s="213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BK631" s="317"/>
      <c r="BL631" s="5"/>
      <c r="BM631" s="5"/>
      <c r="BN631" s="5"/>
      <c r="BO631" s="5"/>
      <c r="BP631" s="5"/>
      <c r="BQ631" s="5"/>
      <c r="BR631" s="5"/>
      <c r="BS631" s="5"/>
      <c r="BT631" s="5"/>
      <c r="BV631" s="317"/>
      <c r="CF631" s="5"/>
      <c r="CG631" s="5"/>
      <c r="CH631" s="5"/>
      <c r="CI631" s="5"/>
      <c r="CJ631" s="5"/>
      <c r="CK631" s="5"/>
      <c r="CL631" s="5"/>
    </row>
    <row r="632" spans="1:97" ht="10.25" customHeight="1">
      <c r="A632" s="216"/>
      <c r="B632" s="217"/>
      <c r="C632" s="218"/>
      <c r="D632" s="219"/>
      <c r="E632" s="217"/>
      <c r="F632" s="217"/>
      <c r="G632" s="217"/>
      <c r="H632" s="220"/>
      <c r="I632" s="217"/>
      <c r="J632" s="217"/>
      <c r="K632" s="217"/>
      <c r="L632" s="217"/>
      <c r="M632" s="217"/>
      <c r="N632" s="217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BA632" s="5"/>
      <c r="BB632" s="5"/>
      <c r="BC632" s="5"/>
      <c r="BD632" s="5"/>
      <c r="BE632" s="63"/>
      <c r="BF632" s="63"/>
      <c r="BG632" s="63"/>
      <c r="BK632" s="317"/>
      <c r="BL632" s="5"/>
      <c r="BM632" s="5"/>
      <c r="BN632" s="5"/>
      <c r="BO632" s="5"/>
      <c r="BP632" s="5"/>
      <c r="BQ632" s="5"/>
      <c r="BR632" s="5"/>
      <c r="BS632" s="5"/>
      <c r="BT632" s="5"/>
      <c r="BV632" s="317"/>
      <c r="CF632" s="5"/>
      <c r="CG632" s="53"/>
      <c r="CH632" s="53"/>
      <c r="CI632" s="53"/>
      <c r="CJ632" s="53"/>
      <c r="CK632" s="53"/>
      <c r="CL632" s="53"/>
      <c r="CN632" s="53"/>
      <c r="CO632" s="53"/>
      <c r="CP632" s="53"/>
      <c r="CQ632" s="53"/>
      <c r="CR632" s="53"/>
      <c r="CS632" s="53"/>
    </row>
    <row r="633" spans="1:97" ht="10.25" customHeight="1">
      <c r="A633" s="216"/>
      <c r="B633" s="217"/>
      <c r="C633" s="218"/>
      <c r="D633" s="219"/>
      <c r="E633" s="217"/>
      <c r="F633" s="217"/>
      <c r="G633" s="217"/>
      <c r="H633" s="220"/>
      <c r="I633" s="217"/>
      <c r="J633" s="217"/>
      <c r="K633" s="217"/>
      <c r="L633" s="217"/>
      <c r="M633" s="217"/>
      <c r="N633" s="217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  <c r="AQ633" s="44"/>
      <c r="BA633" s="5"/>
      <c r="BB633" s="5"/>
      <c r="BC633" s="5"/>
      <c r="BD633" s="5"/>
      <c r="BE633" s="63"/>
      <c r="BF633" s="63"/>
      <c r="BG633" s="63"/>
      <c r="BK633" s="317"/>
      <c r="BL633" s="5"/>
      <c r="BM633" s="5"/>
      <c r="BN633" s="5"/>
      <c r="BO633" s="5"/>
      <c r="BP633" s="5"/>
      <c r="BQ633" s="5"/>
      <c r="BR633" s="5"/>
      <c r="BS633" s="5"/>
      <c r="BT633" s="5"/>
      <c r="BV633" s="317"/>
      <c r="CF633" s="5"/>
      <c r="CG633" s="53"/>
      <c r="CH633" s="53"/>
      <c r="CI633" s="53"/>
      <c r="CJ633" s="53"/>
      <c r="CK633" s="53"/>
      <c r="CL633" s="53"/>
      <c r="CN633" s="53"/>
      <c r="CO633" s="53"/>
      <c r="CP633" s="53"/>
      <c r="CQ633" s="53"/>
      <c r="CR633" s="53"/>
      <c r="CS633" s="53"/>
    </row>
    <row r="634" spans="1:97" ht="10.25" customHeight="1">
      <c r="A634" s="216"/>
      <c r="B634" s="217"/>
      <c r="C634" s="218"/>
      <c r="D634" s="219"/>
      <c r="E634" s="217"/>
      <c r="F634" s="217"/>
      <c r="G634" s="217"/>
      <c r="H634" s="220"/>
      <c r="I634" s="217"/>
      <c r="J634" s="217"/>
      <c r="K634" s="217"/>
      <c r="L634" s="217"/>
      <c r="M634" s="217"/>
      <c r="N634" s="217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4"/>
      <c r="AQ634" s="44"/>
      <c r="BA634" s="5"/>
      <c r="BB634" s="5"/>
      <c r="BC634" s="5"/>
      <c r="BD634" s="5"/>
      <c r="BE634" s="63"/>
      <c r="BF634" s="63"/>
      <c r="BG634" s="63"/>
      <c r="BK634" s="317"/>
      <c r="BL634" s="5"/>
      <c r="BM634" s="5"/>
      <c r="BN634" s="5"/>
      <c r="BO634" s="5"/>
      <c r="BP634" s="5"/>
      <c r="BQ634" s="5"/>
      <c r="BR634" s="5"/>
      <c r="BS634" s="5"/>
      <c r="BT634" s="5"/>
      <c r="BV634" s="317"/>
      <c r="CF634" s="5"/>
      <c r="CG634" s="53"/>
      <c r="CH634" s="53"/>
      <c r="CI634" s="53"/>
      <c r="CJ634" s="53"/>
      <c r="CK634" s="53"/>
      <c r="CL634" s="53"/>
      <c r="CN634" s="53"/>
      <c r="CO634" s="53"/>
      <c r="CP634" s="53"/>
      <c r="CQ634" s="53"/>
      <c r="CR634" s="53"/>
      <c r="CS634" s="53"/>
    </row>
    <row r="635" spans="1:97" ht="10.25" customHeight="1">
      <c r="A635" s="216"/>
      <c r="B635" s="217"/>
      <c r="C635" s="218"/>
      <c r="D635" s="219"/>
      <c r="E635" s="217"/>
      <c r="F635" s="217"/>
      <c r="G635" s="217"/>
      <c r="H635" s="220"/>
      <c r="I635" s="217"/>
      <c r="J635" s="217"/>
      <c r="K635" s="217"/>
      <c r="L635" s="217"/>
      <c r="M635" s="217"/>
      <c r="N635" s="217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  <c r="AQ635" s="44"/>
      <c r="BA635" s="5"/>
      <c r="BB635" s="5"/>
      <c r="BC635" s="5"/>
      <c r="BD635" s="5"/>
      <c r="BE635" s="63"/>
      <c r="BF635" s="63"/>
      <c r="BG635" s="63"/>
      <c r="BK635" s="317"/>
      <c r="BL635" s="5"/>
      <c r="BM635" s="5"/>
      <c r="BN635" s="5"/>
      <c r="BO635" s="5"/>
      <c r="BP635" s="5"/>
      <c r="BQ635" s="5"/>
      <c r="BR635" s="5"/>
      <c r="BS635" s="5"/>
      <c r="BT635" s="5"/>
      <c r="BV635" s="317"/>
      <c r="CF635" s="5"/>
      <c r="CG635" s="53"/>
      <c r="CH635" s="53"/>
      <c r="CI635" s="53"/>
      <c r="CJ635" s="53"/>
      <c r="CK635" s="53"/>
      <c r="CL635" s="53"/>
      <c r="CN635" s="53"/>
      <c r="CO635" s="53"/>
      <c r="CP635" s="53"/>
      <c r="CQ635" s="53"/>
      <c r="CR635" s="53"/>
      <c r="CS635" s="53"/>
    </row>
    <row r="636" spans="1:97" ht="10.25" customHeight="1">
      <c r="A636" s="216"/>
      <c r="B636" s="217"/>
      <c r="C636" s="218"/>
      <c r="D636" s="219"/>
      <c r="E636" s="217"/>
      <c r="F636" s="217"/>
      <c r="G636" s="217"/>
      <c r="H636" s="220"/>
      <c r="I636" s="217"/>
      <c r="J636" s="217"/>
      <c r="K636" s="217"/>
      <c r="L636" s="217"/>
      <c r="M636" s="217"/>
      <c r="N636" s="217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  <c r="AQ636" s="44"/>
      <c r="BA636" s="5"/>
      <c r="BB636" s="5"/>
      <c r="BC636" s="5"/>
      <c r="BD636" s="5"/>
      <c r="BE636" s="63"/>
      <c r="BF636" s="63"/>
      <c r="BG636" s="63"/>
      <c r="BK636" s="317"/>
      <c r="BL636" s="5"/>
      <c r="BM636" s="5"/>
      <c r="BN636" s="5"/>
      <c r="BO636" s="5"/>
      <c r="BP636" s="5"/>
      <c r="BQ636" s="5"/>
      <c r="BR636" s="5"/>
      <c r="BS636" s="5"/>
      <c r="BT636" s="5"/>
      <c r="BV636" s="317"/>
      <c r="CF636" s="5"/>
      <c r="CG636" s="53"/>
      <c r="CH636" s="53"/>
      <c r="CI636" s="53"/>
      <c r="CJ636" s="53"/>
      <c r="CK636" s="53"/>
      <c r="CL636" s="53"/>
      <c r="CN636" s="53"/>
      <c r="CO636" s="53"/>
      <c r="CP636" s="53"/>
      <c r="CQ636" s="53"/>
      <c r="CR636" s="53"/>
      <c r="CS636" s="53"/>
    </row>
    <row r="637" spans="1:97" ht="10.25" customHeight="1">
      <c r="A637" s="216"/>
      <c r="B637" s="217"/>
      <c r="C637" s="218"/>
      <c r="D637" s="219"/>
      <c r="E637" s="217"/>
      <c r="F637" s="217"/>
      <c r="G637" s="217"/>
      <c r="H637" s="220"/>
      <c r="I637" s="217"/>
      <c r="J637" s="217"/>
      <c r="K637" s="217"/>
      <c r="L637" s="217"/>
      <c r="M637" s="217"/>
      <c r="N637" s="217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4"/>
      <c r="AQ637" s="44"/>
      <c r="BA637" s="5"/>
      <c r="BB637" s="5"/>
      <c r="BC637" s="5"/>
      <c r="BD637" s="5"/>
      <c r="BE637" s="63"/>
      <c r="BF637" s="63"/>
      <c r="BG637" s="63"/>
      <c r="BK637" s="317"/>
      <c r="BL637" s="5"/>
      <c r="BM637" s="5"/>
      <c r="BN637" s="5"/>
      <c r="BO637" s="5"/>
      <c r="BP637" s="5"/>
      <c r="BQ637" s="5"/>
      <c r="BR637" s="5"/>
      <c r="BS637" s="5"/>
      <c r="BT637" s="5"/>
      <c r="BV637" s="317"/>
      <c r="CF637" s="5"/>
      <c r="CG637" s="53"/>
      <c r="CH637" s="53"/>
      <c r="CI637" s="53"/>
      <c r="CJ637" s="53"/>
      <c r="CK637" s="53"/>
      <c r="CL637" s="53"/>
      <c r="CN637" s="53"/>
      <c r="CO637" s="53"/>
      <c r="CP637" s="53"/>
      <c r="CQ637" s="53"/>
      <c r="CR637" s="53"/>
      <c r="CS637" s="53"/>
    </row>
    <row r="638" spans="1:97" ht="10.25" customHeight="1">
      <c r="A638" s="216"/>
      <c r="B638" s="217"/>
      <c r="C638" s="218"/>
      <c r="D638" s="219"/>
      <c r="E638" s="217"/>
      <c r="F638" s="217"/>
      <c r="G638" s="217"/>
      <c r="H638" s="220"/>
      <c r="I638" s="217"/>
      <c r="J638" s="217"/>
      <c r="K638" s="217"/>
      <c r="L638" s="217"/>
      <c r="M638" s="217"/>
      <c r="N638" s="217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  <c r="AQ638" s="44"/>
      <c r="BA638" s="5"/>
      <c r="BB638" s="5"/>
      <c r="BC638" s="5"/>
      <c r="BD638" s="5"/>
      <c r="BE638" s="63"/>
      <c r="BF638" s="63"/>
      <c r="BG638" s="63"/>
      <c r="BK638" s="317"/>
      <c r="BL638" s="5"/>
      <c r="BM638" s="5"/>
      <c r="BN638" s="5"/>
      <c r="BO638" s="5"/>
      <c r="BP638" s="5"/>
      <c r="BQ638" s="5"/>
      <c r="BR638" s="5"/>
      <c r="BS638" s="5"/>
      <c r="BT638" s="5"/>
      <c r="BV638" s="317"/>
      <c r="CF638" s="5"/>
      <c r="CG638" s="53"/>
      <c r="CH638" s="53"/>
      <c r="CI638" s="53"/>
      <c r="CJ638" s="53"/>
      <c r="CK638" s="53"/>
      <c r="CL638" s="53"/>
      <c r="CN638" s="53"/>
      <c r="CO638" s="53"/>
      <c r="CP638" s="53"/>
      <c r="CQ638" s="53"/>
      <c r="CR638" s="53"/>
      <c r="CS638" s="53"/>
    </row>
    <row r="639" spans="1:97" ht="10.25" customHeight="1">
      <c r="A639" s="216"/>
      <c r="B639" s="217"/>
      <c r="C639" s="218"/>
      <c r="D639" s="219"/>
      <c r="E639" s="217"/>
      <c r="F639" s="217"/>
      <c r="G639" s="217"/>
      <c r="H639" s="220"/>
      <c r="I639" s="217"/>
      <c r="J639" s="217"/>
      <c r="K639" s="217"/>
      <c r="L639" s="217"/>
      <c r="M639" s="217"/>
      <c r="N639" s="217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  <c r="AQ639" s="44"/>
      <c r="AW639" s="63"/>
      <c r="AX639" s="63"/>
      <c r="AY639" s="63"/>
      <c r="AZ639" s="63"/>
      <c r="BA639" s="5"/>
      <c r="BB639" s="5"/>
      <c r="BC639" s="5"/>
      <c r="BD639" s="5"/>
      <c r="BE639" s="63"/>
      <c r="BF639" s="63"/>
      <c r="BG639" s="63"/>
      <c r="BV639" s="317"/>
      <c r="CF639" s="5"/>
      <c r="CG639" s="53"/>
      <c r="CH639" s="53"/>
      <c r="CI639" s="53"/>
      <c r="CJ639" s="53"/>
      <c r="CK639" s="53"/>
      <c r="CL639" s="53"/>
      <c r="CN639" s="53"/>
      <c r="CO639" s="53"/>
      <c r="CP639" s="53"/>
      <c r="CQ639" s="53"/>
      <c r="CR639" s="53"/>
      <c r="CS639" s="53"/>
    </row>
    <row r="640" spans="1:97" ht="10.25" customHeight="1">
      <c r="A640" s="216"/>
      <c r="B640" s="217"/>
      <c r="C640" s="218"/>
      <c r="D640" s="219"/>
      <c r="E640" s="217"/>
      <c r="F640" s="217"/>
      <c r="G640" s="217"/>
      <c r="H640" s="220"/>
      <c r="I640" s="217"/>
      <c r="J640" s="217"/>
      <c r="K640" s="217"/>
      <c r="L640" s="217"/>
      <c r="M640" s="217"/>
      <c r="N640" s="217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4"/>
      <c r="AQ640" s="44"/>
      <c r="AW640" s="63"/>
      <c r="AX640" s="63"/>
      <c r="AY640" s="63"/>
      <c r="AZ640" s="63"/>
      <c r="BA640" s="5"/>
      <c r="BB640" s="5"/>
      <c r="BC640" s="5"/>
      <c r="BD640" s="5"/>
      <c r="BE640" s="63"/>
      <c r="BF640" s="63"/>
      <c r="BG640" s="63"/>
      <c r="BV640" s="317"/>
      <c r="CF640" s="5"/>
      <c r="CG640" s="53"/>
      <c r="CH640" s="53"/>
      <c r="CI640" s="53"/>
      <c r="CJ640" s="53"/>
      <c r="CK640" s="53"/>
      <c r="CL640" s="53"/>
      <c r="CN640" s="53"/>
      <c r="CO640" s="53"/>
      <c r="CP640" s="53"/>
      <c r="CQ640" s="53"/>
      <c r="CR640" s="53"/>
      <c r="CS640" s="53"/>
    </row>
    <row r="641" spans="1:103" ht="10.25" customHeight="1">
      <c r="A641" s="216"/>
      <c r="B641" s="217"/>
      <c r="C641" s="218"/>
      <c r="D641" s="219"/>
      <c r="E641" s="217"/>
      <c r="F641" s="217"/>
      <c r="G641" s="217"/>
      <c r="H641" s="220"/>
      <c r="I641" s="217"/>
      <c r="J641" s="217"/>
      <c r="K641" s="217"/>
      <c r="L641" s="217"/>
      <c r="M641" s="217"/>
      <c r="N641" s="217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4"/>
      <c r="AQ641" s="44"/>
      <c r="AW641" s="63"/>
      <c r="AX641" s="63"/>
      <c r="AY641" s="63"/>
      <c r="AZ641" s="63"/>
      <c r="BA641" s="5"/>
      <c r="BB641" s="5"/>
      <c r="BC641" s="5"/>
      <c r="BD641" s="5"/>
      <c r="BE641" s="63"/>
      <c r="BF641" s="63"/>
      <c r="BG641" s="63"/>
      <c r="BV641" s="317"/>
      <c r="CF641" s="5"/>
      <c r="CG641" s="53"/>
      <c r="CH641" s="53"/>
      <c r="CI641" s="53"/>
      <c r="CJ641" s="53"/>
      <c r="CK641" s="53"/>
      <c r="CL641" s="53"/>
      <c r="CN641" s="53"/>
      <c r="CO641" s="53"/>
      <c r="CP641" s="53"/>
      <c r="CQ641" s="53"/>
      <c r="CR641" s="53"/>
      <c r="CS641" s="53"/>
      <c r="CT641" s="5"/>
      <c r="CU641" s="5"/>
      <c r="CV641" s="5"/>
      <c r="CW641" s="5"/>
      <c r="CX641" s="5"/>
      <c r="CY641" s="5"/>
    </row>
    <row r="642" spans="1:103" ht="10.25" customHeight="1">
      <c r="A642" s="216"/>
      <c r="B642" s="217"/>
      <c r="C642" s="218"/>
      <c r="D642" s="219"/>
      <c r="E642" s="217"/>
      <c r="F642" s="217"/>
      <c r="G642" s="217"/>
      <c r="H642" s="220"/>
      <c r="I642" s="217"/>
      <c r="J642" s="217"/>
      <c r="K642" s="217"/>
      <c r="L642" s="217"/>
      <c r="M642" s="217"/>
      <c r="N642" s="217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  <c r="AQ642" s="44"/>
      <c r="AW642" s="63"/>
      <c r="AX642" s="63"/>
      <c r="AY642" s="63"/>
      <c r="AZ642" s="63"/>
      <c r="BA642" s="5"/>
      <c r="BB642" s="5"/>
      <c r="BC642" s="5"/>
      <c r="BD642" s="5"/>
      <c r="BE642" s="63"/>
      <c r="BF642" s="63"/>
      <c r="BG642" s="63"/>
      <c r="BV642" s="317"/>
      <c r="CF642" s="5"/>
      <c r="CG642" s="53"/>
      <c r="CH642" s="53"/>
      <c r="CI642" s="53"/>
      <c r="CJ642" s="53"/>
      <c r="CK642" s="53"/>
      <c r="CL642" s="53"/>
      <c r="CN642" s="53"/>
      <c r="CO642" s="53"/>
      <c r="CP642" s="53"/>
      <c r="CQ642" s="53"/>
      <c r="CR642" s="53"/>
      <c r="CS642" s="53"/>
      <c r="CT642" s="5"/>
      <c r="CU642" s="5"/>
      <c r="CV642" s="5"/>
      <c r="CW642" s="5"/>
      <c r="CX642" s="5"/>
      <c r="CY642" s="5"/>
    </row>
    <row r="643" spans="1:103" ht="10.25" customHeight="1">
      <c r="A643" s="216"/>
      <c r="B643" s="217"/>
      <c r="C643" s="218"/>
      <c r="D643" s="219"/>
      <c r="E643" s="217"/>
      <c r="F643" s="217"/>
      <c r="G643" s="217"/>
      <c r="H643" s="220"/>
      <c r="I643" s="217"/>
      <c r="J643" s="217"/>
      <c r="K643" s="217"/>
      <c r="L643" s="217"/>
      <c r="M643" s="217"/>
      <c r="N643" s="217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4"/>
      <c r="AQ643" s="44"/>
      <c r="AW643" s="63"/>
      <c r="AX643" s="63"/>
      <c r="AY643" s="63"/>
      <c r="AZ643" s="63"/>
      <c r="BA643" s="5"/>
      <c r="BB643" s="5"/>
      <c r="BC643" s="5"/>
      <c r="BD643" s="5"/>
      <c r="BE643" s="63"/>
      <c r="BF643" s="63"/>
      <c r="BG643" s="63"/>
      <c r="BV643" s="317"/>
      <c r="CF643" s="5"/>
      <c r="CG643" s="53"/>
      <c r="CH643" s="53"/>
      <c r="CI643" s="53"/>
      <c r="CJ643" s="53"/>
      <c r="CK643" s="53"/>
      <c r="CL643" s="53"/>
      <c r="CN643" s="53"/>
      <c r="CO643" s="53"/>
      <c r="CP643" s="53"/>
      <c r="CQ643" s="53"/>
      <c r="CR643" s="53"/>
      <c r="CS643" s="53"/>
      <c r="CT643" s="5"/>
      <c r="CU643" s="5"/>
      <c r="CV643" s="5"/>
      <c r="CW643" s="5"/>
      <c r="CX643" s="5"/>
      <c r="CY643" s="5"/>
    </row>
    <row r="644" spans="1:103" ht="10.25" customHeight="1">
      <c r="A644" s="216"/>
      <c r="B644" s="217"/>
      <c r="C644" s="218"/>
      <c r="D644" s="219"/>
      <c r="E644" s="217"/>
      <c r="F644" s="217"/>
      <c r="G644" s="217"/>
      <c r="H644" s="220"/>
      <c r="I644" s="217"/>
      <c r="J644" s="217"/>
      <c r="K644" s="217"/>
      <c r="L644" s="217"/>
      <c r="M644" s="217"/>
      <c r="N644" s="217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4"/>
      <c r="AQ644" s="44"/>
      <c r="BA644" s="5"/>
      <c r="BB644" s="5"/>
      <c r="BC644" s="5"/>
      <c r="BD644" s="5"/>
      <c r="BE644" s="63"/>
      <c r="BF644" s="63"/>
      <c r="BG644" s="63"/>
      <c r="BV644" s="317"/>
      <c r="CF644" s="5"/>
      <c r="CG644" s="53"/>
      <c r="CH644" s="53"/>
      <c r="CI644" s="53"/>
      <c r="CJ644" s="53"/>
      <c r="CK644" s="53"/>
      <c r="CL644" s="53"/>
      <c r="CN644" s="53"/>
      <c r="CO644" s="53"/>
      <c r="CP644" s="53"/>
      <c r="CQ644" s="53"/>
      <c r="CR644" s="53"/>
      <c r="CS644" s="53"/>
      <c r="CT644" s="5"/>
      <c r="CU644" s="5"/>
      <c r="CV644" s="5"/>
      <c r="CW644" s="5"/>
      <c r="CX644" s="5"/>
      <c r="CY644" s="5"/>
    </row>
    <row r="645" spans="1:103" ht="10.25" customHeight="1">
      <c r="A645" s="216"/>
      <c r="B645" s="217"/>
      <c r="C645" s="218"/>
      <c r="D645" s="219"/>
      <c r="E645" s="217"/>
      <c r="F645" s="217"/>
      <c r="G645" s="217"/>
      <c r="H645" s="220"/>
      <c r="I645" s="217"/>
      <c r="J645" s="217"/>
      <c r="K645" s="217"/>
      <c r="L645" s="217"/>
      <c r="M645" s="217"/>
      <c r="N645" s="217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  <c r="AQ645" s="44"/>
      <c r="BA645" s="5"/>
      <c r="BB645" s="5"/>
      <c r="BC645" s="5"/>
      <c r="BD645" s="5"/>
      <c r="BE645" s="63"/>
      <c r="BF645" s="63"/>
      <c r="BG645" s="63"/>
      <c r="BV645" s="317"/>
      <c r="CF645" s="5"/>
      <c r="CG645" s="53"/>
      <c r="CH645" s="53"/>
      <c r="CI645" s="53"/>
      <c r="CJ645" s="53"/>
      <c r="CK645" s="53"/>
      <c r="CL645" s="53"/>
      <c r="CN645" s="53"/>
      <c r="CO645" s="53"/>
      <c r="CP645" s="53"/>
      <c r="CQ645" s="53"/>
      <c r="CR645" s="53"/>
      <c r="CS645" s="53"/>
      <c r="CT645" s="5"/>
      <c r="CU645" s="5"/>
      <c r="CV645" s="5"/>
      <c r="CW645" s="5"/>
      <c r="CX645" s="5"/>
      <c r="CY645" s="5"/>
    </row>
    <row r="646" spans="1:103" ht="10.25" customHeight="1">
      <c r="A646" s="216"/>
      <c r="B646" s="217"/>
      <c r="C646" s="218"/>
      <c r="D646" s="219"/>
      <c r="E646" s="217"/>
      <c r="F646" s="217"/>
      <c r="G646" s="217"/>
      <c r="H646" s="220"/>
      <c r="I646" s="217"/>
      <c r="J646" s="217"/>
      <c r="K646" s="217"/>
      <c r="L646" s="217"/>
      <c r="M646" s="217"/>
      <c r="N646" s="217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BA646" s="5"/>
      <c r="BB646" s="5"/>
      <c r="BC646" s="5"/>
      <c r="BD646" s="5"/>
      <c r="BE646" s="63"/>
      <c r="BF646" s="63"/>
      <c r="BG646" s="63"/>
      <c r="CA646" s="317"/>
      <c r="CF646" s="5"/>
      <c r="CG646" s="53"/>
      <c r="CH646" s="53"/>
      <c r="CI646" s="53"/>
      <c r="CJ646" s="53"/>
      <c r="CK646" s="53"/>
      <c r="CL646" s="53"/>
      <c r="CN646" s="53"/>
      <c r="CO646" s="53"/>
      <c r="CP646" s="53"/>
      <c r="CQ646" s="53"/>
      <c r="CR646" s="53"/>
      <c r="CS646" s="53"/>
      <c r="CT646" s="5"/>
      <c r="CU646" s="5"/>
      <c r="CV646" s="5"/>
      <c r="CW646" s="5"/>
      <c r="CX646" s="5"/>
      <c r="CY646" s="5"/>
    </row>
    <row r="647" spans="1:103" ht="10.25" customHeight="1">
      <c r="A647" s="216"/>
      <c r="B647" s="217"/>
      <c r="C647" s="218"/>
      <c r="D647" s="219"/>
      <c r="E647" s="217"/>
      <c r="F647" s="217"/>
      <c r="G647" s="217"/>
      <c r="H647" s="220"/>
      <c r="I647" s="217"/>
      <c r="J647" s="217"/>
      <c r="K647" s="217"/>
      <c r="L647" s="217"/>
      <c r="M647" s="217"/>
      <c r="N647" s="217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BA647" s="5"/>
      <c r="BB647" s="5"/>
      <c r="BC647" s="5"/>
      <c r="BD647" s="5"/>
      <c r="BE647" s="63"/>
      <c r="BF647" s="63"/>
      <c r="BG647" s="63"/>
      <c r="CA647" s="317"/>
      <c r="CF647" s="5"/>
      <c r="CG647" s="53"/>
      <c r="CH647" s="53"/>
      <c r="CI647" s="53"/>
      <c r="CJ647" s="53"/>
      <c r="CK647" s="53"/>
      <c r="CL647" s="53"/>
      <c r="CN647" s="53"/>
      <c r="CO647" s="53"/>
      <c r="CP647" s="53"/>
      <c r="CQ647" s="53"/>
      <c r="CR647" s="53"/>
      <c r="CS647" s="53"/>
      <c r="CT647" s="5"/>
      <c r="CU647" s="5"/>
      <c r="CV647" s="5"/>
      <c r="CW647" s="5"/>
      <c r="CX647" s="5"/>
      <c r="CY647" s="5"/>
    </row>
    <row r="648" spans="1:103" ht="10.25" customHeight="1">
      <c r="A648" s="216"/>
      <c r="B648" s="217"/>
      <c r="C648" s="218"/>
      <c r="D648" s="219"/>
      <c r="E648" s="217"/>
      <c r="F648" s="217"/>
      <c r="G648" s="217"/>
      <c r="H648" s="220"/>
      <c r="I648" s="217"/>
      <c r="J648" s="217"/>
      <c r="K648" s="217"/>
      <c r="L648" s="217"/>
      <c r="M648" s="217"/>
      <c r="N648" s="217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  <c r="AQ648" s="44"/>
      <c r="BA648" s="5"/>
      <c r="BB648" s="5"/>
      <c r="BC648" s="5"/>
      <c r="BD648" s="5"/>
      <c r="BE648" s="63"/>
      <c r="BF648" s="63"/>
      <c r="BG648" s="63"/>
      <c r="CA648" s="317"/>
      <c r="CF648" s="5"/>
      <c r="CG648" s="53"/>
      <c r="CH648" s="53"/>
      <c r="CI648" s="53"/>
      <c r="CJ648" s="53"/>
      <c r="CK648" s="53"/>
      <c r="CL648" s="53"/>
      <c r="CN648" s="53"/>
      <c r="CO648" s="53"/>
      <c r="CP648" s="53"/>
      <c r="CQ648" s="53"/>
      <c r="CR648" s="53"/>
      <c r="CS648" s="53"/>
      <c r="CT648" s="5"/>
      <c r="CU648" s="5"/>
      <c r="CV648" s="5"/>
      <c r="CW648" s="5"/>
      <c r="CX648" s="5"/>
      <c r="CY648" s="5"/>
    </row>
    <row r="649" spans="1:103" ht="10.25" customHeight="1">
      <c r="A649" s="216"/>
      <c r="B649" s="217"/>
      <c r="C649" s="218"/>
      <c r="D649" s="219"/>
      <c r="E649" s="217"/>
      <c r="F649" s="217"/>
      <c r="G649" s="217"/>
      <c r="H649" s="220"/>
      <c r="I649" s="217"/>
      <c r="J649" s="217"/>
      <c r="K649" s="217"/>
      <c r="L649" s="217"/>
      <c r="M649" s="217"/>
      <c r="N649" s="217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4"/>
      <c r="AQ649" s="44"/>
      <c r="BA649" s="5"/>
      <c r="BB649" s="5"/>
      <c r="BC649" s="5"/>
      <c r="BD649" s="5"/>
      <c r="BE649" s="63"/>
      <c r="BF649" s="63"/>
      <c r="BG649" s="63"/>
      <c r="CA649" s="317"/>
      <c r="CF649" s="5"/>
      <c r="CG649" s="53"/>
      <c r="CH649" s="53"/>
      <c r="CI649" s="53"/>
      <c r="CJ649" s="53"/>
      <c r="CK649" s="53"/>
      <c r="CL649" s="53"/>
      <c r="CN649" s="53"/>
      <c r="CO649" s="53"/>
      <c r="CP649" s="53"/>
      <c r="CQ649" s="53"/>
      <c r="CR649" s="53"/>
      <c r="CS649" s="53"/>
      <c r="CT649" s="5"/>
      <c r="CU649" s="5"/>
      <c r="CV649" s="5"/>
      <c r="CW649" s="5"/>
      <c r="CX649" s="5"/>
      <c r="CY649" s="5"/>
    </row>
    <row r="650" spans="1:103" ht="10.25" customHeight="1">
      <c r="A650" s="216"/>
      <c r="B650" s="217"/>
      <c r="C650" s="218"/>
      <c r="D650" s="219"/>
      <c r="E650" s="217"/>
      <c r="F650" s="217"/>
      <c r="G650" s="217"/>
      <c r="H650" s="220"/>
      <c r="I650" s="217"/>
      <c r="J650" s="217"/>
      <c r="K650" s="217"/>
      <c r="L650" s="217"/>
      <c r="M650" s="217"/>
      <c r="N650" s="217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BA650" s="5"/>
      <c r="BB650" s="5"/>
      <c r="BC650" s="5"/>
      <c r="BD650" s="5"/>
      <c r="BE650" s="63"/>
      <c r="BF650" s="63"/>
      <c r="BG650" s="63"/>
      <c r="CA650" s="317"/>
      <c r="CF650" s="5"/>
      <c r="CG650" s="53"/>
      <c r="CH650" s="53"/>
      <c r="CI650" s="53"/>
      <c r="CJ650" s="53"/>
      <c r="CK650" s="53"/>
      <c r="CL650" s="53"/>
      <c r="CN650" s="53"/>
      <c r="CO650" s="53"/>
      <c r="CP650" s="53"/>
      <c r="CQ650" s="53"/>
      <c r="CR650" s="53"/>
      <c r="CS650" s="53"/>
      <c r="CT650" s="5"/>
      <c r="CU650" s="5"/>
      <c r="CV650" s="5"/>
      <c r="CW650" s="5"/>
      <c r="CX650" s="5"/>
      <c r="CY650" s="5"/>
    </row>
    <row r="651" spans="1:103" ht="10.25" customHeight="1">
      <c r="A651" s="216"/>
      <c r="B651" s="217"/>
      <c r="C651" s="218"/>
      <c r="D651" s="219"/>
      <c r="E651" s="217"/>
      <c r="F651" s="217"/>
      <c r="G651" s="217"/>
      <c r="H651" s="220"/>
      <c r="I651" s="217"/>
      <c r="J651" s="217"/>
      <c r="K651" s="217"/>
      <c r="L651" s="217"/>
      <c r="M651" s="217"/>
      <c r="N651" s="217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BA651" s="5"/>
      <c r="BB651" s="5"/>
      <c r="BC651" s="5"/>
      <c r="BD651" s="5"/>
      <c r="BE651" s="63"/>
      <c r="BF651" s="63"/>
      <c r="BG651" s="63"/>
      <c r="CA651" s="317"/>
      <c r="CF651" s="5"/>
      <c r="CG651" s="53"/>
      <c r="CH651" s="53"/>
      <c r="CI651" s="53"/>
      <c r="CJ651" s="53"/>
      <c r="CK651" s="53"/>
      <c r="CL651" s="53"/>
      <c r="CN651" s="53"/>
      <c r="CO651" s="53"/>
      <c r="CP651" s="53"/>
      <c r="CQ651" s="53"/>
      <c r="CR651" s="53"/>
      <c r="CS651" s="53"/>
      <c r="CT651" s="5"/>
      <c r="CU651" s="5"/>
      <c r="CV651" s="5"/>
      <c r="CW651" s="5"/>
      <c r="CX651" s="5"/>
      <c r="CY651" s="5"/>
    </row>
    <row r="652" spans="1:103" ht="10.25" customHeight="1">
      <c r="A652" s="216"/>
      <c r="B652" s="217"/>
      <c r="C652" s="218"/>
      <c r="D652" s="219"/>
      <c r="E652" s="217"/>
      <c r="F652" s="217"/>
      <c r="G652" s="217"/>
      <c r="H652" s="220"/>
      <c r="I652" s="217"/>
      <c r="J652" s="217"/>
      <c r="K652" s="217"/>
      <c r="L652" s="217"/>
      <c r="M652" s="217"/>
      <c r="N652" s="217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BA652" s="5"/>
      <c r="BB652" s="5"/>
      <c r="BC652" s="5"/>
      <c r="BD652" s="5"/>
      <c r="BE652" s="63"/>
      <c r="BF652" s="63"/>
      <c r="BG652" s="63"/>
      <c r="CA652" s="317"/>
      <c r="CF652" s="5"/>
      <c r="CG652" s="53"/>
      <c r="CH652" s="53"/>
      <c r="CI652" s="53"/>
      <c r="CJ652" s="53"/>
      <c r="CK652" s="53"/>
      <c r="CL652" s="53"/>
      <c r="CN652" s="53"/>
      <c r="CO652" s="53"/>
      <c r="CP652" s="53"/>
      <c r="CQ652" s="53"/>
      <c r="CR652" s="53"/>
      <c r="CS652" s="53"/>
      <c r="CT652" s="5"/>
      <c r="CU652" s="5"/>
      <c r="CV652" s="5"/>
      <c r="CW652" s="5"/>
      <c r="CX652" s="5"/>
      <c r="CY652" s="5"/>
    </row>
    <row r="653" spans="1:103" ht="10.25" customHeight="1">
      <c r="A653" s="216"/>
      <c r="B653" s="217"/>
      <c r="C653" s="218"/>
      <c r="D653" s="219"/>
      <c r="E653" s="217"/>
      <c r="F653" s="217"/>
      <c r="G653" s="217"/>
      <c r="H653" s="220"/>
      <c r="I653" s="217"/>
      <c r="J653" s="217"/>
      <c r="K653" s="217"/>
      <c r="L653" s="217"/>
      <c r="M653" s="217"/>
      <c r="N653" s="217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BA653" s="5"/>
      <c r="BB653" s="5"/>
      <c r="BC653" s="5"/>
      <c r="BD653" s="5"/>
      <c r="BE653" s="63"/>
      <c r="BF653" s="63"/>
      <c r="BG653" s="63"/>
      <c r="CA653" s="317"/>
      <c r="CF653" s="5"/>
      <c r="CG653" s="53"/>
      <c r="CH653" s="53"/>
      <c r="CI653" s="53"/>
      <c r="CJ653" s="53"/>
      <c r="CK653" s="53"/>
      <c r="CL653" s="53"/>
      <c r="CN653" s="53"/>
      <c r="CO653" s="53"/>
      <c r="CP653" s="53"/>
      <c r="CQ653" s="53"/>
      <c r="CR653" s="53"/>
      <c r="CS653" s="53"/>
      <c r="CT653" s="5"/>
      <c r="CU653" s="5"/>
      <c r="CV653" s="5"/>
      <c r="CW653" s="5"/>
      <c r="CX653" s="5"/>
      <c r="CY653" s="5"/>
    </row>
    <row r="654" spans="1:103" ht="10.25" customHeight="1">
      <c r="A654" s="216"/>
      <c r="B654" s="217"/>
      <c r="C654" s="218"/>
      <c r="D654" s="219"/>
      <c r="E654" s="217"/>
      <c r="F654" s="217"/>
      <c r="G654" s="217"/>
      <c r="H654" s="220"/>
      <c r="I654" s="217"/>
      <c r="J654" s="217"/>
      <c r="K654" s="217"/>
      <c r="L654" s="217"/>
      <c r="M654" s="217"/>
      <c r="N654" s="217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BA654" s="5"/>
      <c r="BB654" s="5"/>
      <c r="BC654" s="5"/>
      <c r="BD654" s="5"/>
      <c r="BE654" s="63"/>
      <c r="BF654" s="63"/>
      <c r="BG654" s="63"/>
      <c r="CA654" s="317"/>
      <c r="CF654" s="5"/>
      <c r="CG654" s="53"/>
      <c r="CH654" s="53"/>
      <c r="CI654" s="53"/>
      <c r="CJ654" s="53"/>
      <c r="CK654" s="53"/>
      <c r="CL654" s="53"/>
      <c r="CN654" s="53"/>
      <c r="CO654" s="53"/>
      <c r="CP654" s="53"/>
      <c r="CQ654" s="53"/>
      <c r="CR654" s="53"/>
      <c r="CS654" s="53"/>
      <c r="CT654" s="5"/>
      <c r="CU654" s="5"/>
      <c r="CV654" s="5"/>
      <c r="CW654" s="5"/>
      <c r="CX654" s="5"/>
      <c r="CY654" s="5"/>
    </row>
    <row r="655" spans="1:103" ht="10.25" customHeight="1">
      <c r="A655" s="216"/>
      <c r="B655" s="217"/>
      <c r="C655" s="218"/>
      <c r="D655" s="219"/>
      <c r="E655" s="217"/>
      <c r="F655" s="217"/>
      <c r="G655" s="217"/>
      <c r="H655" s="220"/>
      <c r="I655" s="217"/>
      <c r="J655" s="217"/>
      <c r="K655" s="217"/>
      <c r="L655" s="217"/>
      <c r="M655" s="217"/>
      <c r="N655" s="217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BA655" s="5"/>
      <c r="BB655" s="5"/>
      <c r="BC655" s="5"/>
      <c r="BD655" s="5"/>
      <c r="BE655" s="63"/>
      <c r="BF655" s="63"/>
      <c r="BG655" s="63"/>
      <c r="CA655" s="317"/>
      <c r="CF655" s="5"/>
      <c r="CG655" s="53"/>
      <c r="CH655" s="53"/>
      <c r="CI655" s="53"/>
      <c r="CJ655" s="53"/>
      <c r="CK655" s="53"/>
      <c r="CL655" s="53"/>
      <c r="CN655" s="53"/>
      <c r="CO655" s="53"/>
      <c r="CP655" s="53"/>
      <c r="CQ655" s="53"/>
      <c r="CR655" s="53"/>
      <c r="CS655" s="53"/>
      <c r="CT655" s="5"/>
      <c r="CU655" s="5"/>
      <c r="CV655" s="5"/>
      <c r="CW655" s="5"/>
      <c r="CX655" s="5"/>
      <c r="CY655" s="5"/>
    </row>
    <row r="656" spans="1:103" ht="10.25" customHeight="1">
      <c r="A656" s="216"/>
      <c r="B656" s="217"/>
      <c r="C656" s="218"/>
      <c r="D656" s="219"/>
      <c r="E656" s="217"/>
      <c r="F656" s="217"/>
      <c r="G656" s="217"/>
      <c r="H656" s="220"/>
      <c r="I656" s="217"/>
      <c r="J656" s="217"/>
      <c r="K656" s="217"/>
      <c r="L656" s="217"/>
      <c r="M656" s="217"/>
      <c r="N656" s="217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BA656" s="5"/>
      <c r="BB656" s="5"/>
      <c r="BC656" s="5"/>
      <c r="BD656" s="5"/>
      <c r="BE656" s="63"/>
      <c r="BF656" s="63"/>
      <c r="BG656" s="63"/>
      <c r="CA656" s="317"/>
      <c r="CF656" s="5"/>
      <c r="CG656" s="53"/>
      <c r="CH656" s="53"/>
      <c r="CI656" s="53"/>
      <c r="CJ656" s="53"/>
      <c r="CK656" s="53"/>
      <c r="CL656" s="53"/>
      <c r="CN656" s="53"/>
      <c r="CO656" s="53"/>
      <c r="CP656" s="53"/>
      <c r="CQ656" s="53"/>
      <c r="CR656" s="53"/>
      <c r="CS656" s="53"/>
      <c r="CT656" s="5"/>
      <c r="CU656" s="5"/>
      <c r="CV656" s="5"/>
      <c r="CW656" s="5"/>
      <c r="CX656" s="5"/>
      <c r="CY656" s="5"/>
    </row>
    <row r="657" spans="1:103" ht="10.25" customHeight="1">
      <c r="A657" s="216"/>
      <c r="B657" s="217"/>
      <c r="C657" s="218"/>
      <c r="D657" s="219"/>
      <c r="E657" s="217"/>
      <c r="F657" s="217"/>
      <c r="G657" s="217"/>
      <c r="H657" s="220"/>
      <c r="I657" s="217"/>
      <c r="J657" s="217"/>
      <c r="K657" s="217"/>
      <c r="L657" s="217"/>
      <c r="M657" s="217"/>
      <c r="N657" s="217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BA657" s="5"/>
      <c r="BB657" s="5"/>
      <c r="BC657" s="5"/>
      <c r="BD657" s="5"/>
      <c r="BE657" s="63"/>
      <c r="BF657" s="63"/>
      <c r="BG657" s="63"/>
      <c r="CA657" s="317"/>
      <c r="CF657" s="5"/>
      <c r="CG657" s="53"/>
      <c r="CH657" s="53"/>
      <c r="CI657" s="53"/>
      <c r="CJ657" s="53"/>
      <c r="CK657" s="53"/>
      <c r="CL657" s="53"/>
      <c r="CN657" s="53"/>
      <c r="CO657" s="53"/>
      <c r="CP657" s="53"/>
      <c r="CQ657" s="53"/>
      <c r="CR657" s="53"/>
      <c r="CS657" s="53"/>
      <c r="CT657" s="5"/>
      <c r="CU657" s="5"/>
      <c r="CV657" s="5"/>
      <c r="CW657" s="5"/>
      <c r="CX657" s="5"/>
      <c r="CY657" s="5"/>
    </row>
    <row r="658" spans="1:103" ht="10.25" customHeight="1">
      <c r="A658" s="216"/>
      <c r="B658" s="217"/>
      <c r="C658" s="218"/>
      <c r="D658" s="219"/>
      <c r="E658" s="217"/>
      <c r="F658" s="217"/>
      <c r="G658" s="217"/>
      <c r="H658" s="220"/>
      <c r="I658" s="217"/>
      <c r="J658" s="217"/>
      <c r="K658" s="217"/>
      <c r="L658" s="217"/>
      <c r="M658" s="217"/>
      <c r="N658" s="217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BA658" s="5"/>
      <c r="BB658" s="5"/>
      <c r="BC658" s="5"/>
      <c r="BD658" s="5"/>
      <c r="BE658" s="63"/>
      <c r="BF658" s="63"/>
      <c r="BG658" s="63"/>
      <c r="CA658" s="256"/>
      <c r="CB658" s="261"/>
      <c r="CC658" s="261"/>
      <c r="CD658" s="261"/>
      <c r="CE658" s="261"/>
      <c r="CF658" s="255"/>
      <c r="CG658" s="53"/>
      <c r="CH658" s="53"/>
      <c r="CI658" s="53"/>
      <c r="CJ658" s="53"/>
      <c r="CK658" s="53"/>
      <c r="CL658" s="53"/>
      <c r="CN658" s="53"/>
      <c r="CO658" s="53"/>
      <c r="CP658" s="53"/>
      <c r="CQ658" s="53"/>
      <c r="CR658" s="53"/>
      <c r="CS658" s="53"/>
      <c r="CT658" s="261"/>
      <c r="CU658" s="255"/>
      <c r="CV658" s="261"/>
      <c r="CW658" s="261"/>
      <c r="CX658" s="261"/>
      <c r="CY658" s="255"/>
    </row>
    <row r="659" spans="1:103" ht="10.25" customHeight="1">
      <c r="A659" s="216"/>
      <c r="B659" s="217"/>
      <c r="C659" s="218"/>
      <c r="D659" s="219"/>
      <c r="E659" s="217"/>
      <c r="F659" s="217"/>
      <c r="G659" s="217"/>
      <c r="H659" s="220"/>
      <c r="I659" s="217"/>
      <c r="J659" s="217"/>
      <c r="K659" s="217"/>
      <c r="L659" s="217"/>
      <c r="M659" s="217"/>
      <c r="N659" s="217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BA659" s="5"/>
      <c r="BB659" s="5"/>
      <c r="BC659" s="5"/>
      <c r="BD659" s="5"/>
      <c r="BE659" s="63"/>
      <c r="BF659" s="63"/>
      <c r="BG659" s="63"/>
      <c r="CA659" s="256"/>
      <c r="CB659" s="261"/>
      <c r="CC659" s="261"/>
      <c r="CD659" s="261"/>
      <c r="CE659" s="261"/>
      <c r="CF659" s="255"/>
      <c r="CG659" s="53"/>
      <c r="CH659" s="53"/>
      <c r="CI659" s="53"/>
      <c r="CJ659" s="53"/>
      <c r="CK659" s="53"/>
      <c r="CL659" s="53"/>
      <c r="CN659" s="53"/>
      <c r="CO659" s="53"/>
      <c r="CP659" s="53"/>
      <c r="CQ659" s="53"/>
      <c r="CR659" s="53"/>
      <c r="CS659" s="53"/>
      <c r="CT659" s="261"/>
      <c r="CU659" s="255"/>
      <c r="CV659" s="261"/>
      <c r="CW659" s="261"/>
      <c r="CX659" s="261"/>
      <c r="CY659" s="255"/>
    </row>
    <row r="660" spans="1:103" ht="10.25" customHeight="1">
      <c r="A660" s="216"/>
      <c r="B660" s="217"/>
      <c r="C660" s="218"/>
      <c r="D660" s="219"/>
      <c r="E660" s="217"/>
      <c r="F660" s="217"/>
      <c r="G660" s="217"/>
      <c r="H660" s="220"/>
      <c r="I660" s="217"/>
      <c r="J660" s="217"/>
      <c r="K660" s="217"/>
      <c r="L660" s="217"/>
      <c r="M660" s="217"/>
      <c r="N660" s="217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BA660" s="5"/>
      <c r="BB660" s="5"/>
      <c r="BC660" s="5"/>
      <c r="BD660" s="5"/>
      <c r="BE660" s="63"/>
      <c r="BF660" s="63"/>
      <c r="BG660" s="63"/>
      <c r="CA660" s="256"/>
      <c r="CB660" s="261"/>
      <c r="CC660" s="261"/>
      <c r="CD660" s="261"/>
      <c r="CE660" s="261"/>
      <c r="CF660" s="255"/>
      <c r="CG660" s="53"/>
      <c r="CH660" s="53"/>
      <c r="CI660" s="53"/>
      <c r="CJ660" s="53"/>
      <c r="CK660" s="53"/>
      <c r="CL660" s="53"/>
      <c r="CN660" s="53"/>
      <c r="CO660" s="53"/>
      <c r="CP660" s="53"/>
      <c r="CQ660" s="53"/>
      <c r="CR660" s="53"/>
      <c r="CS660" s="53"/>
      <c r="CT660" s="261"/>
      <c r="CU660" s="255"/>
      <c r="CV660" s="261"/>
      <c r="CW660" s="255"/>
      <c r="CX660" s="261"/>
      <c r="CY660" s="255"/>
    </row>
    <row r="661" spans="1:103" ht="10.25" customHeight="1">
      <c r="A661" s="216"/>
      <c r="B661" s="217"/>
      <c r="C661" s="218"/>
      <c r="D661" s="219"/>
      <c r="E661" s="217"/>
      <c r="F661" s="217"/>
      <c r="G661" s="217"/>
      <c r="H661" s="220"/>
      <c r="I661" s="217"/>
      <c r="J661" s="217"/>
      <c r="K661" s="217"/>
      <c r="L661" s="217"/>
      <c r="M661" s="217"/>
      <c r="N661" s="217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BA661" s="5"/>
      <c r="BB661" s="5"/>
      <c r="BC661" s="5"/>
      <c r="BD661" s="5"/>
      <c r="BE661" s="63"/>
      <c r="BF661" s="63"/>
      <c r="BG661" s="63"/>
      <c r="CA661" s="256"/>
      <c r="CB661" s="261"/>
      <c r="CC661" s="261"/>
      <c r="CD661" s="261"/>
      <c r="CE661" s="261"/>
      <c r="CF661" s="255"/>
      <c r="CG661" s="53"/>
      <c r="CH661" s="53"/>
      <c r="CI661" s="53"/>
      <c r="CJ661" s="53"/>
      <c r="CK661" s="53"/>
      <c r="CL661" s="53"/>
      <c r="CN661" s="53"/>
      <c r="CO661" s="53"/>
      <c r="CP661" s="53"/>
      <c r="CQ661" s="53"/>
      <c r="CR661" s="53"/>
      <c r="CS661" s="53"/>
      <c r="CT661" s="261"/>
      <c r="CU661" s="255"/>
      <c r="CV661" s="255"/>
      <c r="CW661" s="261"/>
      <c r="CX661" s="261"/>
      <c r="CY661" s="255"/>
    </row>
    <row r="662" spans="1:103" ht="10.25" customHeight="1">
      <c r="A662" s="216"/>
      <c r="B662" s="217"/>
      <c r="C662" s="218"/>
      <c r="D662" s="219"/>
      <c r="E662" s="217"/>
      <c r="F662" s="217"/>
      <c r="G662" s="217"/>
      <c r="H662" s="220"/>
      <c r="I662" s="217"/>
      <c r="J662" s="217"/>
      <c r="K662" s="217"/>
      <c r="L662" s="217"/>
      <c r="M662" s="217"/>
      <c r="N662" s="217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BA662" s="5"/>
      <c r="BB662" s="5"/>
      <c r="BC662" s="5"/>
      <c r="BD662" s="5"/>
      <c r="BE662" s="63"/>
      <c r="BF662" s="63"/>
      <c r="BG662" s="63"/>
      <c r="CA662" s="256"/>
      <c r="CB662" s="261"/>
      <c r="CC662" s="261"/>
      <c r="CD662" s="261"/>
      <c r="CE662" s="261"/>
      <c r="CF662" s="255"/>
      <c r="CG662" s="53"/>
      <c r="CH662" s="53"/>
      <c r="CI662" s="53"/>
      <c r="CJ662" s="53"/>
      <c r="CK662" s="53"/>
      <c r="CL662" s="53"/>
      <c r="CN662" s="53"/>
      <c r="CO662" s="53"/>
      <c r="CP662" s="53"/>
      <c r="CQ662" s="53"/>
      <c r="CR662" s="53"/>
      <c r="CS662" s="53"/>
      <c r="CT662" s="261"/>
      <c r="CU662" s="255"/>
      <c r="CV662" s="261"/>
      <c r="CW662" s="255"/>
      <c r="CX662" s="261"/>
      <c r="CY662" s="255"/>
    </row>
    <row r="663" spans="1:103" ht="10.25" customHeight="1">
      <c r="A663" s="216"/>
      <c r="B663" s="217"/>
      <c r="C663" s="218"/>
      <c r="D663" s="219"/>
      <c r="E663" s="217"/>
      <c r="F663" s="217"/>
      <c r="G663" s="217"/>
      <c r="H663" s="220"/>
      <c r="I663" s="217"/>
      <c r="J663" s="217"/>
      <c r="K663" s="217"/>
      <c r="L663" s="217"/>
      <c r="M663" s="217"/>
      <c r="N663" s="217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BA663" s="5"/>
      <c r="BB663" s="5"/>
      <c r="BC663" s="5"/>
      <c r="BD663" s="5"/>
      <c r="BE663" s="63"/>
      <c r="BF663" s="63"/>
      <c r="BG663" s="63"/>
      <c r="CA663" s="256"/>
      <c r="CB663" s="261"/>
      <c r="CC663" s="261"/>
      <c r="CD663" s="261"/>
      <c r="CE663" s="255"/>
      <c r="CF663" s="261"/>
      <c r="CG663" s="53"/>
      <c r="CH663" s="53"/>
      <c r="CI663" s="53"/>
      <c r="CJ663" s="53"/>
      <c r="CK663" s="53"/>
      <c r="CL663" s="53"/>
      <c r="CN663" s="53"/>
      <c r="CO663" s="53"/>
      <c r="CP663" s="53"/>
      <c r="CQ663" s="53"/>
      <c r="CR663" s="53"/>
      <c r="CS663" s="53"/>
      <c r="CT663" s="255"/>
      <c r="CU663" s="261"/>
      <c r="CV663" s="255"/>
      <c r="CW663" s="261"/>
      <c r="CX663" s="261"/>
      <c r="CY663" s="255"/>
    </row>
    <row r="664" spans="1:103" ht="10.25" customHeight="1">
      <c r="A664" s="216"/>
      <c r="B664" s="217"/>
      <c r="C664" s="218"/>
      <c r="D664" s="219"/>
      <c r="E664" s="217"/>
      <c r="F664" s="217"/>
      <c r="G664" s="217"/>
      <c r="H664" s="220"/>
      <c r="I664" s="217"/>
      <c r="J664" s="217"/>
      <c r="K664" s="217"/>
      <c r="L664" s="217"/>
      <c r="M664" s="217"/>
      <c r="N664" s="217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BA664" s="5"/>
      <c r="BB664" s="5"/>
      <c r="BC664" s="5"/>
      <c r="BD664" s="5"/>
      <c r="BE664" s="63"/>
      <c r="BF664" s="63"/>
      <c r="BG664" s="63"/>
      <c r="CA664" s="256"/>
      <c r="CB664" s="261"/>
      <c r="CC664" s="261"/>
      <c r="CD664" s="261"/>
      <c r="CE664" s="255"/>
      <c r="CF664" s="261"/>
      <c r="CG664" s="53"/>
      <c r="CH664" s="53"/>
      <c r="CI664" s="53"/>
      <c r="CJ664" s="53"/>
      <c r="CK664" s="53"/>
      <c r="CL664" s="53"/>
      <c r="CN664" s="53"/>
      <c r="CO664" s="53"/>
      <c r="CP664" s="53"/>
      <c r="CQ664" s="53"/>
      <c r="CR664" s="53"/>
      <c r="CS664" s="53"/>
      <c r="CT664" s="255"/>
      <c r="CU664" s="261"/>
      <c r="CV664" s="261"/>
      <c r="CW664" s="255"/>
      <c r="CX664" s="261"/>
      <c r="CY664" s="255"/>
    </row>
    <row r="665" spans="1:103" ht="10.25" customHeight="1">
      <c r="A665" s="216"/>
      <c r="B665" s="217"/>
      <c r="C665" s="218"/>
      <c r="D665" s="219"/>
      <c r="E665" s="217"/>
      <c r="F665" s="217"/>
      <c r="G665" s="217"/>
      <c r="H665" s="220"/>
      <c r="I665" s="217"/>
      <c r="J665" s="217"/>
      <c r="K665" s="217"/>
      <c r="L665" s="217"/>
      <c r="M665" s="217"/>
      <c r="N665" s="217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BA665" s="5"/>
      <c r="BB665" s="5"/>
      <c r="BC665" s="5"/>
      <c r="BD665" s="5"/>
      <c r="BE665" s="63"/>
      <c r="BF665" s="63"/>
      <c r="BG665" s="63"/>
      <c r="CA665" s="256"/>
      <c r="CB665" s="261"/>
      <c r="CC665" s="261"/>
      <c r="CD665" s="255"/>
      <c r="CE665" s="261"/>
      <c r="CF665" s="261"/>
      <c r="CG665" s="53"/>
      <c r="CH665" s="53"/>
      <c r="CI665" s="53"/>
      <c r="CJ665" s="53"/>
      <c r="CK665" s="53"/>
      <c r="CL665" s="53"/>
      <c r="CN665" s="53"/>
      <c r="CO665" s="53"/>
      <c r="CP665" s="53"/>
      <c r="CQ665" s="53"/>
      <c r="CR665" s="53"/>
      <c r="CS665" s="53"/>
      <c r="CT665" s="261"/>
      <c r="CU665" s="261"/>
      <c r="CV665" s="255"/>
      <c r="CW665" s="261"/>
      <c r="CX665" s="261"/>
      <c r="CY665" s="255"/>
    </row>
    <row r="666" spans="1:103" ht="10.25" customHeight="1">
      <c r="A666" s="216"/>
      <c r="B666" s="217"/>
      <c r="C666" s="218"/>
      <c r="D666" s="219"/>
      <c r="E666" s="217"/>
      <c r="F666" s="217"/>
      <c r="G666" s="217"/>
      <c r="H666" s="220"/>
      <c r="I666" s="217"/>
      <c r="J666" s="217"/>
      <c r="K666" s="217"/>
      <c r="L666" s="217"/>
      <c r="M666" s="217"/>
      <c r="N666" s="217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4"/>
      <c r="AQ666" s="44"/>
      <c r="BA666" s="5"/>
      <c r="BB666" s="5"/>
      <c r="BC666" s="5"/>
      <c r="BD666" s="5"/>
      <c r="BE666" s="63"/>
      <c r="BF666" s="63"/>
      <c r="BG666" s="63"/>
      <c r="CA666" s="256"/>
      <c r="CB666" s="261"/>
      <c r="CC666" s="261"/>
      <c r="CD666" s="255"/>
      <c r="CE666" s="261"/>
      <c r="CF666" s="261"/>
      <c r="CG666" s="53"/>
      <c r="CH666" s="53"/>
      <c r="CI666" s="53"/>
      <c r="CJ666" s="53"/>
      <c r="CK666" s="53"/>
      <c r="CL666" s="53"/>
      <c r="CN666" s="53"/>
      <c r="CO666" s="53"/>
      <c r="CP666" s="53"/>
      <c r="CQ666" s="53"/>
      <c r="CR666" s="53"/>
      <c r="CS666" s="53"/>
      <c r="CT666" s="261"/>
      <c r="CU666" s="261"/>
      <c r="CV666" s="261"/>
      <c r="CW666" s="255"/>
      <c r="CX666" s="261"/>
      <c r="CY666" s="255"/>
    </row>
    <row r="667" spans="1:103" ht="10.25" customHeight="1">
      <c r="A667" s="216"/>
      <c r="B667" s="217"/>
      <c r="C667" s="218"/>
      <c r="D667" s="219"/>
      <c r="E667" s="217"/>
      <c r="F667" s="217"/>
      <c r="G667" s="217"/>
      <c r="H667" s="220"/>
      <c r="I667" s="217"/>
      <c r="J667" s="217"/>
      <c r="K667" s="217"/>
      <c r="L667" s="217"/>
      <c r="M667" s="217"/>
      <c r="N667" s="217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  <c r="AP667" s="44"/>
      <c r="AQ667" s="44"/>
      <c r="BA667" s="5"/>
      <c r="BB667" s="5"/>
      <c r="BC667" s="5"/>
      <c r="BD667" s="5"/>
      <c r="BE667" s="63"/>
      <c r="BF667" s="63"/>
      <c r="BG667" s="63"/>
      <c r="CA667" s="256"/>
      <c r="CB667" s="261"/>
      <c r="CC667" s="261"/>
      <c r="CD667" s="255"/>
      <c r="CE667" s="261"/>
      <c r="CF667" s="261"/>
      <c r="CG667" s="53"/>
      <c r="CH667" s="53"/>
      <c r="CI667" s="53"/>
      <c r="CJ667" s="53"/>
      <c r="CK667" s="53"/>
      <c r="CL667" s="53"/>
      <c r="CN667" s="53"/>
      <c r="CO667" s="53"/>
      <c r="CP667" s="53"/>
      <c r="CQ667" s="53"/>
      <c r="CR667" s="53"/>
      <c r="CS667" s="53"/>
      <c r="CT667" s="261"/>
      <c r="CU667" s="261"/>
      <c r="CV667" s="261"/>
      <c r="CW667" s="261"/>
      <c r="CX667" s="261"/>
      <c r="CY667" s="255"/>
    </row>
    <row r="668" spans="1:103" ht="10.25" customHeight="1">
      <c r="A668" s="216"/>
      <c r="B668" s="217"/>
      <c r="C668" s="218"/>
      <c r="D668" s="219"/>
      <c r="E668" s="217"/>
      <c r="F668" s="217"/>
      <c r="G668" s="217"/>
      <c r="H668" s="220"/>
      <c r="I668" s="217"/>
      <c r="J668" s="217"/>
      <c r="K668" s="217"/>
      <c r="L668" s="217"/>
      <c r="M668" s="217"/>
      <c r="N668" s="217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  <c r="AQ668" s="44"/>
      <c r="BA668" s="5"/>
      <c r="BB668" s="5"/>
      <c r="BC668" s="5"/>
      <c r="BD668" s="5"/>
      <c r="BE668" s="63"/>
      <c r="BF668" s="63"/>
      <c r="BG668" s="63"/>
      <c r="CA668" s="256"/>
      <c r="CB668" s="261"/>
      <c r="CC668" s="261"/>
      <c r="CD668" s="261"/>
      <c r="CE668" s="261"/>
      <c r="CF668" s="261"/>
      <c r="CG668" s="53"/>
      <c r="CH668" s="53"/>
      <c r="CI668" s="53"/>
      <c r="CJ668" s="53"/>
      <c r="CK668" s="53"/>
      <c r="CL668" s="53"/>
      <c r="CN668" s="53"/>
      <c r="CO668" s="53"/>
      <c r="CP668" s="53"/>
      <c r="CQ668" s="53"/>
      <c r="CR668" s="53"/>
      <c r="CS668" s="53"/>
      <c r="CT668" s="261"/>
      <c r="CU668" s="261"/>
      <c r="CV668" s="255"/>
      <c r="CW668" s="255"/>
      <c r="CX668" s="261"/>
      <c r="CY668" s="255"/>
    </row>
    <row r="669" spans="1:103" ht="10.25" customHeight="1">
      <c r="A669" s="216"/>
      <c r="B669" s="217"/>
      <c r="C669" s="218"/>
      <c r="D669" s="219"/>
      <c r="E669" s="217"/>
      <c r="F669" s="217"/>
      <c r="G669" s="217"/>
      <c r="H669" s="220"/>
      <c r="I669" s="217"/>
      <c r="J669" s="217"/>
      <c r="K669" s="217"/>
      <c r="L669" s="217"/>
      <c r="M669" s="217"/>
      <c r="N669" s="217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4"/>
      <c r="AQ669" s="44"/>
      <c r="BA669" s="5"/>
      <c r="BB669" s="5"/>
      <c r="BC669" s="5"/>
      <c r="BD669" s="5"/>
      <c r="BE669" s="63"/>
      <c r="BF669" s="63"/>
      <c r="BG669" s="63"/>
      <c r="CA669" s="256"/>
      <c r="CB669" s="261"/>
      <c r="CC669" s="261"/>
      <c r="CD669" s="261"/>
      <c r="CE669" s="261"/>
      <c r="CF669" s="261"/>
      <c r="CG669" s="53"/>
      <c r="CH669" s="53"/>
      <c r="CI669" s="53"/>
      <c r="CJ669" s="53"/>
      <c r="CK669" s="53"/>
      <c r="CL669" s="53"/>
      <c r="CN669" s="53"/>
      <c r="CO669" s="53"/>
      <c r="CP669" s="53"/>
      <c r="CQ669" s="53"/>
      <c r="CR669" s="53"/>
      <c r="CS669" s="53"/>
      <c r="CT669" s="261"/>
      <c r="CU669" s="261"/>
      <c r="CV669" s="261"/>
      <c r="CW669" s="261"/>
      <c r="CX669" s="261"/>
      <c r="CY669" s="255"/>
    </row>
    <row r="670" spans="1:103" ht="10.25" customHeight="1">
      <c r="A670" s="216"/>
      <c r="B670" s="217"/>
      <c r="C670" s="218"/>
      <c r="D670" s="219"/>
      <c r="E670" s="217"/>
      <c r="F670" s="217"/>
      <c r="G670" s="217"/>
      <c r="H670" s="220"/>
      <c r="I670" s="217"/>
      <c r="J670" s="217"/>
      <c r="K670" s="217"/>
      <c r="L670" s="217"/>
      <c r="M670" s="217"/>
      <c r="N670" s="217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  <c r="AP670" s="44"/>
      <c r="AQ670" s="44"/>
      <c r="BA670" s="5"/>
      <c r="BB670" s="5"/>
      <c r="BC670" s="5"/>
      <c r="BD670" s="5"/>
      <c r="BE670" s="63"/>
      <c r="BF670" s="63"/>
      <c r="BG670" s="63"/>
      <c r="CA670" s="256"/>
      <c r="CB670" s="261"/>
      <c r="CC670" s="261"/>
      <c r="CD670" s="261"/>
      <c r="CE670" s="261"/>
      <c r="CF670" s="261"/>
      <c r="CG670" s="53"/>
      <c r="CH670" s="53"/>
      <c r="CI670" s="53"/>
      <c r="CJ670" s="53"/>
      <c r="CK670" s="53"/>
      <c r="CL670" s="53"/>
      <c r="CN670" s="53"/>
      <c r="CO670" s="53"/>
      <c r="CP670" s="53"/>
      <c r="CQ670" s="53"/>
      <c r="CR670" s="53"/>
      <c r="CS670" s="53"/>
      <c r="CT670" s="261"/>
      <c r="CU670" s="261"/>
      <c r="CV670" s="255"/>
      <c r="CW670" s="255"/>
      <c r="CX670" s="261"/>
      <c r="CY670" s="255"/>
    </row>
    <row r="671" spans="1:103" ht="10.25" customHeight="1">
      <c r="A671" s="216"/>
      <c r="B671" s="217"/>
      <c r="C671" s="218"/>
      <c r="D671" s="219"/>
      <c r="E671" s="217"/>
      <c r="F671" s="217"/>
      <c r="G671" s="217"/>
      <c r="H671" s="220"/>
      <c r="I671" s="217"/>
      <c r="J671" s="217"/>
      <c r="K671" s="217"/>
      <c r="L671" s="217"/>
      <c r="M671" s="217"/>
      <c r="N671" s="217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  <c r="AP671" s="44"/>
      <c r="AQ671" s="44"/>
      <c r="BA671" s="5"/>
      <c r="BB671" s="5"/>
      <c r="BC671" s="5"/>
      <c r="BD671" s="5"/>
      <c r="BE671" s="63"/>
      <c r="BF671" s="63"/>
      <c r="BG671" s="63"/>
      <c r="CA671" s="256"/>
      <c r="CB671" s="261"/>
      <c r="CC671" s="261"/>
      <c r="CD671" s="261"/>
      <c r="CE671" s="261"/>
      <c r="CF671" s="261"/>
      <c r="CG671" s="53"/>
      <c r="CH671" s="53"/>
      <c r="CI671" s="53"/>
      <c r="CJ671" s="53"/>
      <c r="CK671" s="53"/>
      <c r="CL671" s="53"/>
      <c r="CN671" s="53"/>
      <c r="CO671" s="53"/>
      <c r="CP671" s="53"/>
      <c r="CQ671" s="53"/>
      <c r="CR671" s="53"/>
      <c r="CS671" s="53"/>
      <c r="CT671" s="261"/>
      <c r="CU671" s="261"/>
      <c r="CV671" s="261"/>
      <c r="CW671" s="261"/>
      <c r="CX671" s="255"/>
      <c r="CY671" s="255"/>
    </row>
    <row r="672" spans="1:103" ht="10.25" customHeight="1">
      <c r="A672" s="216"/>
      <c r="B672" s="217"/>
      <c r="C672" s="218"/>
      <c r="D672" s="219"/>
      <c r="E672" s="217"/>
      <c r="F672" s="217"/>
      <c r="G672" s="217"/>
      <c r="H672" s="220"/>
      <c r="I672" s="217"/>
      <c r="J672" s="217"/>
      <c r="K672" s="217"/>
      <c r="L672" s="217"/>
      <c r="M672" s="217"/>
      <c r="N672" s="217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4"/>
      <c r="AQ672" s="44"/>
      <c r="BA672" s="5"/>
      <c r="BB672" s="5"/>
      <c r="BC672" s="5"/>
      <c r="BD672" s="5"/>
      <c r="BE672" s="63"/>
      <c r="BF672" s="63"/>
      <c r="BG672" s="63"/>
      <c r="CA672" s="256"/>
      <c r="CB672" s="261"/>
      <c r="CC672" s="261"/>
      <c r="CD672" s="261"/>
      <c r="CE672" s="261"/>
      <c r="CF672" s="261"/>
      <c r="CG672" s="53"/>
      <c r="CH672" s="53"/>
      <c r="CI672" s="53"/>
      <c r="CJ672" s="53"/>
      <c r="CK672" s="53"/>
      <c r="CL672" s="53"/>
      <c r="CN672" s="53"/>
      <c r="CO672" s="53"/>
      <c r="CP672" s="53"/>
      <c r="CQ672" s="53"/>
      <c r="CR672" s="53"/>
      <c r="CS672" s="53"/>
      <c r="CT672" s="261"/>
      <c r="CU672" s="261"/>
      <c r="CV672" s="255"/>
      <c r="CW672" s="255"/>
      <c r="CX672" s="261"/>
      <c r="CY672" s="255"/>
    </row>
    <row r="673" spans="1:103" ht="10.25" customHeight="1">
      <c r="A673" s="216"/>
      <c r="B673" s="217"/>
      <c r="C673" s="218"/>
      <c r="D673" s="219"/>
      <c r="E673" s="217"/>
      <c r="F673" s="217"/>
      <c r="G673" s="217"/>
      <c r="H673" s="220"/>
      <c r="I673" s="217"/>
      <c r="J673" s="217"/>
      <c r="K673" s="217"/>
      <c r="L673" s="217"/>
      <c r="M673" s="217"/>
      <c r="N673" s="217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4"/>
      <c r="AM673" s="44"/>
      <c r="AN673" s="44"/>
      <c r="AO673" s="44"/>
      <c r="AP673" s="44"/>
      <c r="AQ673" s="44"/>
      <c r="BA673" s="5"/>
      <c r="BB673" s="5"/>
      <c r="BC673" s="5"/>
      <c r="BD673" s="5"/>
      <c r="BE673" s="63"/>
      <c r="BF673" s="63"/>
      <c r="BG673" s="63"/>
      <c r="CA673" s="256"/>
      <c r="CB673" s="261"/>
      <c r="CC673" s="261"/>
      <c r="CD673" s="261"/>
      <c r="CE673" s="261"/>
      <c r="CF673" s="261"/>
      <c r="CG673" s="53"/>
      <c r="CH673" s="53"/>
      <c r="CI673" s="53"/>
      <c r="CJ673" s="53"/>
      <c r="CK673" s="53"/>
      <c r="CL673" s="53"/>
      <c r="CN673" s="53"/>
      <c r="CO673" s="53"/>
      <c r="CP673" s="53"/>
      <c r="CQ673" s="53"/>
      <c r="CR673" s="53"/>
      <c r="CS673" s="53"/>
      <c r="CT673" s="261"/>
      <c r="CU673" s="261"/>
      <c r="CV673" s="261"/>
      <c r="CW673" s="261"/>
      <c r="CX673" s="261"/>
      <c r="CY673" s="255"/>
    </row>
    <row r="674" spans="1:103" ht="10.25" customHeight="1">
      <c r="A674" s="216"/>
      <c r="B674" s="217"/>
      <c r="C674" s="218"/>
      <c r="D674" s="219"/>
      <c r="E674" s="217"/>
      <c r="F674" s="217"/>
      <c r="G674" s="217"/>
      <c r="H674" s="220"/>
      <c r="I674" s="217"/>
      <c r="J674" s="217"/>
      <c r="K674" s="217"/>
      <c r="L674" s="217"/>
      <c r="M674" s="217"/>
      <c r="N674" s="217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4"/>
      <c r="AQ674" s="44"/>
      <c r="BA674" s="5"/>
      <c r="BB674" s="5"/>
      <c r="BC674" s="5"/>
      <c r="BD674" s="5"/>
      <c r="BE674" s="63"/>
      <c r="BF674" s="63"/>
      <c r="BG674" s="63"/>
      <c r="CA674" s="256"/>
      <c r="CB674" s="261"/>
      <c r="CC674" s="261"/>
      <c r="CD674" s="261"/>
      <c r="CE674" s="261"/>
      <c r="CF674" s="261"/>
      <c r="CG674" s="53"/>
      <c r="CH674" s="53"/>
      <c r="CI674" s="53"/>
      <c r="CJ674" s="53"/>
      <c r="CK674" s="53"/>
      <c r="CL674" s="53"/>
      <c r="CN674" s="53"/>
      <c r="CO674" s="53"/>
      <c r="CP674" s="53"/>
      <c r="CQ674" s="53"/>
      <c r="CR674" s="53"/>
      <c r="CS674" s="53"/>
      <c r="CT674" s="261"/>
      <c r="CU674" s="261"/>
      <c r="CV674" s="261"/>
      <c r="CW674" s="255"/>
      <c r="CX674" s="261"/>
      <c r="CY674" s="255"/>
    </row>
    <row r="675" spans="1:103" ht="10.25" customHeight="1">
      <c r="A675" s="216"/>
      <c r="B675" s="217"/>
      <c r="C675" s="218"/>
      <c r="D675" s="219"/>
      <c r="E675" s="217"/>
      <c r="F675" s="217"/>
      <c r="G675" s="217"/>
      <c r="H675" s="220"/>
      <c r="I675" s="217"/>
      <c r="J675" s="217"/>
      <c r="K675" s="217"/>
      <c r="L675" s="217"/>
      <c r="M675" s="217"/>
      <c r="N675" s="217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  <c r="AP675" s="44"/>
      <c r="AQ675" s="44"/>
      <c r="BA675" s="5"/>
      <c r="BB675" s="5"/>
      <c r="BC675" s="5"/>
      <c r="BD675" s="5"/>
      <c r="BE675" s="63"/>
      <c r="BF675" s="63"/>
      <c r="BG675" s="63"/>
      <c r="CA675" s="256"/>
      <c r="CB675" s="261"/>
      <c r="CC675" s="261"/>
      <c r="CD675" s="261"/>
      <c r="CE675" s="261"/>
      <c r="CF675" s="261"/>
      <c r="CG675" s="53"/>
      <c r="CH675" s="53"/>
      <c r="CI675" s="53"/>
      <c r="CJ675" s="53"/>
      <c r="CK675" s="53"/>
      <c r="CL675" s="53"/>
      <c r="CN675" s="53"/>
      <c r="CO675" s="53"/>
      <c r="CP675" s="53"/>
      <c r="CQ675" s="53"/>
      <c r="CR675" s="53"/>
      <c r="CS675" s="53"/>
      <c r="CT675" s="261"/>
      <c r="CU675" s="261"/>
      <c r="CV675" s="261"/>
      <c r="CW675" s="261"/>
      <c r="CX675" s="261"/>
      <c r="CY675" s="255"/>
    </row>
    <row r="676" spans="1:103" ht="10.25" customHeight="1">
      <c r="A676" s="216"/>
      <c r="B676" s="217"/>
      <c r="C676" s="218"/>
      <c r="D676" s="219"/>
      <c r="E676" s="217"/>
      <c r="F676" s="217"/>
      <c r="G676" s="217"/>
      <c r="H676" s="220"/>
      <c r="I676" s="217"/>
      <c r="J676" s="217"/>
      <c r="K676" s="217"/>
      <c r="L676" s="217"/>
      <c r="M676" s="217"/>
      <c r="N676" s="217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  <c r="AM676" s="44"/>
      <c r="AN676" s="44"/>
      <c r="AO676" s="44"/>
      <c r="AP676" s="44"/>
      <c r="AQ676" s="44"/>
      <c r="BA676" s="5"/>
      <c r="BB676" s="5"/>
      <c r="BC676" s="5"/>
      <c r="BD676" s="5"/>
      <c r="BE676" s="63"/>
      <c r="BF676" s="63"/>
      <c r="BG676" s="63"/>
      <c r="CA676" s="256"/>
      <c r="CB676" s="261"/>
      <c r="CC676" s="261"/>
      <c r="CD676" s="261"/>
      <c r="CE676" s="261"/>
      <c r="CF676" s="261"/>
      <c r="CG676" s="53"/>
      <c r="CH676" s="53"/>
      <c r="CI676" s="53"/>
      <c r="CJ676" s="53"/>
      <c r="CK676" s="53"/>
      <c r="CL676" s="53"/>
      <c r="CN676" s="53"/>
      <c r="CO676" s="53"/>
      <c r="CP676" s="53"/>
      <c r="CQ676" s="53"/>
      <c r="CR676" s="53"/>
      <c r="CS676" s="53"/>
      <c r="CT676" s="261"/>
      <c r="CU676" s="261"/>
      <c r="CV676" s="255"/>
      <c r="CW676" s="255"/>
      <c r="CX676" s="261"/>
      <c r="CY676" s="255"/>
    </row>
    <row r="677" spans="1:103" ht="10.25" customHeight="1">
      <c r="A677" s="216"/>
      <c r="B677" s="217"/>
      <c r="C677" s="218"/>
      <c r="D677" s="219"/>
      <c r="E677" s="217"/>
      <c r="F677" s="217"/>
      <c r="G677" s="217"/>
      <c r="H677" s="220"/>
      <c r="I677" s="217"/>
      <c r="J677" s="217"/>
      <c r="K677" s="217"/>
      <c r="L677" s="217"/>
      <c r="M677" s="217"/>
      <c r="N677" s="217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4"/>
      <c r="AQ677" s="44"/>
      <c r="BA677" s="5"/>
      <c r="BB677" s="5"/>
      <c r="BC677" s="5"/>
      <c r="BD677" s="5"/>
      <c r="BE677" s="63"/>
      <c r="BF677" s="63"/>
      <c r="BG677" s="63"/>
      <c r="CA677" s="256"/>
      <c r="CB677" s="261"/>
      <c r="CC677" s="261"/>
      <c r="CD677" s="261"/>
      <c r="CE677" s="261"/>
      <c r="CF677" s="261"/>
      <c r="CG677" s="53"/>
      <c r="CH677" s="53"/>
      <c r="CI677" s="53"/>
      <c r="CJ677" s="53"/>
      <c r="CK677" s="53"/>
      <c r="CL677" s="53"/>
      <c r="CN677" s="53"/>
      <c r="CO677" s="53"/>
      <c r="CP677" s="53"/>
      <c r="CQ677" s="53"/>
      <c r="CR677" s="53"/>
      <c r="CS677" s="53"/>
      <c r="CT677" s="261"/>
      <c r="CU677" s="261"/>
      <c r="CV677" s="261"/>
      <c r="CW677" s="261"/>
      <c r="CX677" s="261"/>
      <c r="CY677" s="255"/>
    </row>
    <row r="678" spans="1:103" ht="10.25" customHeight="1">
      <c r="A678" s="216"/>
      <c r="B678" s="217"/>
      <c r="C678" s="218"/>
      <c r="D678" s="219"/>
      <c r="E678" s="217"/>
      <c r="F678" s="217"/>
      <c r="G678" s="217"/>
      <c r="H678" s="220"/>
      <c r="I678" s="217"/>
      <c r="J678" s="217"/>
      <c r="K678" s="217"/>
      <c r="L678" s="217"/>
      <c r="M678" s="217"/>
      <c r="N678" s="217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4"/>
      <c r="AQ678" s="44"/>
      <c r="BA678" s="5"/>
      <c r="BB678" s="5"/>
      <c r="BC678" s="5"/>
      <c r="BD678" s="5"/>
      <c r="BE678" s="63"/>
      <c r="BF678" s="63"/>
      <c r="BG678" s="63"/>
      <c r="CA678" s="256"/>
      <c r="CB678" s="261"/>
      <c r="CC678" s="261"/>
      <c r="CD678" s="261"/>
      <c r="CE678" s="261"/>
      <c r="CF678" s="261"/>
      <c r="CG678" s="53"/>
      <c r="CH678" s="53"/>
      <c r="CI678" s="53"/>
      <c r="CJ678" s="53"/>
      <c r="CK678" s="53"/>
      <c r="CL678" s="53"/>
      <c r="CN678" s="53"/>
      <c r="CO678" s="53"/>
      <c r="CP678" s="53"/>
      <c r="CQ678" s="53"/>
      <c r="CR678" s="53"/>
      <c r="CS678" s="53"/>
      <c r="CT678" s="261"/>
      <c r="CU678" s="261"/>
      <c r="CV678" s="255"/>
      <c r="CW678" s="255"/>
      <c r="CX678" s="255"/>
      <c r="CY678" s="255"/>
    </row>
    <row r="679" spans="1:103" ht="10.25" customHeight="1">
      <c r="A679" s="216"/>
      <c r="B679" s="217"/>
      <c r="C679" s="218"/>
      <c r="D679" s="219"/>
      <c r="E679" s="217"/>
      <c r="F679" s="217"/>
      <c r="G679" s="217"/>
      <c r="H679" s="220"/>
      <c r="I679" s="217"/>
      <c r="J679" s="217"/>
      <c r="K679" s="217"/>
      <c r="L679" s="217"/>
      <c r="M679" s="217"/>
      <c r="N679" s="217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  <c r="AK679" s="44"/>
      <c r="AL679" s="44"/>
      <c r="AM679" s="44"/>
      <c r="AN679" s="44"/>
      <c r="AO679" s="44"/>
      <c r="AP679" s="44"/>
      <c r="AQ679" s="44"/>
      <c r="BA679" s="5"/>
      <c r="BB679" s="5"/>
      <c r="BC679" s="5"/>
      <c r="BD679" s="5"/>
      <c r="BE679" s="63"/>
      <c r="BF679" s="63"/>
      <c r="BG679" s="63"/>
      <c r="CA679" s="256"/>
      <c r="CB679" s="261"/>
      <c r="CC679" s="261"/>
      <c r="CD679" s="261"/>
      <c r="CE679" s="261"/>
      <c r="CF679" s="261"/>
      <c r="CG679" s="53"/>
      <c r="CH679" s="53"/>
      <c r="CI679" s="53"/>
      <c r="CJ679" s="53"/>
      <c r="CK679" s="53"/>
      <c r="CL679" s="53"/>
      <c r="CN679" s="53"/>
      <c r="CO679" s="53"/>
      <c r="CP679" s="53"/>
      <c r="CQ679" s="53"/>
      <c r="CR679" s="53"/>
      <c r="CS679" s="53"/>
      <c r="CT679" s="261"/>
      <c r="CU679" s="261"/>
      <c r="CV679" s="261"/>
      <c r="CW679" s="255"/>
      <c r="CX679" s="261"/>
      <c r="CY679" s="255"/>
    </row>
    <row r="680" spans="1:103" ht="10.25" customHeight="1">
      <c r="A680" s="216"/>
      <c r="B680" s="217"/>
      <c r="C680" s="218"/>
      <c r="D680" s="219"/>
      <c r="E680" s="217"/>
      <c r="F680" s="217"/>
      <c r="G680" s="217"/>
      <c r="H680" s="220"/>
      <c r="I680" s="217"/>
      <c r="J680" s="217"/>
      <c r="K680" s="217"/>
      <c r="L680" s="217"/>
      <c r="M680" s="217"/>
      <c r="N680" s="217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4"/>
      <c r="AQ680" s="44"/>
      <c r="BA680" s="5"/>
      <c r="BB680" s="5"/>
      <c r="BC680" s="5"/>
      <c r="BD680" s="5"/>
      <c r="BE680" s="63"/>
      <c r="BF680" s="63"/>
      <c r="BG680" s="63"/>
      <c r="CA680" s="256"/>
      <c r="CB680" s="261"/>
      <c r="CC680" s="261"/>
      <c r="CD680" s="261"/>
      <c r="CE680" s="261"/>
      <c r="CF680" s="261"/>
      <c r="CG680" s="53"/>
      <c r="CH680" s="53"/>
      <c r="CI680" s="53"/>
      <c r="CJ680" s="53"/>
      <c r="CK680" s="53"/>
      <c r="CL680" s="53"/>
      <c r="CN680" s="53"/>
      <c r="CO680" s="53"/>
      <c r="CP680" s="53"/>
      <c r="CQ680" s="53"/>
      <c r="CR680" s="53"/>
      <c r="CS680" s="53"/>
      <c r="CT680" s="261"/>
      <c r="CU680" s="261"/>
      <c r="CV680" s="255"/>
      <c r="CW680" s="255"/>
      <c r="CX680" s="261"/>
      <c r="CY680" s="255"/>
    </row>
    <row r="681" spans="1:103" ht="10.25" customHeight="1">
      <c r="A681" s="216"/>
      <c r="B681" s="217"/>
      <c r="C681" s="218"/>
      <c r="D681" s="219"/>
      <c r="E681" s="217"/>
      <c r="F681" s="217"/>
      <c r="G681" s="217"/>
      <c r="H681" s="220"/>
      <c r="I681" s="217"/>
      <c r="J681" s="217"/>
      <c r="K681" s="217"/>
      <c r="L681" s="217"/>
      <c r="M681" s="217"/>
      <c r="N681" s="217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  <c r="AP681" s="44"/>
      <c r="AQ681" s="44"/>
      <c r="BA681" s="5"/>
      <c r="BB681" s="5"/>
      <c r="BC681" s="5"/>
      <c r="BD681" s="5"/>
      <c r="BE681" s="63"/>
      <c r="BF681" s="63"/>
      <c r="BG681" s="63"/>
      <c r="CA681" s="256"/>
      <c r="CB681" s="261"/>
      <c r="CC681" s="261"/>
      <c r="CD681" s="261"/>
      <c r="CE681" s="261"/>
      <c r="CF681" s="261"/>
      <c r="CG681" s="53"/>
      <c r="CH681" s="53"/>
      <c r="CI681" s="53"/>
      <c r="CJ681" s="53"/>
      <c r="CK681" s="53"/>
      <c r="CL681" s="53"/>
      <c r="CN681" s="53"/>
      <c r="CO681" s="53"/>
      <c r="CP681" s="53"/>
      <c r="CQ681" s="53"/>
      <c r="CR681" s="53"/>
      <c r="CS681" s="53"/>
      <c r="CT681" s="261"/>
      <c r="CU681" s="261"/>
      <c r="CV681" s="261"/>
      <c r="CW681" s="261"/>
      <c r="CX681" s="261"/>
      <c r="CY681" s="255"/>
    </row>
    <row r="682" spans="1:103" ht="10.25" customHeight="1">
      <c r="A682" s="216"/>
      <c r="B682" s="217"/>
      <c r="C682" s="218"/>
      <c r="D682" s="219"/>
      <c r="E682" s="217"/>
      <c r="F682" s="217"/>
      <c r="G682" s="217"/>
      <c r="H682" s="220"/>
      <c r="I682" s="217"/>
      <c r="J682" s="217"/>
      <c r="K682" s="217"/>
      <c r="L682" s="217"/>
      <c r="M682" s="217"/>
      <c r="N682" s="217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  <c r="AK682" s="44"/>
      <c r="AL682" s="44"/>
      <c r="AM682" s="44"/>
      <c r="AN682" s="44"/>
      <c r="AO682" s="44"/>
      <c r="AP682" s="44"/>
      <c r="AQ682" s="44"/>
      <c r="BA682" s="5"/>
      <c r="BB682" s="5"/>
      <c r="BC682" s="5"/>
      <c r="BD682" s="5"/>
      <c r="BE682" s="63"/>
      <c r="BF682" s="63"/>
      <c r="BG682" s="63"/>
      <c r="CA682" s="256"/>
      <c r="CB682" s="261"/>
      <c r="CC682" s="261"/>
      <c r="CD682" s="261"/>
      <c r="CE682" s="261"/>
      <c r="CF682" s="261"/>
      <c r="CG682" s="53"/>
      <c r="CH682" s="53"/>
      <c r="CI682" s="53"/>
      <c r="CJ682" s="53"/>
      <c r="CK682" s="53"/>
      <c r="CL682" s="53"/>
      <c r="CN682" s="53"/>
      <c r="CO682" s="53"/>
      <c r="CP682" s="53"/>
      <c r="CQ682" s="53"/>
      <c r="CR682" s="53"/>
      <c r="CS682" s="53"/>
      <c r="CT682" s="261"/>
      <c r="CU682" s="261"/>
      <c r="CV682" s="255"/>
      <c r="CW682" s="255"/>
      <c r="CX682" s="261"/>
      <c r="CY682" s="255"/>
    </row>
    <row r="683" spans="1:103" ht="10.25" customHeight="1">
      <c r="A683" s="216"/>
      <c r="B683" s="217"/>
      <c r="C683" s="218"/>
      <c r="D683" s="219"/>
      <c r="E683" s="217"/>
      <c r="F683" s="217"/>
      <c r="G683" s="217"/>
      <c r="H683" s="220"/>
      <c r="I683" s="217"/>
      <c r="J683" s="217"/>
      <c r="K683" s="217"/>
      <c r="L683" s="217"/>
      <c r="M683" s="217"/>
      <c r="N683" s="217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4"/>
      <c r="AQ683" s="44"/>
      <c r="BA683" s="5"/>
      <c r="BB683" s="5"/>
      <c r="BC683" s="5"/>
      <c r="BD683" s="5"/>
      <c r="BE683" s="63"/>
      <c r="BF683" s="63"/>
      <c r="BG683" s="63"/>
      <c r="CA683" s="256"/>
      <c r="CB683" s="261"/>
      <c r="CC683" s="261"/>
      <c r="CD683" s="261"/>
      <c r="CE683" s="261"/>
      <c r="CF683" s="255"/>
      <c r="CG683" s="53"/>
      <c r="CH683" s="53"/>
      <c r="CI683" s="53"/>
      <c r="CJ683" s="53"/>
      <c r="CK683" s="53"/>
      <c r="CL683" s="53"/>
      <c r="CN683" s="53"/>
      <c r="CO683" s="53"/>
      <c r="CP683" s="53"/>
      <c r="CQ683" s="53"/>
      <c r="CR683" s="53"/>
      <c r="CS683" s="53"/>
      <c r="CT683" s="261"/>
      <c r="CU683" s="255"/>
      <c r="CV683" s="261"/>
      <c r="CW683" s="261"/>
      <c r="CX683" s="261"/>
      <c r="CY683" s="255"/>
    </row>
    <row r="684" spans="1:103" ht="10.25" customHeight="1">
      <c r="A684" s="216"/>
      <c r="B684" s="217"/>
      <c r="C684" s="218"/>
      <c r="D684" s="219"/>
      <c r="E684" s="217"/>
      <c r="F684" s="217"/>
      <c r="G684" s="217"/>
      <c r="H684" s="220"/>
      <c r="I684" s="217"/>
      <c r="J684" s="217"/>
      <c r="K684" s="217"/>
      <c r="L684" s="217"/>
      <c r="M684" s="217"/>
      <c r="N684" s="217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  <c r="AP684" s="44"/>
      <c r="AQ684" s="44"/>
      <c r="BA684" s="5"/>
      <c r="BB684" s="5"/>
      <c r="BC684" s="5"/>
      <c r="BD684" s="5"/>
      <c r="BE684" s="63"/>
      <c r="BF684" s="63"/>
      <c r="BG684" s="63"/>
      <c r="CA684" s="256"/>
      <c r="CB684" s="261"/>
      <c r="CC684" s="261"/>
      <c r="CD684" s="261"/>
      <c r="CE684" s="261"/>
      <c r="CF684" s="255"/>
      <c r="CG684" s="53"/>
      <c r="CH684" s="53"/>
      <c r="CI684" s="53"/>
      <c r="CJ684" s="53"/>
      <c r="CK684" s="53"/>
      <c r="CL684" s="53"/>
      <c r="CN684" s="53"/>
      <c r="CO684" s="53"/>
      <c r="CP684" s="53"/>
      <c r="CQ684" s="53"/>
      <c r="CR684" s="53"/>
      <c r="CS684" s="53"/>
      <c r="CT684" s="261"/>
      <c r="CU684" s="255"/>
      <c r="CV684" s="255"/>
      <c r="CW684" s="255"/>
      <c r="CX684" s="261"/>
      <c r="CY684" s="255"/>
    </row>
    <row r="685" spans="1:103" ht="10.25" customHeight="1">
      <c r="A685" s="216"/>
      <c r="B685" s="217"/>
      <c r="C685" s="218"/>
      <c r="D685" s="219"/>
      <c r="E685" s="217"/>
      <c r="F685" s="217"/>
      <c r="G685" s="217"/>
      <c r="H685" s="220"/>
      <c r="I685" s="217"/>
      <c r="J685" s="217"/>
      <c r="K685" s="217"/>
      <c r="L685" s="217"/>
      <c r="M685" s="217"/>
      <c r="N685" s="217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  <c r="AK685" s="44"/>
      <c r="AL685" s="44"/>
      <c r="AM685" s="44"/>
      <c r="AN685" s="44"/>
      <c r="AO685" s="44"/>
      <c r="AP685" s="44"/>
      <c r="AQ685" s="44"/>
      <c r="BA685" s="5"/>
      <c r="BB685" s="5"/>
      <c r="BC685" s="5"/>
      <c r="BD685" s="5"/>
      <c r="BE685" s="63"/>
      <c r="BF685" s="63"/>
      <c r="BG685" s="63"/>
      <c r="CA685" s="256"/>
      <c r="CB685" s="261"/>
      <c r="CC685" s="261"/>
      <c r="CD685" s="261"/>
      <c r="CE685" s="255"/>
      <c r="CF685" s="261"/>
      <c r="CG685" s="53"/>
      <c r="CH685" s="53"/>
      <c r="CI685" s="53"/>
      <c r="CJ685" s="53"/>
      <c r="CK685" s="53"/>
      <c r="CL685" s="53"/>
      <c r="CN685" s="53"/>
      <c r="CO685" s="53"/>
      <c r="CP685" s="53"/>
      <c r="CQ685" s="53"/>
      <c r="CR685" s="53"/>
      <c r="CS685" s="53"/>
      <c r="CT685" s="255"/>
      <c r="CU685" s="261"/>
      <c r="CV685" s="261"/>
      <c r="CW685" s="261"/>
      <c r="CX685" s="261"/>
      <c r="CY685" s="255"/>
    </row>
    <row r="686" spans="1:103" ht="10.25" customHeight="1">
      <c r="A686" s="216"/>
      <c r="B686" s="217"/>
      <c r="C686" s="218"/>
      <c r="D686" s="219"/>
      <c r="E686" s="217"/>
      <c r="F686" s="217"/>
      <c r="G686" s="217"/>
      <c r="H686" s="220"/>
      <c r="I686" s="217"/>
      <c r="J686" s="217"/>
      <c r="K686" s="217"/>
      <c r="L686" s="217"/>
      <c r="M686" s="217"/>
      <c r="N686" s="217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BA686" s="5"/>
      <c r="BB686" s="5"/>
      <c r="BC686" s="5"/>
      <c r="BD686" s="5"/>
      <c r="BE686" s="63"/>
      <c r="BF686" s="63"/>
      <c r="BG686" s="63"/>
      <c r="CA686" s="256"/>
      <c r="CB686" s="261"/>
      <c r="CC686" s="261"/>
      <c r="CD686" s="261"/>
      <c r="CE686" s="255"/>
      <c r="CF686" s="261"/>
      <c r="CG686" s="53"/>
      <c r="CH686" s="53"/>
      <c r="CI686" s="53"/>
      <c r="CJ686" s="53"/>
      <c r="CK686" s="53"/>
      <c r="CL686" s="53"/>
      <c r="CN686" s="53"/>
      <c r="CO686" s="53"/>
      <c r="CP686" s="53"/>
      <c r="CQ686" s="53"/>
      <c r="CR686" s="53"/>
      <c r="CS686" s="53"/>
      <c r="CT686" s="255"/>
      <c r="CU686" s="261"/>
      <c r="CV686" s="255"/>
      <c r="CW686" s="255"/>
      <c r="CX686" s="261"/>
      <c r="CY686" s="255"/>
    </row>
    <row r="687" spans="1:103" ht="10.25" customHeight="1">
      <c r="A687" s="216"/>
      <c r="B687" s="217"/>
      <c r="C687" s="218"/>
      <c r="D687" s="219"/>
      <c r="E687" s="217"/>
      <c r="F687" s="217"/>
      <c r="G687" s="217"/>
      <c r="H687" s="220"/>
      <c r="I687" s="217"/>
      <c r="J687" s="217"/>
      <c r="K687" s="217"/>
      <c r="L687" s="217"/>
      <c r="M687" s="217"/>
      <c r="N687" s="217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BA687" s="5"/>
      <c r="BB687" s="5"/>
      <c r="BC687" s="5"/>
      <c r="BD687" s="5"/>
      <c r="BE687" s="63"/>
      <c r="BF687" s="63"/>
      <c r="BG687" s="63"/>
      <c r="CA687" s="256"/>
      <c r="CB687" s="261"/>
      <c r="CC687" s="261"/>
      <c r="CD687" s="261"/>
      <c r="CE687" s="261"/>
      <c r="CF687" s="261"/>
      <c r="CG687" s="53"/>
      <c r="CH687" s="53"/>
      <c r="CI687" s="53"/>
      <c r="CJ687" s="53"/>
      <c r="CK687" s="53"/>
      <c r="CL687" s="53"/>
      <c r="CN687" s="53"/>
      <c r="CO687" s="53"/>
      <c r="CP687" s="53"/>
      <c r="CQ687" s="53"/>
      <c r="CR687" s="53"/>
      <c r="CS687" s="53"/>
      <c r="CT687" s="261"/>
      <c r="CU687" s="261"/>
      <c r="CV687" s="261"/>
      <c r="CW687" s="261"/>
      <c r="CX687" s="255"/>
      <c r="CY687" s="255"/>
    </row>
    <row r="688" spans="1:103" ht="10.25" customHeight="1">
      <c r="A688" s="216"/>
      <c r="B688" s="217"/>
      <c r="C688" s="218"/>
      <c r="D688" s="219"/>
      <c r="E688" s="217"/>
      <c r="F688" s="217"/>
      <c r="G688" s="217"/>
      <c r="H688" s="220"/>
      <c r="I688" s="217"/>
      <c r="J688" s="217"/>
      <c r="K688" s="217"/>
      <c r="L688" s="217"/>
      <c r="M688" s="217"/>
      <c r="N688" s="217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  <c r="AP688" s="44"/>
      <c r="AQ688" s="44"/>
      <c r="BA688" s="5"/>
      <c r="BB688" s="5"/>
      <c r="BC688" s="5"/>
      <c r="BD688" s="5"/>
      <c r="BE688" s="63"/>
      <c r="BF688" s="63"/>
      <c r="BG688" s="63"/>
      <c r="CA688" s="256"/>
      <c r="CB688" s="261"/>
      <c r="CC688" s="261"/>
      <c r="CD688" s="261"/>
      <c r="CE688" s="261"/>
      <c r="CF688" s="261"/>
      <c r="CG688" s="53"/>
      <c r="CH688" s="53"/>
      <c r="CI688" s="53"/>
      <c r="CJ688" s="53"/>
      <c r="CK688" s="53"/>
      <c r="CL688" s="53"/>
      <c r="CN688" s="53"/>
      <c r="CO688" s="53"/>
      <c r="CP688" s="53"/>
      <c r="CQ688" s="53"/>
      <c r="CR688" s="53"/>
      <c r="CS688" s="53"/>
      <c r="CT688" s="261"/>
      <c r="CU688" s="261"/>
      <c r="CV688" s="255"/>
      <c r="CW688" s="255"/>
      <c r="CX688" s="261"/>
      <c r="CY688" s="255"/>
    </row>
    <row r="689" spans="1:103" ht="10.25" customHeight="1">
      <c r="A689" s="216"/>
      <c r="B689" s="217"/>
      <c r="C689" s="218"/>
      <c r="D689" s="219"/>
      <c r="E689" s="217"/>
      <c r="F689" s="217"/>
      <c r="G689" s="217"/>
      <c r="H689" s="220"/>
      <c r="I689" s="217"/>
      <c r="J689" s="217"/>
      <c r="K689" s="217"/>
      <c r="L689" s="217"/>
      <c r="M689" s="217"/>
      <c r="N689" s="217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4"/>
      <c r="AQ689" s="44"/>
      <c r="BA689" s="5"/>
      <c r="BB689" s="5"/>
      <c r="BC689" s="5"/>
      <c r="BD689" s="5"/>
      <c r="BE689" s="63"/>
      <c r="BF689" s="63"/>
      <c r="BG689" s="63"/>
      <c r="CA689" s="256"/>
      <c r="CB689" s="261"/>
      <c r="CC689" s="261"/>
      <c r="CD689" s="261"/>
      <c r="CE689" s="261"/>
      <c r="CF689" s="261"/>
      <c r="CG689" s="53"/>
      <c r="CH689" s="53"/>
      <c r="CI689" s="53"/>
      <c r="CJ689" s="53"/>
      <c r="CK689" s="53"/>
      <c r="CL689" s="53"/>
      <c r="CN689" s="53"/>
      <c r="CO689" s="53"/>
      <c r="CP689" s="53"/>
      <c r="CQ689" s="53"/>
      <c r="CR689" s="53"/>
      <c r="CS689" s="53"/>
      <c r="CT689" s="261"/>
      <c r="CU689" s="261"/>
      <c r="CV689" s="261"/>
      <c r="CW689" s="255"/>
      <c r="CX689" s="261"/>
      <c r="CY689" s="255"/>
    </row>
    <row r="690" spans="1:103" ht="10.25" customHeight="1">
      <c r="A690" s="216"/>
      <c r="B690" s="217"/>
      <c r="C690" s="218"/>
      <c r="D690" s="219"/>
      <c r="E690" s="217"/>
      <c r="F690" s="217"/>
      <c r="G690" s="217"/>
      <c r="H690" s="220"/>
      <c r="I690" s="217"/>
      <c r="J690" s="217"/>
      <c r="K690" s="217"/>
      <c r="L690" s="217"/>
      <c r="M690" s="217"/>
      <c r="N690" s="217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BA690" s="5"/>
      <c r="BB690" s="5"/>
      <c r="BC690" s="5"/>
      <c r="BD690" s="5"/>
      <c r="BE690" s="63"/>
      <c r="BF690" s="63"/>
      <c r="BG690" s="63"/>
      <c r="CA690" s="256"/>
      <c r="CB690" s="261"/>
      <c r="CC690" s="261"/>
      <c r="CD690" s="261"/>
      <c r="CE690" s="261"/>
      <c r="CF690" s="261"/>
      <c r="CG690" s="53"/>
      <c r="CH690" s="53"/>
      <c r="CI690" s="53"/>
      <c r="CJ690" s="53"/>
      <c r="CK690" s="53"/>
      <c r="CL690" s="53"/>
      <c r="CN690" s="53"/>
      <c r="CO690" s="53"/>
      <c r="CP690" s="53"/>
      <c r="CQ690" s="53"/>
      <c r="CR690" s="53"/>
      <c r="CS690" s="53"/>
      <c r="CT690" s="261"/>
      <c r="CU690" s="261"/>
      <c r="CV690" s="255"/>
      <c r="CW690" s="255"/>
      <c r="CX690" s="261"/>
      <c r="CY690" s="255"/>
    </row>
    <row r="691" spans="1:103" ht="10.25" customHeight="1">
      <c r="A691" s="216"/>
      <c r="B691" s="217"/>
      <c r="C691" s="218"/>
      <c r="D691" s="219"/>
      <c r="E691" s="217"/>
      <c r="F691" s="217"/>
      <c r="G691" s="217"/>
      <c r="H691" s="220"/>
      <c r="I691" s="217"/>
      <c r="J691" s="217"/>
      <c r="K691" s="217"/>
      <c r="L691" s="217"/>
      <c r="M691" s="217"/>
      <c r="N691" s="217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BA691" s="5"/>
      <c r="BB691" s="5"/>
      <c r="BC691" s="5"/>
      <c r="BD691" s="5"/>
      <c r="BE691" s="63"/>
      <c r="BF691" s="63"/>
      <c r="BG691" s="63"/>
      <c r="CA691" s="256"/>
      <c r="CB691" s="261"/>
      <c r="CC691" s="261"/>
      <c r="CD691" s="261"/>
      <c r="CE691" s="261"/>
      <c r="CF691" s="261"/>
      <c r="CG691" s="53"/>
      <c r="CH691" s="53"/>
      <c r="CI691" s="53"/>
      <c r="CJ691" s="53"/>
      <c r="CK691" s="53"/>
      <c r="CL691" s="53"/>
      <c r="CN691" s="53"/>
      <c r="CO691" s="53"/>
      <c r="CP691" s="53"/>
      <c r="CQ691" s="53"/>
      <c r="CR691" s="53"/>
      <c r="CS691" s="53"/>
      <c r="CT691" s="261"/>
      <c r="CU691" s="261"/>
      <c r="CV691" s="261"/>
      <c r="CW691" s="261"/>
      <c r="CX691" s="261"/>
      <c r="CY691" s="255"/>
    </row>
    <row r="692" spans="1:103" ht="10.25" customHeight="1">
      <c r="A692" s="216"/>
      <c r="B692" s="217"/>
      <c r="C692" s="218"/>
      <c r="D692" s="219"/>
      <c r="E692" s="217"/>
      <c r="F692" s="217"/>
      <c r="G692" s="217"/>
      <c r="H692" s="220"/>
      <c r="I692" s="217"/>
      <c r="J692" s="217"/>
      <c r="K692" s="217"/>
      <c r="L692" s="217"/>
      <c r="M692" s="217"/>
      <c r="N692" s="217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BA692" s="5"/>
      <c r="BB692" s="5"/>
      <c r="BC692" s="5"/>
      <c r="BD692" s="5"/>
      <c r="BE692" s="63"/>
      <c r="BF692" s="63"/>
      <c r="BG692" s="63"/>
      <c r="CA692" s="256"/>
      <c r="CB692" s="261"/>
      <c r="CC692" s="261"/>
      <c r="CD692" s="255"/>
      <c r="CE692" s="261"/>
      <c r="CF692" s="261"/>
      <c r="CG692" s="53"/>
      <c r="CH692" s="53"/>
      <c r="CI692" s="53"/>
      <c r="CJ692" s="53"/>
      <c r="CK692" s="53"/>
      <c r="CL692" s="53"/>
      <c r="CN692" s="53"/>
      <c r="CO692" s="53"/>
      <c r="CP692" s="53"/>
      <c r="CQ692" s="53"/>
      <c r="CR692" s="53"/>
      <c r="CS692" s="53"/>
      <c r="CT692" s="261"/>
      <c r="CU692" s="261"/>
      <c r="CV692" s="261"/>
      <c r="CW692" s="261"/>
      <c r="CX692" s="261"/>
      <c r="CY692" s="255"/>
    </row>
    <row r="693" spans="1:103" ht="10.25" customHeight="1">
      <c r="A693" s="216"/>
      <c r="B693" s="217"/>
      <c r="C693" s="218"/>
      <c r="D693" s="219"/>
      <c r="E693" s="217"/>
      <c r="F693" s="217"/>
      <c r="G693" s="217"/>
      <c r="H693" s="220"/>
      <c r="I693" s="217"/>
      <c r="J693" s="217"/>
      <c r="K693" s="217"/>
      <c r="L693" s="217"/>
      <c r="M693" s="217"/>
      <c r="N693" s="217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BA693" s="5"/>
      <c r="BB693" s="5"/>
      <c r="BC693" s="5"/>
      <c r="BD693" s="5"/>
      <c r="BE693" s="63"/>
      <c r="BF693" s="63"/>
      <c r="BG693" s="63"/>
      <c r="CA693" s="256"/>
      <c r="CB693" s="261"/>
      <c r="CC693" s="261"/>
      <c r="CD693" s="255"/>
      <c r="CE693" s="261"/>
      <c r="CF693" s="261"/>
      <c r="CG693" s="53"/>
      <c r="CH693" s="53"/>
      <c r="CI693" s="53"/>
      <c r="CJ693" s="53"/>
      <c r="CK693" s="53"/>
      <c r="CL693" s="53"/>
      <c r="CN693" s="53"/>
      <c r="CO693" s="53"/>
      <c r="CP693" s="53"/>
      <c r="CQ693" s="53"/>
      <c r="CR693" s="53"/>
      <c r="CS693" s="53"/>
      <c r="CT693" s="261"/>
      <c r="CU693" s="261"/>
      <c r="CV693" s="261"/>
      <c r="CW693" s="261"/>
      <c r="CX693" s="261"/>
      <c r="CY693" s="255"/>
    </row>
    <row r="694" spans="1:103" ht="10.25" customHeight="1">
      <c r="A694" s="216"/>
      <c r="B694" s="217"/>
      <c r="C694" s="218"/>
      <c r="D694" s="219"/>
      <c r="E694" s="217"/>
      <c r="F694" s="217"/>
      <c r="G694" s="217"/>
      <c r="H694" s="220"/>
      <c r="I694" s="217"/>
      <c r="J694" s="217"/>
      <c r="K694" s="217"/>
      <c r="L694" s="217"/>
      <c r="M694" s="217"/>
      <c r="N694" s="217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BA694" s="5"/>
      <c r="BB694" s="5"/>
      <c r="BC694" s="5"/>
      <c r="BD694" s="5"/>
      <c r="BE694" s="63"/>
      <c r="BF694" s="63"/>
      <c r="BG694" s="63"/>
      <c r="CA694" s="256"/>
      <c r="CB694" s="261"/>
      <c r="CC694" s="261"/>
      <c r="CD694" s="255"/>
      <c r="CE694" s="261"/>
      <c r="CF694" s="261"/>
      <c r="CG694" s="53"/>
      <c r="CH694" s="53"/>
      <c r="CI694" s="53"/>
      <c r="CJ694" s="53"/>
      <c r="CK694" s="53"/>
      <c r="CL694" s="53"/>
      <c r="CN694" s="53"/>
      <c r="CO694" s="53"/>
      <c r="CP694" s="53"/>
      <c r="CQ694" s="53"/>
      <c r="CR694" s="53"/>
      <c r="CS694" s="53"/>
      <c r="CT694" s="261"/>
      <c r="CU694" s="261"/>
      <c r="CV694" s="261"/>
      <c r="CW694" s="261"/>
      <c r="CX694" s="261"/>
      <c r="CY694" s="255"/>
    </row>
    <row r="695" spans="1:103" ht="10.25" customHeight="1">
      <c r="A695" s="216"/>
      <c r="B695" s="217"/>
      <c r="C695" s="218"/>
      <c r="D695" s="219"/>
      <c r="E695" s="217"/>
      <c r="F695" s="217"/>
      <c r="G695" s="217"/>
      <c r="H695" s="220"/>
      <c r="I695" s="217"/>
      <c r="J695" s="217"/>
      <c r="K695" s="217"/>
      <c r="L695" s="217"/>
      <c r="M695" s="217"/>
      <c r="N695" s="217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BA695" s="5"/>
      <c r="BB695" s="5"/>
      <c r="BC695" s="5"/>
      <c r="BD695" s="5"/>
      <c r="BE695" s="63"/>
      <c r="BF695" s="63"/>
      <c r="BG695" s="63"/>
      <c r="CA695" s="256"/>
      <c r="CB695" s="261"/>
      <c r="CC695" s="255"/>
      <c r="CD695" s="261"/>
      <c r="CE695" s="261"/>
      <c r="CF695" s="261"/>
      <c r="CG695" s="53"/>
      <c r="CH695" s="53"/>
      <c r="CI695" s="53"/>
      <c r="CJ695" s="53"/>
      <c r="CK695" s="53"/>
      <c r="CL695" s="53"/>
      <c r="CN695" s="53"/>
      <c r="CO695" s="53"/>
      <c r="CP695" s="53"/>
      <c r="CQ695" s="53"/>
      <c r="CR695" s="53"/>
      <c r="CS695" s="53"/>
      <c r="CT695" s="261"/>
      <c r="CU695" s="261"/>
      <c r="CV695" s="261"/>
      <c r="CW695" s="261"/>
      <c r="CX695" s="261"/>
      <c r="CY695" s="255"/>
    </row>
    <row r="696" spans="1:103" ht="10.25" customHeight="1">
      <c r="A696" s="216"/>
      <c r="B696" s="217"/>
      <c r="C696" s="218"/>
      <c r="D696" s="219"/>
      <c r="E696" s="217"/>
      <c r="F696" s="217"/>
      <c r="G696" s="217"/>
      <c r="H696" s="220"/>
      <c r="I696" s="217"/>
      <c r="J696" s="217"/>
      <c r="K696" s="217"/>
      <c r="L696" s="217"/>
      <c r="M696" s="217"/>
      <c r="N696" s="217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BA696" s="5"/>
      <c r="BB696" s="5"/>
      <c r="BC696" s="5"/>
      <c r="BD696" s="5"/>
      <c r="BE696" s="63"/>
      <c r="BF696" s="63"/>
      <c r="BG696" s="63"/>
      <c r="CA696" s="256"/>
      <c r="CB696" s="261"/>
      <c r="CC696" s="255"/>
      <c r="CD696" s="261"/>
      <c r="CE696" s="261"/>
      <c r="CF696" s="261"/>
      <c r="CG696" s="53"/>
      <c r="CH696" s="53"/>
      <c r="CI696" s="53"/>
      <c r="CJ696" s="53"/>
      <c r="CK696" s="53"/>
      <c r="CL696" s="53"/>
      <c r="CN696" s="53"/>
      <c r="CO696" s="53"/>
      <c r="CP696" s="53"/>
      <c r="CQ696" s="53"/>
      <c r="CR696" s="53"/>
      <c r="CS696" s="53"/>
      <c r="CT696" s="261"/>
      <c r="CU696" s="261"/>
      <c r="CV696" s="261"/>
      <c r="CW696" s="261"/>
      <c r="CX696" s="261"/>
      <c r="CY696" s="255"/>
    </row>
    <row r="697" spans="1:103" ht="10.25" customHeight="1">
      <c r="A697" s="371"/>
      <c r="B697" s="371"/>
      <c r="C697" s="371"/>
      <c r="D697" s="269"/>
      <c r="L697" s="269"/>
      <c r="M697" s="269"/>
      <c r="N697" s="269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  <c r="AN697" s="63"/>
      <c r="AO697" s="63"/>
      <c r="AP697" s="63"/>
      <c r="AQ697" s="63"/>
      <c r="CA697" s="256"/>
      <c r="CB697" s="261"/>
      <c r="CC697" s="255"/>
      <c r="CD697" s="261"/>
      <c r="CE697" s="261"/>
      <c r="CF697" s="261"/>
      <c r="CG697" s="261"/>
      <c r="CH697" s="261"/>
      <c r="CI697" s="261"/>
      <c r="CJ697" s="261"/>
      <c r="CK697" s="261"/>
      <c r="CL697" s="255"/>
      <c r="CN697" s="256"/>
      <c r="CO697" s="256"/>
      <c r="CP697" s="261"/>
      <c r="CQ697" s="261"/>
      <c r="CR697" s="255"/>
      <c r="CS697" s="261"/>
      <c r="CT697" s="261"/>
      <c r="CU697" s="261"/>
      <c r="CV697" s="261"/>
      <c r="CW697" s="261"/>
      <c r="CX697" s="261"/>
      <c r="CY697" s="255"/>
    </row>
    <row r="698" spans="1:103" ht="12.65" customHeight="1">
      <c r="A698" s="270"/>
      <c r="C698" s="271"/>
      <c r="D698" s="372"/>
      <c r="E698" s="372"/>
      <c r="F698" s="272"/>
      <c r="G698" s="272"/>
      <c r="H698" s="273"/>
      <c r="L698" s="269"/>
      <c r="M698" s="269"/>
      <c r="N698" s="269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  <c r="AL698" s="63"/>
      <c r="AM698" s="63"/>
      <c r="AN698" s="63"/>
      <c r="AO698" s="63"/>
      <c r="AP698" s="63"/>
      <c r="AQ698" s="63"/>
      <c r="CA698" s="256"/>
      <c r="CB698" s="261"/>
      <c r="CC698" s="255"/>
      <c r="CD698" s="261"/>
      <c r="CE698" s="261"/>
      <c r="CF698" s="261"/>
      <c r="CG698" s="261"/>
      <c r="CH698" s="261"/>
      <c r="CI698" s="261"/>
      <c r="CJ698" s="261"/>
      <c r="CK698" s="255"/>
      <c r="CL698" s="255"/>
      <c r="CN698" s="256"/>
      <c r="CO698" s="256"/>
      <c r="CP698" s="261"/>
      <c r="CQ698" s="261"/>
      <c r="CR698" s="255"/>
      <c r="CS698" s="261"/>
      <c r="CT698" s="261"/>
      <c r="CU698" s="261"/>
      <c r="CV698" s="261"/>
      <c r="CW698" s="261"/>
      <c r="CX698" s="255"/>
      <c r="CY698" s="255"/>
    </row>
    <row r="699" spans="1:103" ht="10.25" customHeight="1">
      <c r="A699" s="270"/>
      <c r="D699" s="372"/>
      <c r="E699" s="372"/>
      <c r="F699" s="272"/>
      <c r="G699" s="272"/>
      <c r="H699" s="273"/>
      <c r="L699" s="269"/>
      <c r="M699" s="269"/>
      <c r="N699" s="269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  <c r="AN699" s="63"/>
      <c r="AO699" s="63"/>
      <c r="AP699" s="63"/>
      <c r="AQ699" s="63"/>
      <c r="CA699" s="256"/>
      <c r="CB699" s="261"/>
      <c r="CC699" s="255"/>
      <c r="CD699" s="261"/>
      <c r="CE699" s="261"/>
      <c r="CF699" s="261"/>
      <c r="CG699" s="261"/>
      <c r="CH699" s="261"/>
      <c r="CI699" s="261"/>
      <c r="CJ699" s="261"/>
      <c r="CK699" s="261"/>
      <c r="CL699" s="255"/>
      <c r="CN699" s="256"/>
      <c r="CO699" s="256"/>
      <c r="CP699" s="261"/>
      <c r="CQ699" s="261"/>
      <c r="CR699" s="255"/>
      <c r="CS699" s="261"/>
      <c r="CT699" s="261"/>
      <c r="CU699" s="261"/>
      <c r="CV699" s="261"/>
      <c r="CW699" s="261"/>
      <c r="CX699" s="261"/>
      <c r="CY699" s="255"/>
    </row>
    <row r="700" spans="1:103" ht="10.25" customHeight="1">
      <c r="C700" s="270"/>
      <c r="D700" s="274"/>
      <c r="E700" s="214"/>
      <c r="F700" s="272"/>
      <c r="G700" s="272"/>
      <c r="H700" s="272"/>
      <c r="I700" s="273"/>
      <c r="J700" s="273"/>
      <c r="K700" s="273"/>
      <c r="L700" s="275"/>
      <c r="M700" s="269"/>
      <c r="N700" s="269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  <c r="AL700" s="63"/>
      <c r="AM700" s="63"/>
      <c r="AN700" s="63"/>
      <c r="AO700" s="63"/>
      <c r="AP700" s="63"/>
      <c r="AQ700" s="63"/>
      <c r="CA700" s="256"/>
      <c r="CB700" s="261"/>
      <c r="CC700" s="255"/>
      <c r="CD700" s="261"/>
      <c r="CE700" s="261"/>
      <c r="CF700" s="261"/>
      <c r="CG700" s="261"/>
      <c r="CH700" s="261"/>
      <c r="CI700" s="261"/>
      <c r="CJ700" s="261"/>
      <c r="CK700" s="261"/>
      <c r="CL700" s="255"/>
      <c r="CN700" s="256"/>
      <c r="CO700" s="256"/>
      <c r="CP700" s="261"/>
      <c r="CQ700" s="261"/>
      <c r="CR700" s="255"/>
      <c r="CS700" s="261"/>
      <c r="CT700" s="261"/>
      <c r="CU700" s="261"/>
      <c r="CV700" s="261"/>
      <c r="CW700" s="261"/>
      <c r="CX700" s="261"/>
      <c r="CY700" s="255"/>
    </row>
    <row r="701" spans="1:103" ht="10.25" customHeight="1">
      <c r="A701" s="270"/>
      <c r="D701" s="372"/>
      <c r="E701" s="372"/>
      <c r="F701" s="272"/>
      <c r="G701" s="272"/>
      <c r="H701" s="272"/>
      <c r="I701" s="273"/>
      <c r="J701" s="273"/>
      <c r="K701" s="273"/>
      <c r="L701" s="275"/>
      <c r="M701" s="269"/>
      <c r="N701" s="269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  <c r="AL701" s="63"/>
      <c r="AM701" s="63"/>
      <c r="AN701" s="63"/>
      <c r="AO701" s="63"/>
      <c r="AP701" s="63"/>
      <c r="AQ701" s="63"/>
      <c r="CA701" s="256"/>
      <c r="CB701" s="261"/>
      <c r="CC701" s="255"/>
      <c r="CD701" s="261"/>
      <c r="CE701" s="261"/>
      <c r="CF701" s="261"/>
      <c r="CG701" s="261"/>
      <c r="CH701" s="261"/>
      <c r="CI701" s="255"/>
      <c r="CJ701" s="255"/>
      <c r="CK701" s="261"/>
      <c r="CL701" s="255"/>
      <c r="CN701" s="256"/>
      <c r="CO701" s="256"/>
      <c r="CP701" s="261"/>
      <c r="CQ701" s="261"/>
      <c r="CR701" s="255"/>
      <c r="CS701" s="261"/>
      <c r="CT701" s="261"/>
      <c r="CU701" s="261"/>
      <c r="CV701" s="261"/>
      <c r="CW701" s="255"/>
      <c r="CX701" s="261"/>
      <c r="CY701" s="255"/>
    </row>
    <row r="702" spans="1:103" ht="10.25" customHeight="1">
      <c r="A702" s="270"/>
      <c r="D702" s="372"/>
      <c r="E702" s="372"/>
      <c r="F702" s="272"/>
      <c r="G702" s="272"/>
      <c r="H702" s="272"/>
      <c r="I702" s="273"/>
      <c r="J702" s="273"/>
      <c r="K702" s="273"/>
      <c r="L702" s="275"/>
      <c r="M702" s="269"/>
      <c r="N702" s="269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  <c r="AN702" s="63"/>
      <c r="AO702" s="63"/>
      <c r="AP702" s="63"/>
      <c r="AQ702" s="63"/>
      <c r="CA702" s="256"/>
      <c r="CB702" s="261"/>
      <c r="CC702" s="255"/>
      <c r="CD702" s="261"/>
      <c r="CE702" s="261"/>
      <c r="CF702" s="261"/>
      <c r="CG702" s="255"/>
      <c r="CH702" s="255"/>
      <c r="CI702" s="261"/>
      <c r="CJ702" s="261"/>
      <c r="CK702" s="261"/>
      <c r="CL702" s="255"/>
      <c r="CN702" s="256"/>
      <c r="CO702" s="256"/>
      <c r="CP702" s="261"/>
      <c r="CQ702" s="261"/>
      <c r="CR702" s="255"/>
      <c r="CS702" s="261"/>
      <c r="CT702" s="261"/>
      <c r="CU702" s="261"/>
      <c r="CV702" s="255"/>
      <c r="CW702" s="261"/>
      <c r="CX702" s="261"/>
      <c r="CY702" s="255"/>
    </row>
    <row r="703" spans="1:103" ht="10.25" customHeight="1">
      <c r="A703" s="270"/>
      <c r="D703" s="372"/>
      <c r="E703" s="372"/>
      <c r="F703" s="272"/>
      <c r="G703" s="272"/>
      <c r="H703" s="272"/>
      <c r="I703" s="273"/>
      <c r="J703" s="273"/>
      <c r="K703" s="273"/>
      <c r="L703" s="275"/>
      <c r="M703" s="269"/>
      <c r="N703" s="269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  <c r="AL703" s="63"/>
      <c r="AM703" s="63"/>
      <c r="AN703" s="63"/>
      <c r="AO703" s="63"/>
      <c r="AP703" s="63"/>
      <c r="AQ703" s="63"/>
      <c r="CA703" s="256"/>
      <c r="CB703" s="261"/>
      <c r="CC703" s="255"/>
      <c r="CD703" s="261"/>
      <c r="CE703" s="261"/>
      <c r="CF703" s="261"/>
      <c r="CG703" s="255"/>
      <c r="CH703" s="255"/>
      <c r="CI703" s="261"/>
      <c r="CJ703" s="261"/>
      <c r="CK703" s="261"/>
      <c r="CL703" s="255"/>
      <c r="CN703" s="256"/>
      <c r="CO703" s="256"/>
      <c r="CP703" s="261"/>
      <c r="CQ703" s="261"/>
      <c r="CR703" s="255"/>
      <c r="CS703" s="261"/>
      <c r="CT703" s="261"/>
      <c r="CU703" s="261"/>
      <c r="CV703" s="255"/>
      <c r="CW703" s="261"/>
      <c r="CX703" s="261"/>
      <c r="CY703" s="255"/>
    </row>
    <row r="704" spans="1:103" ht="10.25" customHeight="1">
      <c r="A704" s="270"/>
      <c r="D704" s="372"/>
      <c r="E704" s="372"/>
      <c r="F704" s="272"/>
      <c r="G704" s="272"/>
      <c r="H704" s="272"/>
      <c r="I704" s="375"/>
      <c r="J704" s="375"/>
      <c r="K704" s="375"/>
      <c r="L704" s="375"/>
      <c r="M704" s="269"/>
      <c r="N704" s="269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  <c r="AN704" s="63"/>
      <c r="AO704" s="63"/>
      <c r="AP704" s="63"/>
      <c r="AQ704" s="63"/>
      <c r="CA704" s="256"/>
      <c r="CB704" s="261"/>
      <c r="CC704" s="255"/>
      <c r="CD704" s="261"/>
      <c r="CE704" s="261"/>
      <c r="CF704" s="261"/>
      <c r="CG704" s="261"/>
      <c r="CH704" s="261"/>
      <c r="CI704" s="261"/>
      <c r="CJ704" s="261"/>
      <c r="CK704" s="261"/>
      <c r="CL704" s="255"/>
      <c r="CN704" s="256"/>
      <c r="CO704" s="256"/>
      <c r="CP704" s="261"/>
      <c r="CQ704" s="261"/>
      <c r="CR704" s="255"/>
      <c r="CS704" s="261"/>
      <c r="CT704" s="261"/>
      <c r="CU704" s="261"/>
      <c r="CV704" s="261"/>
      <c r="CW704" s="261"/>
      <c r="CX704" s="261"/>
      <c r="CY704" s="255"/>
    </row>
    <row r="705" spans="1:103" ht="10.25" customHeight="1">
      <c r="A705" s="270"/>
      <c r="D705" s="372"/>
      <c r="E705" s="372"/>
      <c r="H705" s="209"/>
      <c r="I705" s="213"/>
      <c r="J705" s="213"/>
      <c r="K705" s="213"/>
      <c r="L705" s="213"/>
      <c r="M705" s="213"/>
      <c r="N705" s="213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CA705" s="256"/>
      <c r="CB705" s="261"/>
      <c r="CC705" s="255"/>
      <c r="CD705" s="261"/>
      <c r="CE705" s="261"/>
      <c r="CF705" s="261"/>
      <c r="CG705" s="261"/>
      <c r="CH705" s="261"/>
      <c r="CI705" s="261"/>
      <c r="CJ705" s="261"/>
      <c r="CK705" s="261"/>
      <c r="CL705" s="255"/>
      <c r="CN705" s="256"/>
      <c r="CO705" s="256"/>
      <c r="CP705" s="261"/>
      <c r="CQ705" s="261"/>
      <c r="CR705" s="255"/>
      <c r="CS705" s="261"/>
      <c r="CT705" s="261"/>
      <c r="CU705" s="261"/>
      <c r="CV705" s="261"/>
      <c r="CW705" s="261"/>
      <c r="CX705" s="261"/>
      <c r="CY705" s="255"/>
    </row>
    <row r="706" spans="1:103" ht="10.25" customHeight="1">
      <c r="A706" s="270"/>
      <c r="C706" s="269"/>
      <c r="D706" s="275"/>
      <c r="E706" s="275"/>
      <c r="F706" s="209"/>
      <c r="G706" s="209"/>
      <c r="H706" s="209"/>
      <c r="I706" s="209"/>
      <c r="J706" s="209"/>
      <c r="K706" s="209"/>
      <c r="L706" s="376"/>
      <c r="M706" s="376"/>
      <c r="N706" s="279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1"/>
      <c r="AN706" s="51"/>
      <c r="AO706" s="51"/>
      <c r="AP706" s="51"/>
      <c r="AQ706" s="51"/>
      <c r="CA706" s="256"/>
      <c r="CB706" s="261"/>
      <c r="CC706" s="255"/>
      <c r="CD706" s="261"/>
      <c r="CE706" s="261"/>
      <c r="CF706" s="261"/>
      <c r="CG706" s="261"/>
      <c r="CH706" s="261"/>
      <c r="CI706" s="261"/>
      <c r="CJ706" s="261"/>
      <c r="CK706" s="261"/>
      <c r="CL706" s="255"/>
      <c r="CN706" s="256"/>
      <c r="CO706" s="256"/>
      <c r="CP706" s="261"/>
      <c r="CQ706" s="261"/>
      <c r="CR706" s="255"/>
      <c r="CS706" s="261"/>
      <c r="CT706" s="261"/>
      <c r="CU706" s="261"/>
      <c r="CV706" s="261"/>
      <c r="CW706" s="261"/>
      <c r="CX706" s="261"/>
      <c r="CY706" s="255"/>
    </row>
    <row r="707" spans="1:103" ht="10.25" customHeight="1">
      <c r="A707" s="270"/>
      <c r="C707" s="269"/>
      <c r="D707" s="269"/>
      <c r="F707" s="209"/>
      <c r="G707" s="209"/>
      <c r="H707" s="276"/>
      <c r="I707" s="276"/>
      <c r="J707" s="276"/>
      <c r="K707" s="276"/>
      <c r="L707" s="374"/>
      <c r="M707" s="374"/>
      <c r="N707" s="213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CA707" s="256"/>
      <c r="CB707" s="261"/>
      <c r="CC707" s="255"/>
      <c r="CD707" s="261"/>
      <c r="CE707" s="261"/>
      <c r="CF707" s="261"/>
      <c r="CG707" s="261"/>
      <c r="CH707" s="261"/>
      <c r="CI707" s="261"/>
      <c r="CJ707" s="261"/>
      <c r="CK707" s="261"/>
      <c r="CL707" s="255"/>
      <c r="CN707" s="256"/>
      <c r="CO707" s="256"/>
      <c r="CP707" s="261"/>
      <c r="CQ707" s="261"/>
      <c r="CR707" s="255"/>
      <c r="CS707" s="261"/>
      <c r="CT707" s="261"/>
      <c r="CU707" s="261"/>
      <c r="CV707" s="261"/>
      <c r="CW707" s="261"/>
      <c r="CX707" s="261"/>
      <c r="CY707" s="255"/>
    </row>
    <row r="708" spans="1:103" ht="10.25" customHeight="1">
      <c r="A708" s="270"/>
      <c r="D708" s="269"/>
      <c r="F708" s="208"/>
      <c r="G708" s="208"/>
      <c r="H708" s="277"/>
      <c r="I708" s="277"/>
      <c r="J708" s="277"/>
      <c r="K708" s="277"/>
      <c r="L708" s="372"/>
      <c r="M708" s="372"/>
      <c r="N708" s="214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CA708" s="256"/>
      <c r="CB708" s="261"/>
      <c r="CC708" s="255"/>
      <c r="CD708" s="261"/>
      <c r="CE708" s="261"/>
      <c r="CF708" s="261"/>
      <c r="CG708" s="261"/>
      <c r="CH708" s="261"/>
      <c r="CI708" s="261"/>
      <c r="CJ708" s="261"/>
      <c r="CK708" s="261"/>
      <c r="CL708" s="255"/>
      <c r="CN708" s="256"/>
      <c r="CO708" s="256"/>
      <c r="CP708" s="261"/>
      <c r="CQ708" s="261"/>
      <c r="CR708" s="255"/>
      <c r="CS708" s="261"/>
      <c r="CT708" s="261"/>
      <c r="CU708" s="261"/>
      <c r="CV708" s="261"/>
      <c r="CW708" s="261"/>
      <c r="CX708" s="261"/>
      <c r="CY708" s="255"/>
    </row>
    <row r="709" spans="1:103" ht="10.25" customHeight="1">
      <c r="CA709" s="256"/>
      <c r="CB709" s="261"/>
      <c r="CC709" s="255"/>
      <c r="CD709" s="261"/>
      <c r="CE709" s="261"/>
      <c r="CF709" s="255"/>
      <c r="CG709" s="261"/>
      <c r="CH709" s="261"/>
      <c r="CI709" s="261"/>
      <c r="CJ709" s="261"/>
      <c r="CK709" s="261"/>
      <c r="CL709" s="255"/>
      <c r="CN709" s="256"/>
      <c r="CO709" s="256"/>
      <c r="CP709" s="261"/>
      <c r="CQ709" s="261"/>
      <c r="CR709" s="255"/>
      <c r="CS709" s="261"/>
      <c r="CT709" s="261"/>
      <c r="CU709" s="255"/>
      <c r="CV709" s="261"/>
      <c r="CW709" s="261"/>
      <c r="CX709" s="261"/>
      <c r="CY709" s="255"/>
    </row>
    <row r="710" spans="1:103" ht="10.25" customHeight="1">
      <c r="C710" s="278"/>
      <c r="CA710" s="256"/>
      <c r="CB710" s="261"/>
      <c r="CC710" s="255"/>
      <c r="CD710" s="261"/>
      <c r="CE710" s="261"/>
      <c r="CF710" s="255"/>
      <c r="CG710" s="261"/>
      <c r="CH710" s="261"/>
      <c r="CI710" s="261"/>
      <c r="CJ710" s="261"/>
      <c r="CK710" s="261"/>
      <c r="CL710" s="255"/>
      <c r="CN710" s="256"/>
      <c r="CO710" s="256"/>
      <c r="CP710" s="261"/>
      <c r="CQ710" s="261"/>
      <c r="CR710" s="255"/>
      <c r="CS710" s="261"/>
      <c r="CT710" s="261"/>
      <c r="CU710" s="255"/>
      <c r="CV710" s="261"/>
      <c r="CW710" s="261"/>
      <c r="CX710" s="261"/>
      <c r="CY710" s="255"/>
    </row>
    <row r="711" spans="1:103" ht="10.25" customHeight="1">
      <c r="C711" s="278"/>
      <c r="F711" s="377"/>
      <c r="G711" s="377"/>
      <c r="H711" s="377"/>
      <c r="I711" s="377"/>
      <c r="J711" s="377"/>
      <c r="K711" s="377"/>
      <c r="L711" s="377"/>
      <c r="M711" s="377"/>
      <c r="N711" s="269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  <c r="AL711" s="63"/>
      <c r="AM711" s="63"/>
      <c r="AN711" s="63"/>
      <c r="AO711" s="63"/>
      <c r="AP711" s="63"/>
      <c r="AQ711" s="63"/>
      <c r="CA711" s="256"/>
      <c r="CB711" s="261"/>
      <c r="CC711" s="255"/>
      <c r="CD711" s="261"/>
      <c r="CE711" s="261"/>
      <c r="CF711" s="255"/>
      <c r="CG711" s="261"/>
      <c r="CH711" s="261"/>
      <c r="CI711" s="261"/>
      <c r="CJ711" s="261"/>
      <c r="CK711" s="261"/>
      <c r="CL711" s="255"/>
      <c r="CN711" s="256"/>
      <c r="CO711" s="256"/>
      <c r="CP711" s="261"/>
      <c r="CQ711" s="261"/>
      <c r="CR711" s="255"/>
      <c r="CS711" s="261"/>
      <c r="CT711" s="261"/>
      <c r="CU711" s="255"/>
      <c r="CV711" s="261"/>
      <c r="CW711" s="261"/>
      <c r="CX711" s="261"/>
      <c r="CY711" s="255"/>
    </row>
    <row r="712" spans="1:103" ht="10.4" customHeight="1">
      <c r="C712" s="278"/>
      <c r="F712" s="377"/>
      <c r="G712" s="377"/>
      <c r="H712" s="377"/>
      <c r="I712" s="377"/>
      <c r="J712" s="377"/>
      <c r="K712" s="377"/>
      <c r="L712" s="377"/>
      <c r="M712" s="377"/>
      <c r="N712" s="269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  <c r="AL712" s="63"/>
      <c r="AM712" s="63"/>
      <c r="AN712" s="63"/>
      <c r="AO712" s="63"/>
      <c r="AP712" s="63"/>
      <c r="AQ712" s="63"/>
      <c r="AS712" s="236"/>
      <c r="BE712" s="63"/>
      <c r="BF712" s="63"/>
      <c r="BG712" s="63"/>
      <c r="BK712" s="317"/>
      <c r="BL712" s="5"/>
      <c r="BM712" s="5"/>
      <c r="BN712" s="5"/>
      <c r="BO712" s="5"/>
      <c r="BP712" s="5"/>
      <c r="BQ712" s="5"/>
      <c r="BR712" s="5"/>
      <c r="BS712" s="5"/>
      <c r="BT712" s="5"/>
      <c r="BV712" s="317"/>
      <c r="CF712" s="5"/>
      <c r="CG712" s="5"/>
      <c r="CH712" s="5"/>
      <c r="CI712" s="5"/>
      <c r="CJ712" s="5"/>
      <c r="CK712" s="5"/>
      <c r="CL712" s="5"/>
    </row>
    <row r="713" spans="1:103" ht="10.25" customHeight="1">
      <c r="A713" s="377"/>
      <c r="B713" s="377"/>
      <c r="C713" s="377"/>
      <c r="D713" s="377"/>
      <c r="E713" s="377"/>
      <c r="F713" s="377"/>
      <c r="G713" s="377"/>
      <c r="H713" s="377"/>
      <c r="I713" s="377"/>
      <c r="J713" s="377"/>
      <c r="K713" s="377"/>
      <c r="L713" s="377"/>
      <c r="M713" s="377"/>
      <c r="N713" s="269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  <c r="AN713" s="63"/>
      <c r="AO713" s="63"/>
      <c r="AP713" s="63"/>
      <c r="AQ713" s="63"/>
      <c r="BE713" s="63"/>
      <c r="BF713" s="63"/>
      <c r="BG713" s="63"/>
      <c r="BK713" s="317"/>
      <c r="BL713" s="5"/>
      <c r="BM713" s="5"/>
      <c r="BN713" s="5"/>
      <c r="BO713" s="5"/>
      <c r="BP713" s="5"/>
      <c r="BQ713" s="5"/>
      <c r="BR713" s="5"/>
      <c r="BS713" s="5"/>
      <c r="BT713" s="5"/>
      <c r="BV713" s="317"/>
      <c r="CF713" s="5"/>
      <c r="CG713" s="5"/>
      <c r="CH713" s="5"/>
      <c r="CI713" s="5"/>
      <c r="CJ713" s="5"/>
      <c r="CK713" s="5"/>
      <c r="CL713" s="5"/>
    </row>
    <row r="714" spans="1:103" ht="10.25" customHeight="1">
      <c r="A714" s="376"/>
      <c r="B714" s="376"/>
      <c r="C714" s="376"/>
      <c r="D714" s="376"/>
      <c r="E714" s="376"/>
      <c r="F714" s="376"/>
      <c r="G714" s="376"/>
      <c r="H714" s="376"/>
      <c r="I714" s="376"/>
      <c r="J714" s="376"/>
      <c r="K714" s="376"/>
      <c r="L714" s="376"/>
      <c r="M714" s="376"/>
      <c r="N714" s="279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  <c r="AF714" s="51"/>
      <c r="AG714" s="51"/>
      <c r="AH714" s="51"/>
      <c r="AI714" s="51"/>
      <c r="AJ714" s="51"/>
      <c r="AK714" s="51"/>
      <c r="AL714" s="51"/>
      <c r="AM714" s="51"/>
      <c r="AN714" s="51"/>
      <c r="AO714" s="51"/>
      <c r="AP714" s="51"/>
      <c r="AQ714" s="51"/>
      <c r="BE714" s="63"/>
      <c r="BF714" s="63"/>
      <c r="BG714" s="63"/>
      <c r="BK714" s="317"/>
      <c r="BL714" s="5"/>
      <c r="BM714" s="5"/>
      <c r="BN714" s="5"/>
      <c r="BO714" s="5"/>
      <c r="BP714" s="5"/>
      <c r="BQ714" s="5"/>
      <c r="BR714" s="5"/>
      <c r="BS714" s="5"/>
      <c r="BT714" s="5"/>
      <c r="BV714" s="317"/>
      <c r="CF714" s="5"/>
      <c r="CG714" s="5"/>
      <c r="CH714" s="5"/>
      <c r="CI714" s="5"/>
      <c r="CJ714" s="5"/>
      <c r="CK714" s="5"/>
      <c r="CL714" s="5"/>
    </row>
    <row r="715" spans="1:103" ht="10.25" customHeight="1">
      <c r="A715" s="374"/>
      <c r="B715" s="374"/>
      <c r="C715" s="374"/>
      <c r="D715" s="374"/>
      <c r="E715" s="374"/>
      <c r="F715" s="374"/>
      <c r="G715" s="374"/>
      <c r="H715" s="374"/>
      <c r="I715" s="374"/>
      <c r="J715" s="374"/>
      <c r="K715" s="374"/>
      <c r="L715" s="374"/>
      <c r="M715" s="374"/>
      <c r="N715" s="213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BE715" s="63"/>
      <c r="BF715" s="63"/>
      <c r="BG715" s="63"/>
      <c r="BK715" s="317"/>
      <c r="BL715" s="5"/>
      <c r="BM715" s="5"/>
      <c r="BN715" s="5"/>
      <c r="BO715" s="5"/>
      <c r="BP715" s="5"/>
      <c r="BQ715" s="5"/>
      <c r="BR715" s="5"/>
      <c r="BS715" s="5"/>
      <c r="BT715" s="5"/>
      <c r="BV715" s="317"/>
      <c r="CF715" s="5"/>
      <c r="CG715" s="5"/>
      <c r="CH715" s="5"/>
      <c r="CI715" s="5"/>
      <c r="CJ715" s="5"/>
      <c r="CK715" s="5"/>
      <c r="CL715" s="5"/>
    </row>
    <row r="716" spans="1:103" ht="6" customHeight="1">
      <c r="A716" s="208"/>
      <c r="B716" s="209"/>
      <c r="C716" s="209"/>
      <c r="D716" s="209"/>
      <c r="E716" s="209"/>
      <c r="F716" s="280"/>
      <c r="G716" s="280"/>
      <c r="H716" s="280"/>
      <c r="I716" s="280"/>
      <c r="J716" s="280"/>
      <c r="K716" s="280"/>
      <c r="L716" s="280"/>
      <c r="M716" s="280"/>
      <c r="N716" s="280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  <c r="AK716" s="42"/>
      <c r="AL716" s="42"/>
      <c r="AM716" s="42"/>
      <c r="AN716" s="42"/>
      <c r="AO716" s="42"/>
      <c r="AP716" s="42"/>
      <c r="AQ716" s="42"/>
      <c r="BK716" s="317"/>
      <c r="BL716" s="5"/>
      <c r="BM716" s="5"/>
      <c r="BN716" s="5"/>
      <c r="BO716" s="5"/>
      <c r="BP716" s="5"/>
      <c r="BQ716" s="5"/>
      <c r="BR716" s="5"/>
      <c r="BS716" s="5"/>
      <c r="BT716" s="5"/>
      <c r="BV716" s="317"/>
      <c r="CF716" s="5"/>
      <c r="CG716" s="5"/>
      <c r="CH716" s="5"/>
      <c r="CI716" s="5"/>
      <c r="CJ716" s="5"/>
      <c r="CK716" s="5"/>
      <c r="CL716" s="5"/>
    </row>
    <row r="717" spans="1:103" ht="10.25" customHeight="1">
      <c r="A717" s="208"/>
      <c r="B717" s="209"/>
      <c r="C717" s="209"/>
      <c r="D717" s="210"/>
      <c r="E717" s="211"/>
      <c r="F717" s="369"/>
      <c r="G717" s="369"/>
      <c r="H717" s="369"/>
      <c r="I717" s="369"/>
      <c r="J717" s="369"/>
      <c r="K717" s="369"/>
      <c r="L717" s="369"/>
      <c r="M717" s="230"/>
      <c r="N717" s="230"/>
      <c r="O717" s="235"/>
      <c r="P717" s="235"/>
      <c r="Q717" s="235"/>
      <c r="R717" s="235"/>
      <c r="S717" s="235"/>
      <c r="T717" s="235"/>
      <c r="U717" s="235"/>
      <c r="V717" s="235"/>
      <c r="W717" s="235"/>
      <c r="X717" s="235"/>
      <c r="Y717" s="235"/>
      <c r="Z717" s="235"/>
      <c r="AA717" s="235"/>
      <c r="AB717" s="235"/>
      <c r="AC717" s="235"/>
      <c r="AD717" s="235"/>
      <c r="AE717" s="235"/>
      <c r="AF717" s="235"/>
      <c r="AG717" s="235"/>
      <c r="AH717" s="235"/>
      <c r="AI717" s="235"/>
      <c r="AJ717" s="235"/>
      <c r="AK717" s="235"/>
      <c r="AL717" s="235"/>
      <c r="AM717" s="235"/>
      <c r="AN717" s="235"/>
      <c r="AO717" s="235"/>
      <c r="AP717" s="235"/>
      <c r="AQ717" s="235"/>
      <c r="BK717" s="317"/>
      <c r="BL717" s="5"/>
      <c r="BM717" s="5"/>
      <c r="BN717" s="5"/>
      <c r="BO717" s="5"/>
      <c r="BP717" s="5"/>
      <c r="BQ717" s="5"/>
      <c r="BR717" s="5"/>
      <c r="BS717" s="5"/>
      <c r="BT717" s="5"/>
      <c r="BV717" s="317"/>
      <c r="CF717" s="5"/>
      <c r="CG717" s="5"/>
      <c r="CH717" s="5"/>
      <c r="CI717" s="5"/>
      <c r="CJ717" s="5"/>
      <c r="CK717" s="5"/>
      <c r="CL717" s="5"/>
    </row>
    <row r="718" spans="1:103" ht="2" customHeight="1">
      <c r="A718" s="209"/>
      <c r="B718" s="209"/>
      <c r="C718" s="212"/>
      <c r="D718" s="213"/>
      <c r="E718" s="209"/>
      <c r="F718" s="209"/>
      <c r="G718" s="209"/>
      <c r="H718" s="209"/>
      <c r="I718" s="209"/>
      <c r="J718" s="209"/>
      <c r="K718" s="209"/>
      <c r="L718" s="209"/>
      <c r="M718" s="209"/>
      <c r="N718" s="209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  <c r="AM718" s="46"/>
      <c r="AN718" s="46"/>
      <c r="AO718" s="46"/>
      <c r="AP718" s="46"/>
      <c r="AQ718" s="46"/>
      <c r="BK718" s="317"/>
      <c r="BL718" s="5"/>
      <c r="BM718" s="5"/>
      <c r="BN718" s="5"/>
      <c r="BO718" s="5"/>
      <c r="BP718" s="5"/>
      <c r="BQ718" s="5"/>
      <c r="BR718" s="5"/>
      <c r="BS718" s="5"/>
      <c r="BT718" s="5"/>
      <c r="BV718" s="317"/>
      <c r="CF718" s="5"/>
      <c r="CG718" s="5"/>
      <c r="CH718" s="5"/>
      <c r="CI718" s="5"/>
      <c r="CJ718" s="5"/>
      <c r="CK718" s="5"/>
      <c r="CL718" s="5"/>
    </row>
    <row r="719" spans="1:103" ht="26.4" customHeight="1">
      <c r="A719" s="374"/>
      <c r="B719" s="374"/>
      <c r="C719" s="374"/>
      <c r="D719" s="372"/>
      <c r="E719" s="373"/>
      <c r="F719" s="370"/>
      <c r="G719" s="215"/>
      <c r="H719" s="373"/>
      <c r="I719" s="370"/>
      <c r="J719" s="370"/>
      <c r="K719" s="370"/>
      <c r="L719" s="373"/>
      <c r="M719" s="374"/>
      <c r="N719" s="213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BK719" s="317"/>
      <c r="BL719" s="5"/>
      <c r="BM719" s="5"/>
      <c r="BN719" s="5"/>
      <c r="BO719" s="5"/>
      <c r="BP719" s="5"/>
      <c r="BQ719" s="5"/>
      <c r="BR719" s="5"/>
      <c r="BS719" s="5"/>
      <c r="BT719" s="5"/>
      <c r="BV719" s="317"/>
      <c r="CF719" s="5"/>
      <c r="CG719" s="5"/>
      <c r="CH719" s="5"/>
      <c r="CI719" s="5"/>
      <c r="CJ719" s="5"/>
      <c r="CK719" s="5"/>
      <c r="CL719" s="5"/>
    </row>
    <row r="720" spans="1:103" ht="9.65" customHeight="1">
      <c r="A720" s="374"/>
      <c r="B720" s="374"/>
      <c r="C720" s="374"/>
      <c r="D720" s="372"/>
      <c r="E720" s="373"/>
      <c r="F720" s="370"/>
      <c r="G720" s="215"/>
      <c r="H720" s="373"/>
      <c r="I720" s="233"/>
      <c r="J720" s="233"/>
      <c r="K720" s="233"/>
      <c r="L720" s="373"/>
      <c r="M720" s="374"/>
      <c r="N720" s="213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BK720" s="317"/>
      <c r="BL720" s="5"/>
      <c r="BM720" s="5"/>
      <c r="BN720" s="5"/>
      <c r="BO720" s="5"/>
      <c r="BP720" s="5"/>
      <c r="BQ720" s="5"/>
      <c r="BR720" s="5"/>
      <c r="BS720" s="5"/>
      <c r="BT720" s="5"/>
      <c r="BV720" s="317"/>
      <c r="CF720" s="5"/>
      <c r="CG720" s="5"/>
      <c r="CH720" s="5"/>
      <c r="CI720" s="5"/>
      <c r="CJ720" s="5"/>
      <c r="CK720" s="5"/>
      <c r="CL720" s="5"/>
    </row>
    <row r="721" spans="1:103" ht="10.25" customHeight="1">
      <c r="A721" s="216"/>
      <c r="B721" s="217"/>
      <c r="C721" s="218"/>
      <c r="D721" s="219"/>
      <c r="E721" s="217"/>
      <c r="F721" s="217"/>
      <c r="G721" s="217"/>
      <c r="H721" s="220"/>
      <c r="I721" s="217"/>
      <c r="J721" s="217"/>
      <c r="K721" s="217"/>
      <c r="L721" s="217"/>
      <c r="M721" s="217"/>
      <c r="N721" s="217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  <c r="AP721" s="44"/>
      <c r="AQ721" s="44"/>
      <c r="BA721" s="5"/>
      <c r="BB721" s="5"/>
      <c r="BC721" s="5"/>
      <c r="BD721" s="5"/>
      <c r="BE721" s="63"/>
      <c r="BF721" s="63"/>
      <c r="BG721" s="63"/>
      <c r="BK721" s="317"/>
      <c r="BL721" s="5"/>
      <c r="BM721" s="5"/>
      <c r="BN721" s="5"/>
      <c r="BO721" s="5"/>
      <c r="BP721" s="5"/>
      <c r="BQ721" s="5"/>
      <c r="BR721" s="5"/>
      <c r="BS721" s="5"/>
      <c r="BT721" s="5"/>
      <c r="BV721" s="317"/>
      <c r="CF721" s="5"/>
      <c r="CG721" s="53"/>
      <c r="CH721" s="53"/>
      <c r="CI721" s="53"/>
      <c r="CJ721" s="53"/>
      <c r="CK721" s="53"/>
      <c r="CL721" s="53"/>
      <c r="CN721" s="53"/>
      <c r="CO721" s="53"/>
      <c r="CP721" s="53"/>
      <c r="CQ721" s="53"/>
      <c r="CR721" s="53"/>
      <c r="CS721" s="53"/>
    </row>
    <row r="722" spans="1:103" ht="10.25" customHeight="1">
      <c r="A722" s="216"/>
      <c r="B722" s="217"/>
      <c r="C722" s="218"/>
      <c r="D722" s="219"/>
      <c r="E722" s="217"/>
      <c r="F722" s="217"/>
      <c r="G722" s="217"/>
      <c r="H722" s="220"/>
      <c r="I722" s="217"/>
      <c r="J722" s="217"/>
      <c r="K722" s="217"/>
      <c r="L722" s="217"/>
      <c r="M722" s="217"/>
      <c r="N722" s="217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  <c r="AQ722" s="44"/>
      <c r="BA722" s="5"/>
      <c r="BB722" s="5"/>
      <c r="BC722" s="5"/>
      <c r="BD722" s="5"/>
      <c r="BE722" s="63"/>
      <c r="BF722" s="63"/>
      <c r="BG722" s="63"/>
      <c r="BK722" s="317"/>
      <c r="BL722" s="5"/>
      <c r="BM722" s="5"/>
      <c r="BN722" s="5"/>
      <c r="BO722" s="5"/>
      <c r="BP722" s="5"/>
      <c r="BQ722" s="5"/>
      <c r="BR722" s="5"/>
      <c r="BS722" s="5"/>
      <c r="BT722" s="5"/>
      <c r="BV722" s="317"/>
      <c r="CF722" s="5"/>
      <c r="CG722" s="53"/>
      <c r="CH722" s="53"/>
      <c r="CI722" s="53"/>
      <c r="CJ722" s="53"/>
      <c r="CK722" s="53"/>
      <c r="CL722" s="53"/>
      <c r="CN722" s="53"/>
      <c r="CO722" s="53"/>
      <c r="CP722" s="53"/>
      <c r="CQ722" s="53"/>
      <c r="CR722" s="53"/>
      <c r="CS722" s="53"/>
    </row>
    <row r="723" spans="1:103" ht="10.25" customHeight="1">
      <c r="A723" s="216"/>
      <c r="B723" s="217"/>
      <c r="C723" s="218"/>
      <c r="D723" s="219"/>
      <c r="E723" s="217"/>
      <c r="F723" s="217"/>
      <c r="G723" s="217"/>
      <c r="H723" s="220"/>
      <c r="I723" s="217"/>
      <c r="J723" s="217"/>
      <c r="K723" s="217"/>
      <c r="L723" s="217"/>
      <c r="M723" s="217"/>
      <c r="N723" s="217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4"/>
      <c r="AQ723" s="44"/>
      <c r="BA723" s="5"/>
      <c r="BB723" s="5"/>
      <c r="BC723" s="5"/>
      <c r="BD723" s="5"/>
      <c r="BE723" s="63"/>
      <c r="BF723" s="63"/>
      <c r="BG723" s="63"/>
      <c r="BK723" s="317"/>
      <c r="BL723" s="5"/>
      <c r="BM723" s="5"/>
      <c r="BN723" s="5"/>
      <c r="BO723" s="5"/>
      <c r="BP723" s="5"/>
      <c r="BQ723" s="5"/>
      <c r="BR723" s="5"/>
      <c r="BS723" s="5"/>
      <c r="BT723" s="5"/>
      <c r="BV723" s="317"/>
      <c r="CF723" s="5"/>
      <c r="CG723" s="53"/>
      <c r="CH723" s="53"/>
      <c r="CI723" s="53"/>
      <c r="CJ723" s="53"/>
      <c r="CK723" s="53"/>
      <c r="CL723" s="53"/>
      <c r="CN723" s="53"/>
      <c r="CO723" s="53"/>
      <c r="CP723" s="53"/>
      <c r="CQ723" s="53"/>
      <c r="CR723" s="53"/>
      <c r="CS723" s="53"/>
    </row>
    <row r="724" spans="1:103" ht="10.25" customHeight="1">
      <c r="A724" s="216"/>
      <c r="B724" s="217"/>
      <c r="C724" s="218"/>
      <c r="D724" s="219"/>
      <c r="E724" s="217"/>
      <c r="F724" s="217"/>
      <c r="G724" s="217"/>
      <c r="H724" s="220"/>
      <c r="I724" s="217"/>
      <c r="J724" s="217"/>
      <c r="K724" s="217"/>
      <c r="L724" s="217"/>
      <c r="M724" s="217"/>
      <c r="N724" s="217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  <c r="AM724" s="44"/>
      <c r="AN724" s="44"/>
      <c r="AO724" s="44"/>
      <c r="AP724" s="44"/>
      <c r="AQ724" s="44"/>
      <c r="BA724" s="5"/>
      <c r="BB724" s="5"/>
      <c r="BC724" s="5"/>
      <c r="BD724" s="5"/>
      <c r="BE724" s="63"/>
      <c r="BF724" s="63"/>
      <c r="BG724" s="63"/>
      <c r="BK724" s="317"/>
      <c r="BL724" s="5"/>
      <c r="BM724" s="5"/>
      <c r="BN724" s="5"/>
      <c r="BO724" s="5"/>
      <c r="BP724" s="5"/>
      <c r="BQ724" s="5"/>
      <c r="BR724" s="5"/>
      <c r="BS724" s="5"/>
      <c r="BT724" s="5"/>
      <c r="BV724" s="317"/>
      <c r="CF724" s="5"/>
      <c r="CG724" s="53"/>
      <c r="CH724" s="53"/>
      <c r="CI724" s="53"/>
      <c r="CJ724" s="53"/>
      <c r="CK724" s="53"/>
      <c r="CL724" s="53"/>
      <c r="CN724" s="53"/>
      <c r="CO724" s="53"/>
      <c r="CP724" s="53"/>
      <c r="CQ724" s="53"/>
      <c r="CR724" s="53"/>
      <c r="CS724" s="53"/>
    </row>
    <row r="725" spans="1:103" ht="10.25" customHeight="1">
      <c r="A725" s="216"/>
      <c r="B725" s="217"/>
      <c r="C725" s="218"/>
      <c r="D725" s="219"/>
      <c r="E725" s="217"/>
      <c r="F725" s="217"/>
      <c r="G725" s="217"/>
      <c r="H725" s="220"/>
      <c r="I725" s="217"/>
      <c r="J725" s="217"/>
      <c r="K725" s="217"/>
      <c r="L725" s="217"/>
      <c r="M725" s="217"/>
      <c r="N725" s="217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  <c r="AP725" s="44"/>
      <c r="AQ725" s="44"/>
      <c r="BA725" s="5"/>
      <c r="BB725" s="5"/>
      <c r="BC725" s="5"/>
      <c r="BD725" s="5"/>
      <c r="BE725" s="63"/>
      <c r="BF725" s="63"/>
      <c r="BG725" s="63"/>
      <c r="BK725" s="317"/>
      <c r="BL725" s="5"/>
      <c r="BM725" s="5"/>
      <c r="BN725" s="5"/>
      <c r="BO725" s="5"/>
      <c r="BP725" s="5"/>
      <c r="BQ725" s="5"/>
      <c r="BR725" s="5"/>
      <c r="BS725" s="5"/>
      <c r="BT725" s="5"/>
      <c r="BV725" s="317"/>
      <c r="CF725" s="5"/>
      <c r="CG725" s="53"/>
      <c r="CH725" s="53"/>
      <c r="CI725" s="53"/>
      <c r="CJ725" s="53"/>
      <c r="CK725" s="53"/>
      <c r="CL725" s="53"/>
      <c r="CN725" s="53"/>
      <c r="CO725" s="53"/>
      <c r="CP725" s="53"/>
      <c r="CQ725" s="53"/>
      <c r="CR725" s="53"/>
      <c r="CS725" s="53"/>
    </row>
    <row r="726" spans="1:103" ht="10.25" customHeight="1">
      <c r="A726" s="216"/>
      <c r="B726" s="217"/>
      <c r="C726" s="218"/>
      <c r="D726" s="219"/>
      <c r="E726" s="217"/>
      <c r="F726" s="217"/>
      <c r="G726" s="217"/>
      <c r="H726" s="220"/>
      <c r="I726" s="217"/>
      <c r="J726" s="217"/>
      <c r="K726" s="217"/>
      <c r="L726" s="217"/>
      <c r="M726" s="217"/>
      <c r="N726" s="217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BA726" s="5"/>
      <c r="BB726" s="5"/>
      <c r="BC726" s="5"/>
      <c r="BD726" s="5"/>
      <c r="BE726" s="63"/>
      <c r="BF726" s="63"/>
      <c r="BG726" s="63"/>
      <c r="BK726" s="317"/>
      <c r="BL726" s="5"/>
      <c r="BM726" s="5"/>
      <c r="BN726" s="5"/>
      <c r="BO726" s="5"/>
      <c r="BP726" s="5"/>
      <c r="BQ726" s="5"/>
      <c r="BR726" s="5"/>
      <c r="BS726" s="5"/>
      <c r="BT726" s="5"/>
      <c r="BV726" s="317"/>
      <c r="CF726" s="5"/>
      <c r="CG726" s="53"/>
      <c r="CH726" s="53"/>
      <c r="CI726" s="53"/>
      <c r="CJ726" s="53"/>
      <c r="CK726" s="53"/>
      <c r="CL726" s="53"/>
      <c r="CN726" s="53"/>
      <c r="CO726" s="53"/>
      <c r="CP726" s="53"/>
      <c r="CQ726" s="53"/>
      <c r="CR726" s="53"/>
      <c r="CS726" s="53"/>
    </row>
    <row r="727" spans="1:103" ht="10.25" customHeight="1">
      <c r="A727" s="216"/>
      <c r="B727" s="217"/>
      <c r="C727" s="218"/>
      <c r="D727" s="219"/>
      <c r="E727" s="217"/>
      <c r="F727" s="217"/>
      <c r="G727" s="217"/>
      <c r="H727" s="220"/>
      <c r="I727" s="217"/>
      <c r="J727" s="217"/>
      <c r="K727" s="217"/>
      <c r="L727" s="217"/>
      <c r="M727" s="217"/>
      <c r="N727" s="217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BA727" s="5"/>
      <c r="BB727" s="5"/>
      <c r="BC727" s="5"/>
      <c r="BD727" s="5"/>
      <c r="BE727" s="63"/>
      <c r="BF727" s="63"/>
      <c r="BG727" s="63"/>
      <c r="BK727" s="317"/>
      <c r="BL727" s="5"/>
      <c r="BM727" s="5"/>
      <c r="BN727" s="5"/>
      <c r="BO727" s="5"/>
      <c r="BP727" s="5"/>
      <c r="BQ727" s="5"/>
      <c r="BR727" s="5"/>
      <c r="BS727" s="5"/>
      <c r="BT727" s="5"/>
      <c r="BV727" s="317"/>
      <c r="CF727" s="5"/>
      <c r="CG727" s="53"/>
      <c r="CH727" s="53"/>
      <c r="CI727" s="53"/>
      <c r="CJ727" s="53"/>
      <c r="CK727" s="53"/>
      <c r="CL727" s="53"/>
      <c r="CN727" s="53"/>
      <c r="CO727" s="53"/>
      <c r="CP727" s="53"/>
      <c r="CQ727" s="53"/>
      <c r="CR727" s="53"/>
      <c r="CS727" s="53"/>
    </row>
    <row r="728" spans="1:103" ht="10.25" customHeight="1">
      <c r="A728" s="216"/>
      <c r="B728" s="217"/>
      <c r="C728" s="218"/>
      <c r="D728" s="219"/>
      <c r="E728" s="217"/>
      <c r="F728" s="217"/>
      <c r="G728" s="217"/>
      <c r="H728" s="220"/>
      <c r="I728" s="217"/>
      <c r="J728" s="217"/>
      <c r="K728" s="217"/>
      <c r="L728" s="217"/>
      <c r="M728" s="217"/>
      <c r="N728" s="217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W728" s="63"/>
      <c r="AX728" s="63"/>
      <c r="AY728" s="63"/>
      <c r="AZ728" s="63"/>
      <c r="BA728" s="5"/>
      <c r="BB728" s="5"/>
      <c r="BC728" s="5"/>
      <c r="BD728" s="5"/>
      <c r="BE728" s="63"/>
      <c r="BF728" s="63"/>
      <c r="BG728" s="63"/>
      <c r="BV728" s="317"/>
      <c r="CF728" s="5"/>
      <c r="CG728" s="53"/>
      <c r="CH728" s="53"/>
      <c r="CI728" s="53"/>
      <c r="CJ728" s="53"/>
      <c r="CK728" s="53"/>
      <c r="CL728" s="53"/>
      <c r="CN728" s="53"/>
      <c r="CO728" s="53"/>
      <c r="CP728" s="53"/>
      <c r="CQ728" s="53"/>
      <c r="CR728" s="53"/>
      <c r="CS728" s="53"/>
    </row>
    <row r="729" spans="1:103" ht="10.25" customHeight="1">
      <c r="A729" s="216"/>
      <c r="B729" s="217"/>
      <c r="C729" s="218"/>
      <c r="D729" s="219"/>
      <c r="E729" s="217"/>
      <c r="F729" s="217"/>
      <c r="G729" s="217"/>
      <c r="H729" s="220"/>
      <c r="I729" s="217"/>
      <c r="J729" s="217"/>
      <c r="K729" s="217"/>
      <c r="L729" s="217"/>
      <c r="M729" s="217"/>
      <c r="N729" s="217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W729" s="63"/>
      <c r="AX729" s="63"/>
      <c r="AY729" s="63"/>
      <c r="AZ729" s="63"/>
      <c r="BA729" s="5"/>
      <c r="BB729" s="5"/>
      <c r="BC729" s="5"/>
      <c r="BD729" s="5"/>
      <c r="BE729" s="63"/>
      <c r="BF729" s="63"/>
      <c r="BG729" s="63"/>
      <c r="BV729" s="317"/>
      <c r="CF729" s="5"/>
      <c r="CG729" s="53"/>
      <c r="CH729" s="53"/>
      <c r="CI729" s="53"/>
      <c r="CJ729" s="53"/>
      <c r="CK729" s="53"/>
      <c r="CL729" s="53"/>
      <c r="CN729" s="53"/>
      <c r="CO729" s="53"/>
      <c r="CP729" s="53"/>
      <c r="CQ729" s="53"/>
      <c r="CR729" s="53"/>
      <c r="CS729" s="53"/>
    </row>
    <row r="730" spans="1:103" ht="10.25" customHeight="1">
      <c r="A730" s="216"/>
      <c r="B730" s="217"/>
      <c r="C730" s="218"/>
      <c r="D730" s="219"/>
      <c r="E730" s="217"/>
      <c r="F730" s="217"/>
      <c r="G730" s="217"/>
      <c r="H730" s="220"/>
      <c r="I730" s="217"/>
      <c r="J730" s="217"/>
      <c r="K730" s="217"/>
      <c r="L730" s="217"/>
      <c r="M730" s="217"/>
      <c r="N730" s="217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W730" s="63"/>
      <c r="AX730" s="63"/>
      <c r="AY730" s="63"/>
      <c r="AZ730" s="63"/>
      <c r="BA730" s="5"/>
      <c r="BB730" s="5"/>
      <c r="BC730" s="5"/>
      <c r="BD730" s="5"/>
      <c r="BE730" s="63"/>
      <c r="BF730" s="63"/>
      <c r="BG730" s="63"/>
      <c r="BV730" s="317"/>
      <c r="CF730" s="5"/>
      <c r="CG730" s="53"/>
      <c r="CH730" s="53"/>
      <c r="CI730" s="53"/>
      <c r="CJ730" s="53"/>
      <c r="CK730" s="53"/>
      <c r="CL730" s="53"/>
      <c r="CN730" s="53"/>
      <c r="CO730" s="53"/>
      <c r="CP730" s="53"/>
      <c r="CQ730" s="53"/>
      <c r="CR730" s="53"/>
      <c r="CS730" s="53"/>
      <c r="CT730" s="5"/>
      <c r="CU730" s="5"/>
      <c r="CV730" s="5"/>
      <c r="CW730" s="5"/>
      <c r="CX730" s="5"/>
      <c r="CY730" s="5"/>
    </row>
    <row r="731" spans="1:103" ht="10.25" customHeight="1">
      <c r="A731" s="216"/>
      <c r="B731" s="217"/>
      <c r="C731" s="218"/>
      <c r="D731" s="219"/>
      <c r="E731" s="217"/>
      <c r="F731" s="217"/>
      <c r="G731" s="217"/>
      <c r="H731" s="220"/>
      <c r="I731" s="217"/>
      <c r="J731" s="217"/>
      <c r="K731" s="217"/>
      <c r="L731" s="217"/>
      <c r="M731" s="217"/>
      <c r="N731" s="217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W731" s="63"/>
      <c r="AX731" s="63"/>
      <c r="AY731" s="63"/>
      <c r="AZ731" s="63"/>
      <c r="BA731" s="5"/>
      <c r="BB731" s="5"/>
      <c r="BC731" s="5"/>
      <c r="BD731" s="5"/>
      <c r="BE731" s="63"/>
      <c r="BF731" s="63"/>
      <c r="BG731" s="63"/>
      <c r="BV731" s="317"/>
      <c r="CF731" s="5"/>
      <c r="CG731" s="53"/>
      <c r="CH731" s="53"/>
      <c r="CI731" s="53"/>
      <c r="CJ731" s="53"/>
      <c r="CK731" s="53"/>
      <c r="CL731" s="53"/>
      <c r="CN731" s="53"/>
      <c r="CO731" s="53"/>
      <c r="CP731" s="53"/>
      <c r="CQ731" s="53"/>
      <c r="CR731" s="53"/>
      <c r="CS731" s="53"/>
      <c r="CT731" s="5"/>
      <c r="CU731" s="5"/>
      <c r="CV731" s="5"/>
      <c r="CW731" s="5"/>
      <c r="CX731" s="5"/>
      <c r="CY731" s="5"/>
    </row>
    <row r="732" spans="1:103" ht="10.25" customHeight="1">
      <c r="A732" s="216"/>
      <c r="B732" s="217"/>
      <c r="C732" s="218"/>
      <c r="D732" s="219"/>
      <c r="E732" s="217"/>
      <c r="F732" s="217"/>
      <c r="G732" s="217"/>
      <c r="H732" s="220"/>
      <c r="I732" s="217"/>
      <c r="J732" s="217"/>
      <c r="K732" s="217"/>
      <c r="L732" s="217"/>
      <c r="M732" s="217"/>
      <c r="N732" s="217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W732" s="63"/>
      <c r="AX732" s="63"/>
      <c r="AY732" s="63"/>
      <c r="AZ732" s="63"/>
      <c r="BA732" s="5"/>
      <c r="BB732" s="5"/>
      <c r="BC732" s="5"/>
      <c r="BD732" s="5"/>
      <c r="BE732" s="63"/>
      <c r="BF732" s="63"/>
      <c r="BG732" s="63"/>
      <c r="BV732" s="317"/>
      <c r="CF732" s="5"/>
      <c r="CG732" s="53"/>
      <c r="CH732" s="53"/>
      <c r="CI732" s="53"/>
      <c r="CJ732" s="53"/>
      <c r="CK732" s="53"/>
      <c r="CL732" s="53"/>
      <c r="CN732" s="53"/>
      <c r="CO732" s="53"/>
      <c r="CP732" s="53"/>
      <c r="CQ732" s="53"/>
      <c r="CR732" s="53"/>
      <c r="CS732" s="53"/>
      <c r="CT732" s="5"/>
      <c r="CU732" s="5"/>
      <c r="CV732" s="5"/>
      <c r="CW732" s="5"/>
      <c r="CX732" s="5"/>
      <c r="CY732" s="5"/>
    </row>
    <row r="733" spans="1:103" ht="10.25" customHeight="1">
      <c r="A733" s="216"/>
      <c r="B733" s="217"/>
      <c r="C733" s="218"/>
      <c r="D733" s="219"/>
      <c r="E733" s="217"/>
      <c r="F733" s="217"/>
      <c r="G733" s="217"/>
      <c r="H733" s="220"/>
      <c r="I733" s="217"/>
      <c r="J733" s="217"/>
      <c r="K733" s="217"/>
      <c r="L733" s="217"/>
      <c r="M733" s="217"/>
      <c r="N733" s="217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BA733" s="5"/>
      <c r="BB733" s="5"/>
      <c r="BC733" s="5"/>
      <c r="BD733" s="5"/>
      <c r="BE733" s="63"/>
      <c r="BF733" s="63"/>
      <c r="BG733" s="63"/>
      <c r="BV733" s="317"/>
      <c r="CF733" s="5"/>
      <c r="CG733" s="53"/>
      <c r="CH733" s="53"/>
      <c r="CI733" s="53"/>
      <c r="CJ733" s="53"/>
      <c r="CK733" s="53"/>
      <c r="CL733" s="53"/>
      <c r="CN733" s="53"/>
      <c r="CO733" s="53"/>
      <c r="CP733" s="53"/>
      <c r="CQ733" s="53"/>
      <c r="CR733" s="53"/>
      <c r="CS733" s="53"/>
      <c r="CT733" s="5"/>
      <c r="CU733" s="5"/>
      <c r="CV733" s="5"/>
      <c r="CW733" s="5"/>
      <c r="CX733" s="5"/>
      <c r="CY733" s="5"/>
    </row>
    <row r="734" spans="1:103" ht="10.25" customHeight="1">
      <c r="A734" s="216"/>
      <c r="B734" s="217"/>
      <c r="C734" s="218"/>
      <c r="D734" s="219"/>
      <c r="E734" s="217"/>
      <c r="F734" s="217"/>
      <c r="G734" s="217"/>
      <c r="H734" s="220"/>
      <c r="I734" s="217"/>
      <c r="J734" s="217"/>
      <c r="K734" s="217"/>
      <c r="L734" s="217"/>
      <c r="M734" s="217"/>
      <c r="N734" s="217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BA734" s="5"/>
      <c r="BB734" s="5"/>
      <c r="BC734" s="5"/>
      <c r="BD734" s="5"/>
      <c r="BE734" s="63"/>
      <c r="BF734" s="63"/>
      <c r="BG734" s="63"/>
      <c r="BV734" s="317"/>
      <c r="CF734" s="5"/>
      <c r="CG734" s="53"/>
      <c r="CH734" s="53"/>
      <c r="CI734" s="53"/>
      <c r="CJ734" s="53"/>
      <c r="CK734" s="53"/>
      <c r="CL734" s="53"/>
      <c r="CN734" s="53"/>
      <c r="CO734" s="53"/>
      <c r="CP734" s="53"/>
      <c r="CQ734" s="53"/>
      <c r="CR734" s="53"/>
      <c r="CS734" s="53"/>
      <c r="CT734" s="5"/>
      <c r="CU734" s="5"/>
      <c r="CV734" s="5"/>
      <c r="CW734" s="5"/>
      <c r="CX734" s="5"/>
      <c r="CY734" s="5"/>
    </row>
    <row r="735" spans="1:103" ht="10.25" customHeight="1">
      <c r="A735" s="216"/>
      <c r="B735" s="217"/>
      <c r="C735" s="218"/>
      <c r="D735" s="219"/>
      <c r="E735" s="217"/>
      <c r="F735" s="217"/>
      <c r="G735" s="217"/>
      <c r="H735" s="220"/>
      <c r="I735" s="217"/>
      <c r="J735" s="217"/>
      <c r="K735" s="217"/>
      <c r="L735" s="217"/>
      <c r="M735" s="217"/>
      <c r="N735" s="217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BA735" s="5"/>
      <c r="BB735" s="5"/>
      <c r="BC735" s="5"/>
      <c r="BD735" s="5"/>
      <c r="BE735" s="63"/>
      <c r="BF735" s="63"/>
      <c r="BG735" s="63"/>
      <c r="CA735" s="317"/>
      <c r="CF735" s="5"/>
      <c r="CG735" s="53"/>
      <c r="CH735" s="53"/>
      <c r="CI735" s="53"/>
      <c r="CJ735" s="53"/>
      <c r="CK735" s="53"/>
      <c r="CL735" s="53"/>
      <c r="CN735" s="53"/>
      <c r="CO735" s="53"/>
      <c r="CP735" s="53"/>
      <c r="CQ735" s="53"/>
      <c r="CR735" s="53"/>
      <c r="CS735" s="53"/>
      <c r="CT735" s="5"/>
      <c r="CU735" s="5"/>
      <c r="CV735" s="5"/>
      <c r="CW735" s="5"/>
      <c r="CX735" s="5"/>
      <c r="CY735" s="5"/>
    </row>
    <row r="736" spans="1:103" ht="10.25" customHeight="1">
      <c r="A736" s="216"/>
      <c r="B736" s="217"/>
      <c r="C736" s="218"/>
      <c r="D736" s="219"/>
      <c r="E736" s="217"/>
      <c r="F736" s="217"/>
      <c r="G736" s="217"/>
      <c r="H736" s="220"/>
      <c r="I736" s="217"/>
      <c r="J736" s="217"/>
      <c r="K736" s="217"/>
      <c r="L736" s="217"/>
      <c r="M736" s="217"/>
      <c r="N736" s="217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BA736" s="5"/>
      <c r="BB736" s="5"/>
      <c r="BC736" s="5"/>
      <c r="BD736" s="5"/>
      <c r="BE736" s="63"/>
      <c r="BF736" s="63"/>
      <c r="BG736" s="63"/>
      <c r="CA736" s="317"/>
      <c r="CF736" s="5"/>
      <c r="CG736" s="53"/>
      <c r="CH736" s="53"/>
      <c r="CI736" s="53"/>
      <c r="CJ736" s="53"/>
      <c r="CK736" s="53"/>
      <c r="CL736" s="53"/>
      <c r="CN736" s="53"/>
      <c r="CO736" s="53"/>
      <c r="CP736" s="53"/>
      <c r="CQ736" s="53"/>
      <c r="CR736" s="53"/>
      <c r="CS736" s="53"/>
      <c r="CT736" s="5"/>
      <c r="CU736" s="5"/>
      <c r="CV736" s="5"/>
      <c r="CW736" s="5"/>
      <c r="CX736" s="5"/>
      <c r="CY736" s="5"/>
    </row>
    <row r="737" spans="1:103" ht="10.25" customHeight="1">
      <c r="A737" s="216"/>
      <c r="B737" s="217"/>
      <c r="C737" s="218"/>
      <c r="D737" s="219"/>
      <c r="E737" s="217"/>
      <c r="F737" s="217"/>
      <c r="G737" s="217"/>
      <c r="H737" s="220"/>
      <c r="I737" s="217"/>
      <c r="J737" s="217"/>
      <c r="K737" s="217"/>
      <c r="L737" s="217"/>
      <c r="M737" s="217"/>
      <c r="N737" s="217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BA737" s="5"/>
      <c r="BB737" s="5"/>
      <c r="BC737" s="5"/>
      <c r="BD737" s="5"/>
      <c r="BE737" s="63"/>
      <c r="BF737" s="63"/>
      <c r="BG737" s="63"/>
      <c r="CA737" s="317"/>
      <c r="CF737" s="5"/>
      <c r="CG737" s="53"/>
      <c r="CH737" s="53"/>
      <c r="CI737" s="53"/>
      <c r="CJ737" s="53"/>
      <c r="CK737" s="53"/>
      <c r="CL737" s="53"/>
      <c r="CN737" s="53"/>
      <c r="CO737" s="53"/>
      <c r="CP737" s="53"/>
      <c r="CQ737" s="53"/>
      <c r="CR737" s="53"/>
      <c r="CS737" s="53"/>
      <c r="CT737" s="5"/>
      <c r="CU737" s="5"/>
      <c r="CV737" s="5"/>
      <c r="CW737" s="5"/>
      <c r="CX737" s="5"/>
      <c r="CY737" s="5"/>
    </row>
    <row r="738" spans="1:103" ht="10.25" customHeight="1">
      <c r="A738" s="216"/>
      <c r="B738" s="217"/>
      <c r="C738" s="218"/>
      <c r="D738" s="219"/>
      <c r="E738" s="217"/>
      <c r="F738" s="217"/>
      <c r="G738" s="217"/>
      <c r="H738" s="220"/>
      <c r="I738" s="217"/>
      <c r="J738" s="217"/>
      <c r="K738" s="217"/>
      <c r="L738" s="217"/>
      <c r="M738" s="217"/>
      <c r="N738" s="217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BA738" s="5"/>
      <c r="BB738" s="5"/>
      <c r="BC738" s="5"/>
      <c r="BD738" s="5"/>
      <c r="BE738" s="63"/>
      <c r="BF738" s="63"/>
      <c r="BG738" s="63"/>
      <c r="CA738" s="317"/>
      <c r="CF738" s="5"/>
      <c r="CG738" s="53"/>
      <c r="CH738" s="53"/>
      <c r="CI738" s="53"/>
      <c r="CJ738" s="53"/>
      <c r="CK738" s="53"/>
      <c r="CL738" s="53"/>
      <c r="CN738" s="53"/>
      <c r="CO738" s="53"/>
      <c r="CP738" s="53"/>
      <c r="CQ738" s="53"/>
      <c r="CR738" s="53"/>
      <c r="CS738" s="53"/>
      <c r="CT738" s="5"/>
      <c r="CU738" s="5"/>
      <c r="CV738" s="5"/>
      <c r="CW738" s="5"/>
      <c r="CX738" s="5"/>
      <c r="CY738" s="5"/>
    </row>
    <row r="739" spans="1:103" ht="10.25" customHeight="1">
      <c r="A739" s="216"/>
      <c r="B739" s="217"/>
      <c r="C739" s="218"/>
      <c r="D739" s="219"/>
      <c r="E739" s="217"/>
      <c r="F739" s="217"/>
      <c r="G739" s="217"/>
      <c r="H739" s="220"/>
      <c r="I739" s="217"/>
      <c r="J739" s="217"/>
      <c r="K739" s="217"/>
      <c r="L739" s="217"/>
      <c r="M739" s="217"/>
      <c r="N739" s="217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BA739" s="5"/>
      <c r="BB739" s="5"/>
      <c r="BC739" s="5"/>
      <c r="BD739" s="5"/>
      <c r="BE739" s="63"/>
      <c r="BF739" s="63"/>
      <c r="BG739" s="63"/>
      <c r="CA739" s="317"/>
      <c r="CF739" s="5"/>
      <c r="CG739" s="53"/>
      <c r="CH739" s="53"/>
      <c r="CI739" s="53"/>
      <c r="CJ739" s="53"/>
      <c r="CK739" s="53"/>
      <c r="CL739" s="53"/>
      <c r="CN739" s="53"/>
      <c r="CO739" s="53"/>
      <c r="CP739" s="53"/>
      <c r="CQ739" s="53"/>
      <c r="CR739" s="53"/>
      <c r="CS739" s="53"/>
      <c r="CT739" s="5"/>
      <c r="CU739" s="5"/>
      <c r="CV739" s="5"/>
      <c r="CW739" s="5"/>
      <c r="CX739" s="5"/>
      <c r="CY739" s="5"/>
    </row>
    <row r="740" spans="1:103" ht="10.25" customHeight="1">
      <c r="A740" s="216"/>
      <c r="B740" s="217"/>
      <c r="C740" s="218"/>
      <c r="D740" s="219"/>
      <c r="E740" s="217"/>
      <c r="F740" s="217"/>
      <c r="G740" s="217"/>
      <c r="H740" s="220"/>
      <c r="I740" s="217"/>
      <c r="J740" s="217"/>
      <c r="K740" s="217"/>
      <c r="L740" s="217"/>
      <c r="M740" s="217"/>
      <c r="N740" s="217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BA740" s="5"/>
      <c r="BB740" s="5"/>
      <c r="BC740" s="5"/>
      <c r="BD740" s="5"/>
      <c r="BE740" s="63"/>
      <c r="BF740" s="63"/>
      <c r="BG740" s="63"/>
      <c r="CA740" s="317"/>
      <c r="CF740" s="5"/>
      <c r="CG740" s="53"/>
      <c r="CH740" s="53"/>
      <c r="CI740" s="53"/>
      <c r="CJ740" s="53"/>
      <c r="CK740" s="53"/>
      <c r="CL740" s="53"/>
      <c r="CN740" s="53"/>
      <c r="CO740" s="53"/>
      <c r="CP740" s="53"/>
      <c r="CQ740" s="53"/>
      <c r="CR740" s="53"/>
      <c r="CS740" s="53"/>
      <c r="CT740" s="5"/>
      <c r="CU740" s="5"/>
      <c r="CV740" s="5"/>
      <c r="CW740" s="5"/>
      <c r="CX740" s="5"/>
      <c r="CY740" s="5"/>
    </row>
    <row r="741" spans="1:103" ht="10.25" customHeight="1">
      <c r="A741" s="216"/>
      <c r="B741" s="217"/>
      <c r="C741" s="218"/>
      <c r="D741" s="219"/>
      <c r="E741" s="217"/>
      <c r="F741" s="217"/>
      <c r="G741" s="217"/>
      <c r="H741" s="220"/>
      <c r="I741" s="217"/>
      <c r="J741" s="217"/>
      <c r="K741" s="217"/>
      <c r="L741" s="217"/>
      <c r="M741" s="217"/>
      <c r="N741" s="217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BA741" s="5"/>
      <c r="BB741" s="5"/>
      <c r="BC741" s="5"/>
      <c r="BD741" s="5"/>
      <c r="BE741" s="63"/>
      <c r="BF741" s="63"/>
      <c r="BG741" s="63"/>
      <c r="CA741" s="317"/>
      <c r="CF741" s="5"/>
      <c r="CG741" s="53"/>
      <c r="CH741" s="53"/>
      <c r="CI741" s="53"/>
      <c r="CJ741" s="53"/>
      <c r="CK741" s="53"/>
      <c r="CL741" s="53"/>
      <c r="CN741" s="53"/>
      <c r="CO741" s="53"/>
      <c r="CP741" s="53"/>
      <c r="CQ741" s="53"/>
      <c r="CR741" s="53"/>
      <c r="CS741" s="53"/>
      <c r="CT741" s="5"/>
      <c r="CU741" s="5"/>
      <c r="CV741" s="5"/>
      <c r="CW741" s="5"/>
      <c r="CX741" s="5"/>
      <c r="CY741" s="5"/>
    </row>
    <row r="742" spans="1:103" ht="10.25" customHeight="1">
      <c r="A742" s="216"/>
      <c r="B742" s="217"/>
      <c r="C742" s="218"/>
      <c r="D742" s="219"/>
      <c r="E742" s="217"/>
      <c r="F742" s="217"/>
      <c r="G742" s="217"/>
      <c r="H742" s="220"/>
      <c r="I742" s="217"/>
      <c r="J742" s="217"/>
      <c r="K742" s="217"/>
      <c r="L742" s="217"/>
      <c r="M742" s="217"/>
      <c r="N742" s="217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  <c r="AK742" s="44"/>
      <c r="AL742" s="44"/>
      <c r="AM742" s="44"/>
      <c r="AN742" s="44"/>
      <c r="AO742" s="44"/>
      <c r="AP742" s="44"/>
      <c r="AQ742" s="44"/>
      <c r="BA742" s="5"/>
      <c r="BB742" s="5"/>
      <c r="BC742" s="5"/>
      <c r="BD742" s="5"/>
      <c r="BE742" s="63"/>
      <c r="BF742" s="63"/>
      <c r="BG742" s="63"/>
      <c r="CA742" s="317"/>
      <c r="CF742" s="5"/>
      <c r="CG742" s="53"/>
      <c r="CH742" s="53"/>
      <c r="CI742" s="53"/>
      <c r="CJ742" s="53"/>
      <c r="CK742" s="53"/>
      <c r="CL742" s="53"/>
      <c r="CN742" s="53"/>
      <c r="CO742" s="53"/>
      <c r="CP742" s="53"/>
      <c r="CQ742" s="53"/>
      <c r="CR742" s="53"/>
      <c r="CS742" s="53"/>
      <c r="CT742" s="5"/>
      <c r="CU742" s="5"/>
      <c r="CV742" s="5"/>
      <c r="CW742" s="5"/>
      <c r="CX742" s="5"/>
      <c r="CY742" s="5"/>
    </row>
    <row r="743" spans="1:103" ht="10.25" customHeight="1">
      <c r="A743" s="216"/>
      <c r="B743" s="217"/>
      <c r="C743" s="218"/>
      <c r="D743" s="219"/>
      <c r="E743" s="217"/>
      <c r="F743" s="217"/>
      <c r="G743" s="217"/>
      <c r="H743" s="220"/>
      <c r="I743" s="217"/>
      <c r="J743" s="217"/>
      <c r="K743" s="217"/>
      <c r="L743" s="217"/>
      <c r="M743" s="217"/>
      <c r="N743" s="217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  <c r="AK743" s="44"/>
      <c r="AL743" s="44"/>
      <c r="AM743" s="44"/>
      <c r="AN743" s="44"/>
      <c r="AO743" s="44"/>
      <c r="AP743" s="44"/>
      <c r="AQ743" s="44"/>
      <c r="BA743" s="5"/>
      <c r="BB743" s="5"/>
      <c r="BC743" s="5"/>
      <c r="BD743" s="5"/>
      <c r="BE743" s="63"/>
      <c r="BF743" s="63"/>
      <c r="BG743" s="63"/>
      <c r="CA743" s="317"/>
      <c r="CF743" s="5"/>
      <c r="CG743" s="53"/>
      <c r="CH743" s="53"/>
      <c r="CI743" s="53"/>
      <c r="CJ743" s="53"/>
      <c r="CK743" s="53"/>
      <c r="CL743" s="53"/>
      <c r="CN743" s="53"/>
      <c r="CO743" s="53"/>
      <c r="CP743" s="53"/>
      <c r="CQ743" s="53"/>
      <c r="CR743" s="53"/>
      <c r="CS743" s="53"/>
      <c r="CT743" s="5"/>
      <c r="CU743" s="5"/>
      <c r="CV743" s="5"/>
      <c r="CW743" s="5"/>
      <c r="CX743" s="5"/>
      <c r="CY743" s="5"/>
    </row>
    <row r="744" spans="1:103" ht="10.25" customHeight="1">
      <c r="A744" s="216"/>
      <c r="B744" s="217"/>
      <c r="C744" s="218"/>
      <c r="D744" s="219"/>
      <c r="E744" s="217"/>
      <c r="F744" s="217"/>
      <c r="G744" s="217"/>
      <c r="H744" s="220"/>
      <c r="I744" s="217"/>
      <c r="J744" s="217"/>
      <c r="K744" s="217"/>
      <c r="L744" s="217"/>
      <c r="M744" s="217"/>
      <c r="N744" s="217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  <c r="AK744" s="44"/>
      <c r="AL744" s="44"/>
      <c r="AM744" s="44"/>
      <c r="AN744" s="44"/>
      <c r="AO744" s="44"/>
      <c r="AP744" s="44"/>
      <c r="AQ744" s="44"/>
      <c r="BA744" s="5"/>
      <c r="BB744" s="5"/>
      <c r="BC744" s="5"/>
      <c r="BD744" s="5"/>
      <c r="BE744" s="63"/>
      <c r="BF744" s="63"/>
      <c r="BG744" s="63"/>
      <c r="CA744" s="317"/>
      <c r="CF744" s="5"/>
      <c r="CG744" s="53"/>
      <c r="CH744" s="53"/>
      <c r="CI744" s="53"/>
      <c r="CJ744" s="53"/>
      <c r="CK744" s="53"/>
      <c r="CL744" s="53"/>
      <c r="CN744" s="53"/>
      <c r="CO744" s="53"/>
      <c r="CP744" s="53"/>
      <c r="CQ744" s="53"/>
      <c r="CR744" s="53"/>
      <c r="CS744" s="53"/>
      <c r="CT744" s="5"/>
      <c r="CU744" s="5"/>
      <c r="CV744" s="5"/>
      <c r="CW744" s="5"/>
      <c r="CX744" s="5"/>
      <c r="CY744" s="5"/>
    </row>
    <row r="745" spans="1:103" ht="10.25" customHeight="1">
      <c r="A745" s="216"/>
      <c r="B745" s="217"/>
      <c r="C745" s="218"/>
      <c r="D745" s="219"/>
      <c r="E745" s="217"/>
      <c r="F745" s="217"/>
      <c r="G745" s="217"/>
      <c r="H745" s="220"/>
      <c r="I745" s="217"/>
      <c r="J745" s="217"/>
      <c r="K745" s="217"/>
      <c r="L745" s="217"/>
      <c r="M745" s="217"/>
      <c r="N745" s="217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  <c r="AK745" s="44"/>
      <c r="AL745" s="44"/>
      <c r="AM745" s="44"/>
      <c r="AN745" s="44"/>
      <c r="AO745" s="44"/>
      <c r="AP745" s="44"/>
      <c r="AQ745" s="44"/>
      <c r="BA745" s="5"/>
      <c r="BB745" s="5"/>
      <c r="BC745" s="5"/>
      <c r="BD745" s="5"/>
      <c r="BE745" s="63"/>
      <c r="BF745" s="63"/>
      <c r="BG745" s="63"/>
      <c r="CA745" s="317"/>
      <c r="CF745" s="5"/>
      <c r="CG745" s="53"/>
      <c r="CH745" s="53"/>
      <c r="CI745" s="53"/>
      <c r="CJ745" s="53"/>
      <c r="CK745" s="53"/>
      <c r="CL745" s="53"/>
      <c r="CN745" s="53"/>
      <c r="CO745" s="53"/>
      <c r="CP745" s="53"/>
      <c r="CQ745" s="53"/>
      <c r="CR745" s="53"/>
      <c r="CS745" s="53"/>
      <c r="CT745" s="5"/>
      <c r="CU745" s="5"/>
      <c r="CV745" s="5"/>
      <c r="CW745" s="5"/>
      <c r="CX745" s="5"/>
      <c r="CY745" s="5"/>
    </row>
    <row r="746" spans="1:103" ht="10.25" customHeight="1">
      <c r="A746" s="216"/>
      <c r="B746" s="217"/>
      <c r="C746" s="218"/>
      <c r="D746" s="219"/>
      <c r="E746" s="217"/>
      <c r="F746" s="217"/>
      <c r="G746" s="217"/>
      <c r="H746" s="220"/>
      <c r="I746" s="217"/>
      <c r="J746" s="217"/>
      <c r="K746" s="217"/>
      <c r="L746" s="217"/>
      <c r="M746" s="217"/>
      <c r="N746" s="217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  <c r="AK746" s="44"/>
      <c r="AL746" s="44"/>
      <c r="AM746" s="44"/>
      <c r="AN746" s="44"/>
      <c r="AO746" s="44"/>
      <c r="AP746" s="44"/>
      <c r="AQ746" s="44"/>
      <c r="BA746" s="5"/>
      <c r="BB746" s="5"/>
      <c r="BC746" s="5"/>
      <c r="BD746" s="5"/>
      <c r="BE746" s="63"/>
      <c r="BF746" s="63"/>
      <c r="BG746" s="63"/>
      <c r="CA746" s="317"/>
      <c r="CF746" s="5"/>
      <c r="CG746" s="53"/>
      <c r="CH746" s="53"/>
      <c r="CI746" s="53"/>
      <c r="CJ746" s="53"/>
      <c r="CK746" s="53"/>
      <c r="CL746" s="53"/>
      <c r="CN746" s="53"/>
      <c r="CO746" s="53"/>
      <c r="CP746" s="53"/>
      <c r="CQ746" s="53"/>
      <c r="CR746" s="53"/>
      <c r="CS746" s="53"/>
      <c r="CT746" s="5"/>
      <c r="CU746" s="5"/>
      <c r="CV746" s="5"/>
      <c r="CW746" s="5"/>
      <c r="CX746" s="5"/>
      <c r="CY746" s="5"/>
    </row>
    <row r="747" spans="1:103" ht="10.25" customHeight="1">
      <c r="A747" s="216"/>
      <c r="B747" s="217"/>
      <c r="C747" s="218"/>
      <c r="D747" s="219"/>
      <c r="E747" s="217"/>
      <c r="F747" s="217"/>
      <c r="G747" s="217"/>
      <c r="H747" s="220"/>
      <c r="I747" s="217"/>
      <c r="J747" s="217"/>
      <c r="K747" s="217"/>
      <c r="L747" s="217"/>
      <c r="M747" s="217"/>
      <c r="N747" s="217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  <c r="AP747" s="44"/>
      <c r="AQ747" s="44"/>
      <c r="BA747" s="5"/>
      <c r="BB747" s="5"/>
      <c r="BC747" s="5"/>
      <c r="BD747" s="5"/>
      <c r="BE747" s="63"/>
      <c r="BF747" s="63"/>
      <c r="BG747" s="63"/>
      <c r="CA747" s="256"/>
      <c r="CB747" s="261"/>
      <c r="CC747" s="261"/>
      <c r="CD747" s="261"/>
      <c r="CE747" s="261"/>
      <c r="CF747" s="255"/>
      <c r="CG747" s="53"/>
      <c r="CH747" s="53"/>
      <c r="CI747" s="53"/>
      <c r="CJ747" s="53"/>
      <c r="CK747" s="53"/>
      <c r="CL747" s="53"/>
      <c r="CN747" s="53"/>
      <c r="CO747" s="53"/>
      <c r="CP747" s="53"/>
      <c r="CQ747" s="53"/>
      <c r="CR747" s="53"/>
      <c r="CS747" s="53"/>
      <c r="CT747" s="261"/>
      <c r="CU747" s="255"/>
      <c r="CV747" s="261"/>
      <c r="CW747" s="261"/>
      <c r="CX747" s="261"/>
      <c r="CY747" s="255"/>
    </row>
    <row r="748" spans="1:103" ht="10.25" customHeight="1">
      <c r="A748" s="216"/>
      <c r="B748" s="217"/>
      <c r="C748" s="218"/>
      <c r="D748" s="219"/>
      <c r="E748" s="217"/>
      <c r="F748" s="217"/>
      <c r="G748" s="217"/>
      <c r="H748" s="220"/>
      <c r="I748" s="217"/>
      <c r="J748" s="217"/>
      <c r="K748" s="217"/>
      <c r="L748" s="217"/>
      <c r="M748" s="217"/>
      <c r="N748" s="217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  <c r="AK748" s="44"/>
      <c r="AL748" s="44"/>
      <c r="AM748" s="44"/>
      <c r="AN748" s="44"/>
      <c r="AO748" s="44"/>
      <c r="AP748" s="44"/>
      <c r="AQ748" s="44"/>
      <c r="BA748" s="5"/>
      <c r="BB748" s="5"/>
      <c r="BC748" s="5"/>
      <c r="BD748" s="5"/>
      <c r="BE748" s="63"/>
      <c r="BF748" s="63"/>
      <c r="BG748" s="63"/>
      <c r="CA748" s="256"/>
      <c r="CB748" s="261"/>
      <c r="CC748" s="261"/>
      <c r="CD748" s="261"/>
      <c r="CE748" s="261"/>
      <c r="CF748" s="255"/>
      <c r="CG748" s="53"/>
      <c r="CH748" s="53"/>
      <c r="CI748" s="53"/>
      <c r="CJ748" s="53"/>
      <c r="CK748" s="53"/>
      <c r="CL748" s="53"/>
      <c r="CN748" s="53"/>
      <c r="CO748" s="53"/>
      <c r="CP748" s="53"/>
      <c r="CQ748" s="53"/>
      <c r="CR748" s="53"/>
      <c r="CS748" s="53"/>
      <c r="CT748" s="261"/>
      <c r="CU748" s="255"/>
      <c r="CV748" s="261"/>
      <c r="CW748" s="261"/>
      <c r="CX748" s="261"/>
      <c r="CY748" s="255"/>
    </row>
    <row r="749" spans="1:103" ht="10.25" customHeight="1">
      <c r="A749" s="216"/>
      <c r="B749" s="217"/>
      <c r="C749" s="218"/>
      <c r="D749" s="219"/>
      <c r="E749" s="217"/>
      <c r="F749" s="217"/>
      <c r="G749" s="217"/>
      <c r="H749" s="220"/>
      <c r="I749" s="217"/>
      <c r="J749" s="217"/>
      <c r="K749" s="217"/>
      <c r="L749" s="217"/>
      <c r="M749" s="217"/>
      <c r="N749" s="217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  <c r="AP749" s="44"/>
      <c r="AQ749" s="44"/>
      <c r="BA749" s="5"/>
      <c r="BB749" s="5"/>
      <c r="BC749" s="5"/>
      <c r="BD749" s="5"/>
      <c r="BE749" s="63"/>
      <c r="BF749" s="63"/>
      <c r="BG749" s="63"/>
      <c r="CA749" s="256"/>
      <c r="CB749" s="261"/>
      <c r="CC749" s="261"/>
      <c r="CD749" s="261"/>
      <c r="CE749" s="261"/>
      <c r="CF749" s="255"/>
      <c r="CG749" s="53"/>
      <c r="CH749" s="53"/>
      <c r="CI749" s="53"/>
      <c r="CJ749" s="53"/>
      <c r="CK749" s="53"/>
      <c r="CL749" s="53"/>
      <c r="CN749" s="53"/>
      <c r="CO749" s="53"/>
      <c r="CP749" s="53"/>
      <c r="CQ749" s="53"/>
      <c r="CR749" s="53"/>
      <c r="CS749" s="53"/>
      <c r="CT749" s="261"/>
      <c r="CU749" s="255"/>
      <c r="CV749" s="261"/>
      <c r="CW749" s="255"/>
      <c r="CX749" s="261"/>
      <c r="CY749" s="255"/>
    </row>
    <row r="750" spans="1:103" ht="10.25" customHeight="1">
      <c r="A750" s="216"/>
      <c r="B750" s="217"/>
      <c r="C750" s="218"/>
      <c r="D750" s="219"/>
      <c r="E750" s="217"/>
      <c r="F750" s="217"/>
      <c r="G750" s="217"/>
      <c r="H750" s="220"/>
      <c r="I750" s="217"/>
      <c r="J750" s="217"/>
      <c r="K750" s="217"/>
      <c r="L750" s="217"/>
      <c r="M750" s="217"/>
      <c r="N750" s="217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  <c r="AK750" s="44"/>
      <c r="AL750" s="44"/>
      <c r="AM750" s="44"/>
      <c r="AN750" s="44"/>
      <c r="AO750" s="44"/>
      <c r="AP750" s="44"/>
      <c r="AQ750" s="44"/>
      <c r="BA750" s="5"/>
      <c r="BB750" s="5"/>
      <c r="BC750" s="5"/>
      <c r="BD750" s="5"/>
      <c r="BE750" s="63"/>
      <c r="BF750" s="63"/>
      <c r="BG750" s="63"/>
      <c r="CA750" s="256"/>
      <c r="CB750" s="261"/>
      <c r="CC750" s="261"/>
      <c r="CD750" s="261"/>
      <c r="CE750" s="261"/>
      <c r="CF750" s="255"/>
      <c r="CG750" s="53"/>
      <c r="CH750" s="53"/>
      <c r="CI750" s="53"/>
      <c r="CJ750" s="53"/>
      <c r="CK750" s="53"/>
      <c r="CL750" s="53"/>
      <c r="CN750" s="53"/>
      <c r="CO750" s="53"/>
      <c r="CP750" s="53"/>
      <c r="CQ750" s="53"/>
      <c r="CR750" s="53"/>
      <c r="CS750" s="53"/>
      <c r="CT750" s="261"/>
      <c r="CU750" s="255"/>
      <c r="CV750" s="255"/>
      <c r="CW750" s="261"/>
      <c r="CX750" s="261"/>
      <c r="CY750" s="255"/>
    </row>
    <row r="751" spans="1:103" ht="10.25" customHeight="1">
      <c r="A751" s="216"/>
      <c r="B751" s="217"/>
      <c r="C751" s="218"/>
      <c r="D751" s="219"/>
      <c r="E751" s="217"/>
      <c r="F751" s="217"/>
      <c r="G751" s="217"/>
      <c r="H751" s="220"/>
      <c r="I751" s="217"/>
      <c r="J751" s="217"/>
      <c r="K751" s="217"/>
      <c r="L751" s="217"/>
      <c r="M751" s="217"/>
      <c r="N751" s="217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  <c r="AK751" s="44"/>
      <c r="AL751" s="44"/>
      <c r="AM751" s="44"/>
      <c r="AN751" s="44"/>
      <c r="AO751" s="44"/>
      <c r="AP751" s="44"/>
      <c r="AQ751" s="44"/>
      <c r="BA751" s="5"/>
      <c r="BB751" s="5"/>
      <c r="BC751" s="5"/>
      <c r="BD751" s="5"/>
      <c r="BE751" s="63"/>
      <c r="BF751" s="63"/>
      <c r="BG751" s="63"/>
      <c r="CA751" s="256"/>
      <c r="CB751" s="261"/>
      <c r="CC751" s="261"/>
      <c r="CD751" s="261"/>
      <c r="CE751" s="261"/>
      <c r="CF751" s="255"/>
      <c r="CG751" s="53"/>
      <c r="CH751" s="53"/>
      <c r="CI751" s="53"/>
      <c r="CJ751" s="53"/>
      <c r="CK751" s="53"/>
      <c r="CL751" s="53"/>
      <c r="CN751" s="53"/>
      <c r="CO751" s="53"/>
      <c r="CP751" s="53"/>
      <c r="CQ751" s="53"/>
      <c r="CR751" s="53"/>
      <c r="CS751" s="53"/>
      <c r="CT751" s="261"/>
      <c r="CU751" s="255"/>
      <c r="CV751" s="261"/>
      <c r="CW751" s="255"/>
      <c r="CX751" s="261"/>
      <c r="CY751" s="255"/>
    </row>
    <row r="752" spans="1:103" ht="10.25" customHeight="1">
      <c r="A752" s="216"/>
      <c r="B752" s="217"/>
      <c r="C752" s="218"/>
      <c r="D752" s="219"/>
      <c r="E752" s="217"/>
      <c r="F752" s="217"/>
      <c r="G752" s="217"/>
      <c r="H752" s="220"/>
      <c r="I752" s="217"/>
      <c r="J752" s="217"/>
      <c r="K752" s="217"/>
      <c r="L752" s="217"/>
      <c r="M752" s="217"/>
      <c r="N752" s="217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  <c r="AM752" s="44"/>
      <c r="AN752" s="44"/>
      <c r="AO752" s="44"/>
      <c r="AP752" s="44"/>
      <c r="AQ752" s="44"/>
      <c r="BA752" s="5"/>
      <c r="BB752" s="5"/>
      <c r="BC752" s="5"/>
      <c r="BD752" s="5"/>
      <c r="BE752" s="63"/>
      <c r="BF752" s="63"/>
      <c r="BG752" s="63"/>
      <c r="CA752" s="256"/>
      <c r="CB752" s="261"/>
      <c r="CC752" s="261"/>
      <c r="CD752" s="261"/>
      <c r="CE752" s="255"/>
      <c r="CF752" s="261"/>
      <c r="CG752" s="53"/>
      <c r="CH752" s="53"/>
      <c r="CI752" s="53"/>
      <c r="CJ752" s="53"/>
      <c r="CK752" s="53"/>
      <c r="CL752" s="53"/>
      <c r="CN752" s="53"/>
      <c r="CO752" s="53"/>
      <c r="CP752" s="53"/>
      <c r="CQ752" s="53"/>
      <c r="CR752" s="53"/>
      <c r="CS752" s="53"/>
      <c r="CT752" s="255"/>
      <c r="CU752" s="261"/>
      <c r="CV752" s="255"/>
      <c r="CW752" s="261"/>
      <c r="CX752" s="261"/>
      <c r="CY752" s="255"/>
    </row>
    <row r="753" spans="1:103" ht="10.25" customHeight="1">
      <c r="A753" s="216"/>
      <c r="B753" s="217"/>
      <c r="C753" s="218"/>
      <c r="D753" s="219"/>
      <c r="E753" s="217"/>
      <c r="F753" s="217"/>
      <c r="G753" s="217"/>
      <c r="H753" s="220"/>
      <c r="I753" s="217"/>
      <c r="J753" s="217"/>
      <c r="K753" s="217"/>
      <c r="L753" s="217"/>
      <c r="M753" s="217"/>
      <c r="N753" s="217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  <c r="AP753" s="44"/>
      <c r="AQ753" s="44"/>
      <c r="BA753" s="5"/>
      <c r="BB753" s="5"/>
      <c r="BC753" s="5"/>
      <c r="BD753" s="5"/>
      <c r="BE753" s="63"/>
      <c r="BF753" s="63"/>
      <c r="BG753" s="63"/>
      <c r="CA753" s="256"/>
      <c r="CB753" s="261"/>
      <c r="CC753" s="261"/>
      <c r="CD753" s="261"/>
      <c r="CE753" s="255"/>
      <c r="CF753" s="261"/>
      <c r="CG753" s="53"/>
      <c r="CH753" s="53"/>
      <c r="CI753" s="53"/>
      <c r="CJ753" s="53"/>
      <c r="CK753" s="53"/>
      <c r="CL753" s="53"/>
      <c r="CN753" s="53"/>
      <c r="CO753" s="53"/>
      <c r="CP753" s="53"/>
      <c r="CQ753" s="53"/>
      <c r="CR753" s="53"/>
      <c r="CS753" s="53"/>
      <c r="CT753" s="255"/>
      <c r="CU753" s="261"/>
      <c r="CV753" s="261"/>
      <c r="CW753" s="255"/>
      <c r="CX753" s="261"/>
      <c r="CY753" s="255"/>
    </row>
    <row r="754" spans="1:103" ht="10.25" customHeight="1">
      <c r="A754" s="216"/>
      <c r="B754" s="217"/>
      <c r="C754" s="218"/>
      <c r="D754" s="219"/>
      <c r="E754" s="217"/>
      <c r="F754" s="217"/>
      <c r="G754" s="217"/>
      <c r="H754" s="220"/>
      <c r="I754" s="217"/>
      <c r="J754" s="217"/>
      <c r="K754" s="217"/>
      <c r="L754" s="217"/>
      <c r="M754" s="217"/>
      <c r="N754" s="217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  <c r="AK754" s="44"/>
      <c r="AL754" s="44"/>
      <c r="AM754" s="44"/>
      <c r="AN754" s="44"/>
      <c r="AO754" s="44"/>
      <c r="AP754" s="44"/>
      <c r="AQ754" s="44"/>
      <c r="BA754" s="5"/>
      <c r="BB754" s="5"/>
      <c r="BC754" s="5"/>
      <c r="BD754" s="5"/>
      <c r="BE754" s="63"/>
      <c r="BF754" s="63"/>
      <c r="BG754" s="63"/>
      <c r="CA754" s="256"/>
      <c r="CB754" s="261"/>
      <c r="CC754" s="261"/>
      <c r="CD754" s="255"/>
      <c r="CE754" s="261"/>
      <c r="CF754" s="261"/>
      <c r="CG754" s="53"/>
      <c r="CH754" s="53"/>
      <c r="CI754" s="53"/>
      <c r="CJ754" s="53"/>
      <c r="CK754" s="53"/>
      <c r="CL754" s="53"/>
      <c r="CN754" s="53"/>
      <c r="CO754" s="53"/>
      <c r="CP754" s="53"/>
      <c r="CQ754" s="53"/>
      <c r="CR754" s="53"/>
      <c r="CS754" s="53"/>
      <c r="CT754" s="261"/>
      <c r="CU754" s="261"/>
      <c r="CV754" s="255"/>
      <c r="CW754" s="261"/>
      <c r="CX754" s="261"/>
      <c r="CY754" s="255"/>
    </row>
    <row r="755" spans="1:103" ht="10.25" customHeight="1">
      <c r="A755" s="216"/>
      <c r="B755" s="217"/>
      <c r="C755" s="218"/>
      <c r="D755" s="219"/>
      <c r="E755" s="217"/>
      <c r="F755" s="217"/>
      <c r="G755" s="217"/>
      <c r="H755" s="220"/>
      <c r="I755" s="217"/>
      <c r="J755" s="217"/>
      <c r="K755" s="217"/>
      <c r="L755" s="217"/>
      <c r="M755" s="217"/>
      <c r="N755" s="217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  <c r="AQ755" s="44"/>
      <c r="BA755" s="5"/>
      <c r="BB755" s="5"/>
      <c r="BC755" s="5"/>
      <c r="BD755" s="5"/>
      <c r="BE755" s="63"/>
      <c r="BF755" s="63"/>
      <c r="BG755" s="63"/>
      <c r="CA755" s="256"/>
      <c r="CB755" s="261"/>
      <c r="CC755" s="261"/>
      <c r="CD755" s="255"/>
      <c r="CE755" s="261"/>
      <c r="CF755" s="261"/>
      <c r="CG755" s="53"/>
      <c r="CH755" s="53"/>
      <c r="CI755" s="53"/>
      <c r="CJ755" s="53"/>
      <c r="CK755" s="53"/>
      <c r="CL755" s="53"/>
      <c r="CN755" s="53"/>
      <c r="CO755" s="53"/>
      <c r="CP755" s="53"/>
      <c r="CQ755" s="53"/>
      <c r="CR755" s="53"/>
      <c r="CS755" s="53"/>
      <c r="CT755" s="261"/>
      <c r="CU755" s="261"/>
      <c r="CV755" s="261"/>
      <c r="CW755" s="255"/>
      <c r="CX755" s="261"/>
      <c r="CY755" s="255"/>
    </row>
    <row r="756" spans="1:103" ht="10.25" customHeight="1">
      <c r="A756" s="216"/>
      <c r="B756" s="217"/>
      <c r="C756" s="218"/>
      <c r="D756" s="219"/>
      <c r="E756" s="217"/>
      <c r="F756" s="217"/>
      <c r="G756" s="217"/>
      <c r="H756" s="220"/>
      <c r="I756" s="217"/>
      <c r="J756" s="217"/>
      <c r="K756" s="217"/>
      <c r="L756" s="217"/>
      <c r="M756" s="217"/>
      <c r="N756" s="217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  <c r="AK756" s="44"/>
      <c r="AL756" s="44"/>
      <c r="AM756" s="44"/>
      <c r="AN756" s="44"/>
      <c r="AO756" s="44"/>
      <c r="AP756" s="44"/>
      <c r="AQ756" s="44"/>
      <c r="BA756" s="5"/>
      <c r="BB756" s="5"/>
      <c r="BC756" s="5"/>
      <c r="BD756" s="5"/>
      <c r="BE756" s="63"/>
      <c r="BF756" s="63"/>
      <c r="BG756" s="63"/>
      <c r="CA756" s="256"/>
      <c r="CB756" s="261"/>
      <c r="CC756" s="261"/>
      <c r="CD756" s="255"/>
      <c r="CE756" s="261"/>
      <c r="CF756" s="261"/>
      <c r="CG756" s="53"/>
      <c r="CH756" s="53"/>
      <c r="CI756" s="53"/>
      <c r="CJ756" s="53"/>
      <c r="CK756" s="53"/>
      <c r="CL756" s="53"/>
      <c r="CN756" s="53"/>
      <c r="CO756" s="53"/>
      <c r="CP756" s="53"/>
      <c r="CQ756" s="53"/>
      <c r="CR756" s="53"/>
      <c r="CS756" s="53"/>
      <c r="CT756" s="261"/>
      <c r="CU756" s="261"/>
      <c r="CV756" s="261"/>
      <c r="CW756" s="261"/>
      <c r="CX756" s="261"/>
      <c r="CY756" s="255"/>
    </row>
    <row r="757" spans="1:103" ht="10.25" customHeight="1">
      <c r="A757" s="216"/>
      <c r="B757" s="217"/>
      <c r="C757" s="218"/>
      <c r="D757" s="219"/>
      <c r="E757" s="217"/>
      <c r="F757" s="217"/>
      <c r="G757" s="217"/>
      <c r="H757" s="220"/>
      <c r="I757" s="217"/>
      <c r="J757" s="217"/>
      <c r="K757" s="217"/>
      <c r="L757" s="217"/>
      <c r="M757" s="217"/>
      <c r="N757" s="217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  <c r="AJ757" s="44"/>
      <c r="AK757" s="44"/>
      <c r="AL757" s="44"/>
      <c r="AM757" s="44"/>
      <c r="AN757" s="44"/>
      <c r="AO757" s="44"/>
      <c r="AP757" s="44"/>
      <c r="AQ757" s="44"/>
      <c r="BA757" s="5"/>
      <c r="BB757" s="5"/>
      <c r="BC757" s="5"/>
      <c r="BD757" s="5"/>
      <c r="BE757" s="63"/>
      <c r="BF757" s="63"/>
      <c r="BG757" s="63"/>
      <c r="CA757" s="256"/>
      <c r="CB757" s="261"/>
      <c r="CC757" s="261"/>
      <c r="CD757" s="261"/>
      <c r="CE757" s="261"/>
      <c r="CF757" s="261"/>
      <c r="CG757" s="53"/>
      <c r="CH757" s="53"/>
      <c r="CI757" s="53"/>
      <c r="CJ757" s="53"/>
      <c r="CK757" s="53"/>
      <c r="CL757" s="53"/>
      <c r="CN757" s="53"/>
      <c r="CO757" s="53"/>
      <c r="CP757" s="53"/>
      <c r="CQ757" s="53"/>
      <c r="CR757" s="53"/>
      <c r="CS757" s="53"/>
      <c r="CT757" s="261"/>
      <c r="CU757" s="261"/>
      <c r="CV757" s="255"/>
      <c r="CW757" s="255"/>
      <c r="CX757" s="261"/>
      <c r="CY757" s="255"/>
    </row>
    <row r="758" spans="1:103" ht="10.25" customHeight="1">
      <c r="A758" s="216"/>
      <c r="B758" s="217"/>
      <c r="C758" s="218"/>
      <c r="D758" s="219"/>
      <c r="E758" s="217"/>
      <c r="F758" s="217"/>
      <c r="G758" s="217"/>
      <c r="H758" s="220"/>
      <c r="I758" s="217"/>
      <c r="J758" s="217"/>
      <c r="K758" s="217"/>
      <c r="L758" s="217"/>
      <c r="M758" s="217"/>
      <c r="N758" s="217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  <c r="AJ758" s="44"/>
      <c r="AK758" s="44"/>
      <c r="AL758" s="44"/>
      <c r="AM758" s="44"/>
      <c r="AN758" s="44"/>
      <c r="AO758" s="44"/>
      <c r="AP758" s="44"/>
      <c r="AQ758" s="44"/>
      <c r="BA758" s="5"/>
      <c r="BB758" s="5"/>
      <c r="BC758" s="5"/>
      <c r="BD758" s="5"/>
      <c r="BE758" s="63"/>
      <c r="BF758" s="63"/>
      <c r="BG758" s="63"/>
      <c r="CA758" s="256"/>
      <c r="CB758" s="261"/>
      <c r="CC758" s="261"/>
      <c r="CD758" s="261"/>
      <c r="CE758" s="261"/>
      <c r="CF758" s="261"/>
      <c r="CG758" s="53"/>
      <c r="CH758" s="53"/>
      <c r="CI758" s="53"/>
      <c r="CJ758" s="53"/>
      <c r="CK758" s="53"/>
      <c r="CL758" s="53"/>
      <c r="CN758" s="53"/>
      <c r="CO758" s="53"/>
      <c r="CP758" s="53"/>
      <c r="CQ758" s="53"/>
      <c r="CR758" s="53"/>
      <c r="CS758" s="53"/>
      <c r="CT758" s="261"/>
      <c r="CU758" s="261"/>
      <c r="CV758" s="261"/>
      <c r="CW758" s="261"/>
      <c r="CX758" s="261"/>
      <c r="CY758" s="255"/>
    </row>
    <row r="759" spans="1:103" ht="10.25" customHeight="1">
      <c r="A759" s="216"/>
      <c r="B759" s="217"/>
      <c r="C759" s="218"/>
      <c r="D759" s="219"/>
      <c r="E759" s="217"/>
      <c r="F759" s="217"/>
      <c r="G759" s="217"/>
      <c r="H759" s="220"/>
      <c r="I759" s="217"/>
      <c r="J759" s="217"/>
      <c r="K759" s="217"/>
      <c r="L759" s="217"/>
      <c r="M759" s="217"/>
      <c r="N759" s="217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  <c r="AK759" s="44"/>
      <c r="AL759" s="44"/>
      <c r="AM759" s="44"/>
      <c r="AN759" s="44"/>
      <c r="AO759" s="44"/>
      <c r="AP759" s="44"/>
      <c r="AQ759" s="44"/>
      <c r="BA759" s="5"/>
      <c r="BB759" s="5"/>
      <c r="BC759" s="5"/>
      <c r="BD759" s="5"/>
      <c r="BE759" s="63"/>
      <c r="BF759" s="63"/>
      <c r="BG759" s="63"/>
      <c r="CA759" s="256"/>
      <c r="CB759" s="261"/>
      <c r="CC759" s="261"/>
      <c r="CD759" s="261"/>
      <c r="CE759" s="261"/>
      <c r="CF759" s="261"/>
      <c r="CG759" s="53"/>
      <c r="CH759" s="53"/>
      <c r="CI759" s="53"/>
      <c r="CJ759" s="53"/>
      <c r="CK759" s="53"/>
      <c r="CL759" s="53"/>
      <c r="CN759" s="53"/>
      <c r="CO759" s="53"/>
      <c r="CP759" s="53"/>
      <c r="CQ759" s="53"/>
      <c r="CR759" s="53"/>
      <c r="CS759" s="53"/>
      <c r="CT759" s="261"/>
      <c r="CU759" s="261"/>
      <c r="CV759" s="255"/>
      <c r="CW759" s="255"/>
      <c r="CX759" s="261"/>
      <c r="CY759" s="255"/>
    </row>
    <row r="760" spans="1:103" ht="10.25" customHeight="1">
      <c r="A760" s="216"/>
      <c r="B760" s="217"/>
      <c r="C760" s="218"/>
      <c r="D760" s="219"/>
      <c r="E760" s="217"/>
      <c r="F760" s="217"/>
      <c r="G760" s="217"/>
      <c r="H760" s="220"/>
      <c r="I760" s="217"/>
      <c r="J760" s="217"/>
      <c r="K760" s="217"/>
      <c r="L760" s="217"/>
      <c r="M760" s="217"/>
      <c r="N760" s="217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  <c r="AK760" s="44"/>
      <c r="AL760" s="44"/>
      <c r="AM760" s="44"/>
      <c r="AN760" s="44"/>
      <c r="AO760" s="44"/>
      <c r="AP760" s="44"/>
      <c r="AQ760" s="44"/>
      <c r="BA760" s="5"/>
      <c r="BB760" s="5"/>
      <c r="BC760" s="5"/>
      <c r="BD760" s="5"/>
      <c r="BE760" s="63"/>
      <c r="BF760" s="63"/>
      <c r="BG760" s="63"/>
      <c r="CA760" s="256"/>
      <c r="CB760" s="261"/>
      <c r="CC760" s="261"/>
      <c r="CD760" s="261"/>
      <c r="CE760" s="261"/>
      <c r="CF760" s="261"/>
      <c r="CG760" s="53"/>
      <c r="CH760" s="53"/>
      <c r="CI760" s="53"/>
      <c r="CJ760" s="53"/>
      <c r="CK760" s="53"/>
      <c r="CL760" s="53"/>
      <c r="CN760" s="53"/>
      <c r="CO760" s="53"/>
      <c r="CP760" s="53"/>
      <c r="CQ760" s="53"/>
      <c r="CR760" s="53"/>
      <c r="CS760" s="53"/>
      <c r="CT760" s="261"/>
      <c r="CU760" s="261"/>
      <c r="CV760" s="261"/>
      <c r="CW760" s="261"/>
      <c r="CX760" s="255"/>
      <c r="CY760" s="255"/>
    </row>
    <row r="761" spans="1:103" ht="10.25" customHeight="1">
      <c r="A761" s="216"/>
      <c r="B761" s="217"/>
      <c r="C761" s="218"/>
      <c r="D761" s="219"/>
      <c r="E761" s="217"/>
      <c r="F761" s="217"/>
      <c r="G761" s="217"/>
      <c r="H761" s="220"/>
      <c r="I761" s="217"/>
      <c r="J761" s="217"/>
      <c r="K761" s="217"/>
      <c r="L761" s="217"/>
      <c r="M761" s="217"/>
      <c r="N761" s="217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4"/>
      <c r="AK761" s="44"/>
      <c r="AL761" s="44"/>
      <c r="AM761" s="44"/>
      <c r="AN761" s="44"/>
      <c r="AO761" s="44"/>
      <c r="AP761" s="44"/>
      <c r="AQ761" s="44"/>
      <c r="BA761" s="5"/>
      <c r="BB761" s="5"/>
      <c r="BC761" s="5"/>
      <c r="BD761" s="5"/>
      <c r="BE761" s="63"/>
      <c r="BF761" s="63"/>
      <c r="BG761" s="63"/>
      <c r="CA761" s="256"/>
      <c r="CB761" s="261"/>
      <c r="CC761" s="261"/>
      <c r="CD761" s="261"/>
      <c r="CE761" s="261"/>
      <c r="CF761" s="261"/>
      <c r="CG761" s="53"/>
      <c r="CH761" s="53"/>
      <c r="CI761" s="53"/>
      <c r="CJ761" s="53"/>
      <c r="CK761" s="53"/>
      <c r="CL761" s="53"/>
      <c r="CN761" s="53"/>
      <c r="CO761" s="53"/>
      <c r="CP761" s="53"/>
      <c r="CQ761" s="53"/>
      <c r="CR761" s="53"/>
      <c r="CS761" s="53"/>
      <c r="CT761" s="261"/>
      <c r="CU761" s="261"/>
      <c r="CV761" s="255"/>
      <c r="CW761" s="255"/>
      <c r="CX761" s="261"/>
      <c r="CY761" s="255"/>
    </row>
    <row r="762" spans="1:103" ht="10.25" customHeight="1">
      <c r="A762" s="216"/>
      <c r="B762" s="217"/>
      <c r="C762" s="218"/>
      <c r="D762" s="219"/>
      <c r="E762" s="217"/>
      <c r="F762" s="217"/>
      <c r="G762" s="217"/>
      <c r="H762" s="220"/>
      <c r="I762" s="217"/>
      <c r="J762" s="217"/>
      <c r="K762" s="217"/>
      <c r="L762" s="217"/>
      <c r="M762" s="217"/>
      <c r="N762" s="217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  <c r="AK762" s="44"/>
      <c r="AL762" s="44"/>
      <c r="AM762" s="44"/>
      <c r="AN762" s="44"/>
      <c r="AO762" s="44"/>
      <c r="AP762" s="44"/>
      <c r="AQ762" s="44"/>
      <c r="BA762" s="5"/>
      <c r="BB762" s="5"/>
      <c r="BC762" s="5"/>
      <c r="BD762" s="5"/>
      <c r="BE762" s="63"/>
      <c r="BF762" s="63"/>
      <c r="BG762" s="63"/>
      <c r="CA762" s="256"/>
      <c r="CB762" s="261"/>
      <c r="CC762" s="261"/>
      <c r="CD762" s="261"/>
      <c r="CE762" s="261"/>
      <c r="CF762" s="261"/>
      <c r="CG762" s="53"/>
      <c r="CH762" s="53"/>
      <c r="CI762" s="53"/>
      <c r="CJ762" s="53"/>
      <c r="CK762" s="53"/>
      <c r="CL762" s="53"/>
      <c r="CN762" s="53"/>
      <c r="CO762" s="53"/>
      <c r="CP762" s="53"/>
      <c r="CQ762" s="53"/>
      <c r="CR762" s="53"/>
      <c r="CS762" s="53"/>
      <c r="CT762" s="261"/>
      <c r="CU762" s="261"/>
      <c r="CV762" s="261"/>
      <c r="CW762" s="261"/>
      <c r="CX762" s="261"/>
      <c r="CY762" s="255"/>
    </row>
    <row r="763" spans="1:103" ht="10.25" customHeight="1">
      <c r="A763" s="216"/>
      <c r="B763" s="217"/>
      <c r="C763" s="218"/>
      <c r="D763" s="219"/>
      <c r="E763" s="217"/>
      <c r="F763" s="217"/>
      <c r="G763" s="217"/>
      <c r="H763" s="220"/>
      <c r="I763" s="217"/>
      <c r="J763" s="217"/>
      <c r="K763" s="217"/>
      <c r="L763" s="217"/>
      <c r="M763" s="217"/>
      <c r="N763" s="217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  <c r="AK763" s="44"/>
      <c r="AL763" s="44"/>
      <c r="AM763" s="44"/>
      <c r="AN763" s="44"/>
      <c r="AO763" s="44"/>
      <c r="AP763" s="44"/>
      <c r="AQ763" s="44"/>
      <c r="BA763" s="5"/>
      <c r="BB763" s="5"/>
      <c r="BC763" s="5"/>
      <c r="BD763" s="5"/>
      <c r="BE763" s="63"/>
      <c r="BF763" s="63"/>
      <c r="BG763" s="63"/>
      <c r="CA763" s="256"/>
      <c r="CB763" s="261"/>
      <c r="CC763" s="261"/>
      <c r="CD763" s="261"/>
      <c r="CE763" s="261"/>
      <c r="CF763" s="261"/>
      <c r="CG763" s="53"/>
      <c r="CH763" s="53"/>
      <c r="CI763" s="53"/>
      <c r="CJ763" s="53"/>
      <c r="CK763" s="53"/>
      <c r="CL763" s="53"/>
      <c r="CN763" s="53"/>
      <c r="CO763" s="53"/>
      <c r="CP763" s="53"/>
      <c r="CQ763" s="53"/>
      <c r="CR763" s="53"/>
      <c r="CS763" s="53"/>
      <c r="CT763" s="261"/>
      <c r="CU763" s="261"/>
      <c r="CV763" s="261"/>
      <c r="CW763" s="255"/>
      <c r="CX763" s="261"/>
      <c r="CY763" s="255"/>
    </row>
    <row r="764" spans="1:103" ht="10.25" customHeight="1">
      <c r="A764" s="216"/>
      <c r="B764" s="217"/>
      <c r="C764" s="218"/>
      <c r="D764" s="219"/>
      <c r="E764" s="217"/>
      <c r="F764" s="217"/>
      <c r="G764" s="217"/>
      <c r="H764" s="220"/>
      <c r="I764" s="217"/>
      <c r="J764" s="217"/>
      <c r="K764" s="217"/>
      <c r="L764" s="217"/>
      <c r="M764" s="217"/>
      <c r="N764" s="217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  <c r="AJ764" s="44"/>
      <c r="AK764" s="44"/>
      <c r="AL764" s="44"/>
      <c r="AM764" s="44"/>
      <c r="AN764" s="44"/>
      <c r="AO764" s="44"/>
      <c r="AP764" s="44"/>
      <c r="AQ764" s="44"/>
      <c r="BA764" s="5"/>
      <c r="BB764" s="5"/>
      <c r="BC764" s="5"/>
      <c r="BD764" s="5"/>
      <c r="BE764" s="63"/>
      <c r="BF764" s="63"/>
      <c r="BG764" s="63"/>
      <c r="CA764" s="256"/>
      <c r="CB764" s="261"/>
      <c r="CC764" s="261"/>
      <c r="CD764" s="261"/>
      <c r="CE764" s="261"/>
      <c r="CF764" s="261"/>
      <c r="CG764" s="53"/>
      <c r="CH764" s="53"/>
      <c r="CI764" s="53"/>
      <c r="CJ764" s="53"/>
      <c r="CK764" s="53"/>
      <c r="CL764" s="53"/>
      <c r="CN764" s="53"/>
      <c r="CO764" s="53"/>
      <c r="CP764" s="53"/>
      <c r="CQ764" s="53"/>
      <c r="CR764" s="53"/>
      <c r="CS764" s="53"/>
      <c r="CT764" s="261"/>
      <c r="CU764" s="261"/>
      <c r="CV764" s="261"/>
      <c r="CW764" s="261"/>
      <c r="CX764" s="261"/>
      <c r="CY764" s="255"/>
    </row>
    <row r="765" spans="1:103" ht="10.25" customHeight="1">
      <c r="A765" s="216"/>
      <c r="B765" s="217"/>
      <c r="C765" s="218"/>
      <c r="D765" s="219"/>
      <c r="E765" s="217"/>
      <c r="F765" s="217"/>
      <c r="G765" s="217"/>
      <c r="H765" s="220"/>
      <c r="I765" s="217"/>
      <c r="J765" s="217"/>
      <c r="K765" s="217"/>
      <c r="L765" s="217"/>
      <c r="M765" s="217"/>
      <c r="N765" s="217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  <c r="AK765" s="44"/>
      <c r="AL765" s="44"/>
      <c r="AM765" s="44"/>
      <c r="AN765" s="44"/>
      <c r="AO765" s="44"/>
      <c r="AP765" s="44"/>
      <c r="AQ765" s="44"/>
      <c r="BA765" s="5"/>
      <c r="BB765" s="5"/>
      <c r="BC765" s="5"/>
      <c r="BD765" s="5"/>
      <c r="BE765" s="63"/>
      <c r="BF765" s="63"/>
      <c r="BG765" s="63"/>
      <c r="CA765" s="256"/>
      <c r="CB765" s="261"/>
      <c r="CC765" s="261"/>
      <c r="CD765" s="261"/>
      <c r="CE765" s="261"/>
      <c r="CF765" s="261"/>
      <c r="CG765" s="53"/>
      <c r="CH765" s="53"/>
      <c r="CI765" s="53"/>
      <c r="CJ765" s="53"/>
      <c r="CK765" s="53"/>
      <c r="CL765" s="53"/>
      <c r="CN765" s="53"/>
      <c r="CO765" s="53"/>
      <c r="CP765" s="53"/>
      <c r="CQ765" s="53"/>
      <c r="CR765" s="53"/>
      <c r="CS765" s="53"/>
      <c r="CT765" s="261"/>
      <c r="CU765" s="261"/>
      <c r="CV765" s="255"/>
      <c r="CW765" s="255"/>
      <c r="CX765" s="261"/>
      <c r="CY765" s="255"/>
    </row>
    <row r="766" spans="1:103" ht="10.25" customHeight="1">
      <c r="A766" s="216"/>
      <c r="B766" s="217"/>
      <c r="C766" s="218"/>
      <c r="D766" s="219"/>
      <c r="E766" s="217"/>
      <c r="F766" s="217"/>
      <c r="G766" s="217"/>
      <c r="H766" s="220"/>
      <c r="I766" s="217"/>
      <c r="J766" s="217"/>
      <c r="K766" s="217"/>
      <c r="L766" s="217"/>
      <c r="M766" s="217"/>
      <c r="N766" s="217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BA766" s="5"/>
      <c r="BB766" s="5"/>
      <c r="BC766" s="5"/>
      <c r="BD766" s="5"/>
      <c r="BE766" s="63"/>
      <c r="BF766" s="63"/>
      <c r="BG766" s="63"/>
      <c r="CA766" s="256"/>
      <c r="CB766" s="261"/>
      <c r="CC766" s="261"/>
      <c r="CD766" s="261"/>
      <c r="CE766" s="261"/>
      <c r="CF766" s="261"/>
      <c r="CG766" s="53"/>
      <c r="CH766" s="53"/>
      <c r="CI766" s="53"/>
      <c r="CJ766" s="53"/>
      <c r="CK766" s="53"/>
      <c r="CL766" s="53"/>
      <c r="CN766" s="53"/>
      <c r="CO766" s="53"/>
      <c r="CP766" s="53"/>
      <c r="CQ766" s="53"/>
      <c r="CR766" s="53"/>
      <c r="CS766" s="53"/>
      <c r="CT766" s="261"/>
      <c r="CU766" s="261"/>
      <c r="CV766" s="261"/>
      <c r="CW766" s="261"/>
      <c r="CX766" s="261"/>
      <c r="CY766" s="255"/>
    </row>
    <row r="767" spans="1:103" ht="10.25" customHeight="1">
      <c r="A767" s="216"/>
      <c r="B767" s="217"/>
      <c r="C767" s="218"/>
      <c r="D767" s="219"/>
      <c r="E767" s="217"/>
      <c r="F767" s="217"/>
      <c r="G767" s="217"/>
      <c r="H767" s="220"/>
      <c r="I767" s="217"/>
      <c r="J767" s="217"/>
      <c r="K767" s="217"/>
      <c r="L767" s="217"/>
      <c r="M767" s="217"/>
      <c r="N767" s="217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BA767" s="5"/>
      <c r="BB767" s="5"/>
      <c r="BC767" s="5"/>
      <c r="BD767" s="5"/>
      <c r="BE767" s="63"/>
      <c r="BF767" s="63"/>
      <c r="BG767" s="63"/>
      <c r="CA767" s="256"/>
      <c r="CB767" s="261"/>
      <c r="CC767" s="261"/>
      <c r="CD767" s="261"/>
      <c r="CE767" s="261"/>
      <c r="CF767" s="261"/>
      <c r="CG767" s="53"/>
      <c r="CH767" s="53"/>
      <c r="CI767" s="53"/>
      <c r="CJ767" s="53"/>
      <c r="CK767" s="53"/>
      <c r="CL767" s="53"/>
      <c r="CN767" s="53"/>
      <c r="CO767" s="53"/>
      <c r="CP767" s="53"/>
      <c r="CQ767" s="53"/>
      <c r="CR767" s="53"/>
      <c r="CS767" s="53"/>
      <c r="CT767" s="261"/>
      <c r="CU767" s="261"/>
      <c r="CV767" s="255"/>
      <c r="CW767" s="255"/>
      <c r="CX767" s="255"/>
      <c r="CY767" s="255"/>
    </row>
    <row r="768" spans="1:103" ht="10.25" customHeight="1">
      <c r="A768" s="216"/>
      <c r="B768" s="217"/>
      <c r="C768" s="218"/>
      <c r="D768" s="219"/>
      <c r="E768" s="217"/>
      <c r="F768" s="217"/>
      <c r="G768" s="217"/>
      <c r="H768" s="220"/>
      <c r="I768" s="217"/>
      <c r="J768" s="217"/>
      <c r="K768" s="217"/>
      <c r="L768" s="217"/>
      <c r="M768" s="217"/>
      <c r="N768" s="217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  <c r="AK768" s="44"/>
      <c r="AL768" s="44"/>
      <c r="AM768" s="44"/>
      <c r="AN768" s="44"/>
      <c r="AO768" s="44"/>
      <c r="AP768" s="44"/>
      <c r="AQ768" s="44"/>
      <c r="BA768" s="5"/>
      <c r="BB768" s="5"/>
      <c r="BC768" s="5"/>
      <c r="BD768" s="5"/>
      <c r="BE768" s="63"/>
      <c r="BF768" s="63"/>
      <c r="BG768" s="63"/>
      <c r="CA768" s="256"/>
      <c r="CB768" s="261"/>
      <c r="CC768" s="261"/>
      <c r="CD768" s="261"/>
      <c r="CE768" s="261"/>
      <c r="CF768" s="261"/>
      <c r="CG768" s="53"/>
      <c r="CH768" s="53"/>
      <c r="CI768" s="53"/>
      <c r="CJ768" s="53"/>
      <c r="CK768" s="53"/>
      <c r="CL768" s="53"/>
      <c r="CN768" s="53"/>
      <c r="CO768" s="53"/>
      <c r="CP768" s="53"/>
      <c r="CQ768" s="53"/>
      <c r="CR768" s="53"/>
      <c r="CS768" s="53"/>
      <c r="CT768" s="261"/>
      <c r="CU768" s="261"/>
      <c r="CV768" s="261"/>
      <c r="CW768" s="255"/>
      <c r="CX768" s="261"/>
      <c r="CY768" s="255"/>
    </row>
    <row r="769" spans="1:103" ht="10.25" customHeight="1">
      <c r="A769" s="216"/>
      <c r="B769" s="217"/>
      <c r="C769" s="218"/>
      <c r="D769" s="219"/>
      <c r="E769" s="217"/>
      <c r="F769" s="217"/>
      <c r="G769" s="217"/>
      <c r="H769" s="220"/>
      <c r="I769" s="217"/>
      <c r="J769" s="217"/>
      <c r="K769" s="217"/>
      <c r="L769" s="217"/>
      <c r="M769" s="217"/>
      <c r="N769" s="217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44"/>
      <c r="AL769" s="44"/>
      <c r="AM769" s="44"/>
      <c r="AN769" s="44"/>
      <c r="AO769" s="44"/>
      <c r="AP769" s="44"/>
      <c r="AQ769" s="44"/>
      <c r="BA769" s="5"/>
      <c r="BB769" s="5"/>
      <c r="BC769" s="5"/>
      <c r="BD769" s="5"/>
      <c r="BE769" s="63"/>
      <c r="BF769" s="63"/>
      <c r="BG769" s="63"/>
      <c r="CA769" s="256"/>
      <c r="CB769" s="261"/>
      <c r="CC769" s="261"/>
      <c r="CD769" s="261"/>
      <c r="CE769" s="261"/>
      <c r="CF769" s="261"/>
      <c r="CG769" s="53"/>
      <c r="CH769" s="53"/>
      <c r="CI769" s="53"/>
      <c r="CJ769" s="53"/>
      <c r="CK769" s="53"/>
      <c r="CL769" s="53"/>
      <c r="CN769" s="53"/>
      <c r="CO769" s="53"/>
      <c r="CP769" s="53"/>
      <c r="CQ769" s="53"/>
      <c r="CR769" s="53"/>
      <c r="CS769" s="53"/>
      <c r="CT769" s="261"/>
      <c r="CU769" s="261"/>
      <c r="CV769" s="255"/>
      <c r="CW769" s="255"/>
      <c r="CX769" s="261"/>
      <c r="CY769" s="255"/>
    </row>
    <row r="770" spans="1:103" ht="10.25" customHeight="1">
      <c r="A770" s="216"/>
      <c r="B770" s="217"/>
      <c r="C770" s="218"/>
      <c r="D770" s="219"/>
      <c r="E770" s="217"/>
      <c r="F770" s="217"/>
      <c r="G770" s="217"/>
      <c r="H770" s="220"/>
      <c r="I770" s="217"/>
      <c r="J770" s="217"/>
      <c r="K770" s="217"/>
      <c r="L770" s="217"/>
      <c r="M770" s="217"/>
      <c r="N770" s="217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BA770" s="5"/>
      <c r="BB770" s="5"/>
      <c r="BC770" s="5"/>
      <c r="BD770" s="5"/>
      <c r="BE770" s="63"/>
      <c r="BF770" s="63"/>
      <c r="BG770" s="63"/>
      <c r="CA770" s="256"/>
      <c r="CB770" s="261"/>
      <c r="CC770" s="261"/>
      <c r="CD770" s="261"/>
      <c r="CE770" s="261"/>
      <c r="CF770" s="261"/>
      <c r="CG770" s="53"/>
      <c r="CH770" s="53"/>
      <c r="CI770" s="53"/>
      <c r="CJ770" s="53"/>
      <c r="CK770" s="53"/>
      <c r="CL770" s="53"/>
      <c r="CN770" s="53"/>
      <c r="CO770" s="53"/>
      <c r="CP770" s="53"/>
      <c r="CQ770" s="53"/>
      <c r="CR770" s="53"/>
      <c r="CS770" s="53"/>
      <c r="CT770" s="261"/>
      <c r="CU770" s="261"/>
      <c r="CV770" s="261"/>
      <c r="CW770" s="261"/>
      <c r="CX770" s="261"/>
      <c r="CY770" s="255"/>
    </row>
    <row r="771" spans="1:103" ht="10.25" customHeight="1">
      <c r="A771" s="216"/>
      <c r="B771" s="217"/>
      <c r="C771" s="218"/>
      <c r="D771" s="219"/>
      <c r="E771" s="217"/>
      <c r="F771" s="217"/>
      <c r="G771" s="217"/>
      <c r="H771" s="220"/>
      <c r="I771" s="217"/>
      <c r="J771" s="217"/>
      <c r="K771" s="217"/>
      <c r="L771" s="217"/>
      <c r="M771" s="217"/>
      <c r="N771" s="217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BA771" s="5"/>
      <c r="BB771" s="5"/>
      <c r="BC771" s="5"/>
      <c r="BD771" s="5"/>
      <c r="BE771" s="63"/>
      <c r="BF771" s="63"/>
      <c r="BG771" s="63"/>
      <c r="CA771" s="256"/>
      <c r="CB771" s="261"/>
      <c r="CC771" s="261"/>
      <c r="CD771" s="261"/>
      <c r="CE771" s="261"/>
      <c r="CF771" s="261"/>
      <c r="CG771" s="53"/>
      <c r="CH771" s="53"/>
      <c r="CI771" s="53"/>
      <c r="CJ771" s="53"/>
      <c r="CK771" s="53"/>
      <c r="CL771" s="53"/>
      <c r="CN771" s="53"/>
      <c r="CO771" s="53"/>
      <c r="CP771" s="53"/>
      <c r="CQ771" s="53"/>
      <c r="CR771" s="53"/>
      <c r="CS771" s="53"/>
      <c r="CT771" s="261"/>
      <c r="CU771" s="261"/>
      <c r="CV771" s="255"/>
      <c r="CW771" s="255"/>
      <c r="CX771" s="261"/>
      <c r="CY771" s="255"/>
    </row>
    <row r="772" spans="1:103" ht="10.25" customHeight="1">
      <c r="A772" s="216"/>
      <c r="B772" s="217"/>
      <c r="C772" s="218"/>
      <c r="D772" s="219"/>
      <c r="E772" s="217"/>
      <c r="F772" s="217"/>
      <c r="G772" s="217"/>
      <c r="H772" s="220"/>
      <c r="I772" s="217"/>
      <c r="J772" s="217"/>
      <c r="K772" s="217"/>
      <c r="L772" s="217"/>
      <c r="M772" s="217"/>
      <c r="N772" s="217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BA772" s="5"/>
      <c r="BB772" s="5"/>
      <c r="BC772" s="5"/>
      <c r="BD772" s="5"/>
      <c r="BE772" s="63"/>
      <c r="BF772" s="63"/>
      <c r="BG772" s="63"/>
      <c r="CA772" s="256"/>
      <c r="CB772" s="261"/>
      <c r="CC772" s="261"/>
      <c r="CD772" s="261"/>
      <c r="CE772" s="261"/>
      <c r="CF772" s="255"/>
      <c r="CG772" s="53"/>
      <c r="CH772" s="53"/>
      <c r="CI772" s="53"/>
      <c r="CJ772" s="53"/>
      <c r="CK772" s="53"/>
      <c r="CL772" s="53"/>
      <c r="CN772" s="53"/>
      <c r="CO772" s="53"/>
      <c r="CP772" s="53"/>
      <c r="CQ772" s="53"/>
      <c r="CR772" s="53"/>
      <c r="CS772" s="53"/>
      <c r="CT772" s="261"/>
      <c r="CU772" s="255"/>
      <c r="CV772" s="261"/>
      <c r="CW772" s="261"/>
      <c r="CX772" s="261"/>
      <c r="CY772" s="255"/>
    </row>
    <row r="773" spans="1:103" ht="10.25" customHeight="1">
      <c r="A773" s="216"/>
      <c r="B773" s="217"/>
      <c r="C773" s="218"/>
      <c r="D773" s="219"/>
      <c r="E773" s="217"/>
      <c r="F773" s="217"/>
      <c r="G773" s="217"/>
      <c r="H773" s="220"/>
      <c r="I773" s="217"/>
      <c r="J773" s="217"/>
      <c r="K773" s="217"/>
      <c r="L773" s="217"/>
      <c r="M773" s="217"/>
      <c r="N773" s="217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BA773" s="5"/>
      <c r="BB773" s="5"/>
      <c r="BC773" s="5"/>
      <c r="BD773" s="5"/>
      <c r="BE773" s="63"/>
      <c r="BF773" s="63"/>
      <c r="BG773" s="63"/>
      <c r="CA773" s="256"/>
      <c r="CB773" s="261"/>
      <c r="CC773" s="261"/>
      <c r="CD773" s="261"/>
      <c r="CE773" s="261"/>
      <c r="CF773" s="255"/>
      <c r="CG773" s="53"/>
      <c r="CH773" s="53"/>
      <c r="CI773" s="53"/>
      <c r="CJ773" s="53"/>
      <c r="CK773" s="53"/>
      <c r="CL773" s="53"/>
      <c r="CN773" s="53"/>
      <c r="CO773" s="53"/>
      <c r="CP773" s="53"/>
      <c r="CQ773" s="53"/>
      <c r="CR773" s="53"/>
      <c r="CS773" s="53"/>
      <c r="CT773" s="261"/>
      <c r="CU773" s="255"/>
      <c r="CV773" s="255"/>
      <c r="CW773" s="255"/>
      <c r="CX773" s="261"/>
      <c r="CY773" s="255"/>
    </row>
    <row r="774" spans="1:103" ht="10.25" customHeight="1">
      <c r="A774" s="216"/>
      <c r="B774" s="217"/>
      <c r="C774" s="218"/>
      <c r="D774" s="219"/>
      <c r="E774" s="217"/>
      <c r="F774" s="217"/>
      <c r="G774" s="217"/>
      <c r="H774" s="220"/>
      <c r="I774" s="217"/>
      <c r="J774" s="217"/>
      <c r="K774" s="217"/>
      <c r="L774" s="217"/>
      <c r="M774" s="217"/>
      <c r="N774" s="217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BA774" s="5"/>
      <c r="BB774" s="5"/>
      <c r="BC774" s="5"/>
      <c r="BD774" s="5"/>
      <c r="BE774" s="63"/>
      <c r="BF774" s="63"/>
      <c r="BG774" s="63"/>
      <c r="CA774" s="256"/>
      <c r="CB774" s="261"/>
      <c r="CC774" s="261"/>
      <c r="CD774" s="261"/>
      <c r="CE774" s="255"/>
      <c r="CF774" s="261"/>
      <c r="CG774" s="53"/>
      <c r="CH774" s="53"/>
      <c r="CI774" s="53"/>
      <c r="CJ774" s="53"/>
      <c r="CK774" s="53"/>
      <c r="CL774" s="53"/>
      <c r="CN774" s="53"/>
      <c r="CO774" s="53"/>
      <c r="CP774" s="53"/>
      <c r="CQ774" s="53"/>
      <c r="CR774" s="53"/>
      <c r="CS774" s="53"/>
      <c r="CT774" s="255"/>
      <c r="CU774" s="261"/>
      <c r="CV774" s="261"/>
      <c r="CW774" s="261"/>
      <c r="CX774" s="261"/>
      <c r="CY774" s="255"/>
    </row>
    <row r="775" spans="1:103" ht="10.25" customHeight="1">
      <c r="A775" s="216"/>
      <c r="B775" s="217"/>
      <c r="C775" s="218"/>
      <c r="D775" s="219"/>
      <c r="E775" s="217"/>
      <c r="F775" s="217"/>
      <c r="G775" s="217"/>
      <c r="H775" s="220"/>
      <c r="I775" s="217"/>
      <c r="J775" s="217"/>
      <c r="K775" s="217"/>
      <c r="L775" s="217"/>
      <c r="M775" s="217"/>
      <c r="N775" s="217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BA775" s="5"/>
      <c r="BB775" s="5"/>
      <c r="BC775" s="5"/>
      <c r="BD775" s="5"/>
      <c r="BE775" s="63"/>
      <c r="BF775" s="63"/>
      <c r="BG775" s="63"/>
      <c r="CA775" s="256"/>
      <c r="CB775" s="261"/>
      <c r="CC775" s="261"/>
      <c r="CD775" s="261"/>
      <c r="CE775" s="255"/>
      <c r="CF775" s="261"/>
      <c r="CG775" s="53"/>
      <c r="CH775" s="53"/>
      <c r="CI775" s="53"/>
      <c r="CJ775" s="53"/>
      <c r="CK775" s="53"/>
      <c r="CL775" s="53"/>
      <c r="CN775" s="53"/>
      <c r="CO775" s="53"/>
      <c r="CP775" s="53"/>
      <c r="CQ775" s="53"/>
      <c r="CR775" s="53"/>
      <c r="CS775" s="53"/>
      <c r="CT775" s="255"/>
      <c r="CU775" s="261"/>
      <c r="CV775" s="255"/>
      <c r="CW775" s="255"/>
      <c r="CX775" s="261"/>
      <c r="CY775" s="255"/>
    </row>
    <row r="776" spans="1:103" ht="10.25" customHeight="1">
      <c r="A776" s="216"/>
      <c r="B776" s="217"/>
      <c r="C776" s="218"/>
      <c r="D776" s="219"/>
      <c r="E776" s="217"/>
      <c r="F776" s="217"/>
      <c r="G776" s="217"/>
      <c r="H776" s="220"/>
      <c r="I776" s="217"/>
      <c r="J776" s="217"/>
      <c r="K776" s="217"/>
      <c r="L776" s="217"/>
      <c r="M776" s="217"/>
      <c r="N776" s="217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BA776" s="5"/>
      <c r="BB776" s="5"/>
      <c r="BC776" s="5"/>
      <c r="BD776" s="5"/>
      <c r="BE776" s="63"/>
      <c r="BF776" s="63"/>
      <c r="BG776" s="63"/>
      <c r="CA776" s="256"/>
      <c r="CB776" s="261"/>
      <c r="CC776" s="261"/>
      <c r="CD776" s="261"/>
      <c r="CE776" s="261"/>
      <c r="CF776" s="261"/>
      <c r="CG776" s="53"/>
      <c r="CH776" s="53"/>
      <c r="CI776" s="53"/>
      <c r="CJ776" s="53"/>
      <c r="CK776" s="53"/>
      <c r="CL776" s="53"/>
      <c r="CN776" s="53"/>
      <c r="CO776" s="53"/>
      <c r="CP776" s="53"/>
      <c r="CQ776" s="53"/>
      <c r="CR776" s="53"/>
      <c r="CS776" s="53"/>
      <c r="CT776" s="261"/>
      <c r="CU776" s="261"/>
      <c r="CV776" s="261"/>
      <c r="CW776" s="261"/>
      <c r="CX776" s="255"/>
      <c r="CY776" s="255"/>
    </row>
    <row r="777" spans="1:103" ht="10.25" customHeight="1">
      <c r="A777" s="216"/>
      <c r="B777" s="217"/>
      <c r="C777" s="218"/>
      <c r="D777" s="219"/>
      <c r="E777" s="217"/>
      <c r="F777" s="217"/>
      <c r="G777" s="217"/>
      <c r="H777" s="220"/>
      <c r="I777" s="217"/>
      <c r="J777" s="217"/>
      <c r="K777" s="217"/>
      <c r="L777" s="217"/>
      <c r="M777" s="217"/>
      <c r="N777" s="217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BA777" s="5"/>
      <c r="BB777" s="5"/>
      <c r="BC777" s="5"/>
      <c r="BD777" s="5"/>
      <c r="BE777" s="63"/>
      <c r="BF777" s="63"/>
      <c r="BG777" s="63"/>
      <c r="CA777" s="256"/>
      <c r="CB777" s="261"/>
      <c r="CC777" s="261"/>
      <c r="CD777" s="261"/>
      <c r="CE777" s="261"/>
      <c r="CF777" s="261"/>
      <c r="CG777" s="53"/>
      <c r="CH777" s="53"/>
      <c r="CI777" s="53"/>
      <c r="CJ777" s="53"/>
      <c r="CK777" s="53"/>
      <c r="CL777" s="53"/>
      <c r="CN777" s="53"/>
      <c r="CO777" s="53"/>
      <c r="CP777" s="53"/>
      <c r="CQ777" s="53"/>
      <c r="CR777" s="53"/>
      <c r="CS777" s="53"/>
      <c r="CT777" s="261"/>
      <c r="CU777" s="261"/>
      <c r="CV777" s="255"/>
      <c r="CW777" s="255"/>
      <c r="CX777" s="261"/>
      <c r="CY777" s="255"/>
    </row>
    <row r="778" spans="1:103" ht="10.25" customHeight="1">
      <c r="A778" s="216"/>
      <c r="B778" s="217"/>
      <c r="C778" s="218"/>
      <c r="D778" s="219"/>
      <c r="E778" s="217"/>
      <c r="F778" s="217"/>
      <c r="G778" s="217"/>
      <c r="H778" s="220"/>
      <c r="I778" s="217"/>
      <c r="J778" s="217"/>
      <c r="K778" s="217"/>
      <c r="L778" s="217"/>
      <c r="M778" s="217"/>
      <c r="N778" s="217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BA778" s="5"/>
      <c r="BB778" s="5"/>
      <c r="BC778" s="5"/>
      <c r="BD778" s="5"/>
      <c r="BE778" s="63"/>
      <c r="BF778" s="63"/>
      <c r="BG778" s="63"/>
      <c r="CA778" s="256"/>
      <c r="CB778" s="261"/>
      <c r="CC778" s="261"/>
      <c r="CD778" s="261"/>
      <c r="CE778" s="261"/>
      <c r="CF778" s="261"/>
      <c r="CG778" s="53"/>
      <c r="CH778" s="53"/>
      <c r="CI778" s="53"/>
      <c r="CJ778" s="53"/>
      <c r="CK778" s="53"/>
      <c r="CL778" s="53"/>
      <c r="CN778" s="53"/>
      <c r="CO778" s="53"/>
      <c r="CP778" s="53"/>
      <c r="CQ778" s="53"/>
      <c r="CR778" s="53"/>
      <c r="CS778" s="53"/>
      <c r="CT778" s="261"/>
      <c r="CU778" s="261"/>
      <c r="CV778" s="261"/>
      <c r="CW778" s="255"/>
      <c r="CX778" s="261"/>
      <c r="CY778" s="255"/>
    </row>
    <row r="779" spans="1:103" ht="10.25" customHeight="1">
      <c r="A779" s="216"/>
      <c r="B779" s="217"/>
      <c r="C779" s="218"/>
      <c r="D779" s="219"/>
      <c r="E779" s="217"/>
      <c r="F779" s="217"/>
      <c r="G779" s="217"/>
      <c r="H779" s="220"/>
      <c r="I779" s="217"/>
      <c r="J779" s="217"/>
      <c r="K779" s="217"/>
      <c r="L779" s="217"/>
      <c r="M779" s="217"/>
      <c r="N779" s="217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BA779" s="5"/>
      <c r="BB779" s="5"/>
      <c r="BC779" s="5"/>
      <c r="BD779" s="5"/>
      <c r="BE779" s="63"/>
      <c r="BF779" s="63"/>
      <c r="BG779" s="63"/>
      <c r="CA779" s="256"/>
      <c r="CB779" s="261"/>
      <c r="CC779" s="261"/>
      <c r="CD779" s="261"/>
      <c r="CE779" s="261"/>
      <c r="CF779" s="261"/>
      <c r="CG779" s="53"/>
      <c r="CH779" s="53"/>
      <c r="CI779" s="53"/>
      <c r="CJ779" s="53"/>
      <c r="CK779" s="53"/>
      <c r="CL779" s="53"/>
      <c r="CN779" s="53"/>
      <c r="CO779" s="53"/>
      <c r="CP779" s="53"/>
      <c r="CQ779" s="53"/>
      <c r="CR779" s="53"/>
      <c r="CS779" s="53"/>
      <c r="CT779" s="261"/>
      <c r="CU779" s="261"/>
      <c r="CV779" s="255"/>
      <c r="CW779" s="255"/>
      <c r="CX779" s="261"/>
      <c r="CY779" s="255"/>
    </row>
    <row r="780" spans="1:103" ht="10.25" customHeight="1">
      <c r="A780" s="216"/>
      <c r="B780" s="217"/>
      <c r="C780" s="218"/>
      <c r="D780" s="219"/>
      <c r="E780" s="217"/>
      <c r="F780" s="217"/>
      <c r="G780" s="217"/>
      <c r="H780" s="220"/>
      <c r="I780" s="217"/>
      <c r="J780" s="217"/>
      <c r="K780" s="217"/>
      <c r="L780" s="217"/>
      <c r="M780" s="217"/>
      <c r="N780" s="217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  <c r="AK780" s="44"/>
      <c r="AL780" s="44"/>
      <c r="AM780" s="44"/>
      <c r="AN780" s="44"/>
      <c r="AO780" s="44"/>
      <c r="AP780" s="44"/>
      <c r="AQ780" s="44"/>
      <c r="BA780" s="5"/>
      <c r="BB780" s="5"/>
      <c r="BC780" s="5"/>
      <c r="BD780" s="5"/>
      <c r="BE780" s="63"/>
      <c r="BF780" s="63"/>
      <c r="BG780" s="63"/>
      <c r="CA780" s="256"/>
      <c r="CB780" s="261"/>
      <c r="CC780" s="261"/>
      <c r="CD780" s="261"/>
      <c r="CE780" s="261"/>
      <c r="CF780" s="261"/>
      <c r="CG780" s="53"/>
      <c r="CH780" s="53"/>
      <c r="CI780" s="53"/>
      <c r="CJ780" s="53"/>
      <c r="CK780" s="53"/>
      <c r="CL780" s="53"/>
      <c r="CN780" s="53"/>
      <c r="CO780" s="53"/>
      <c r="CP780" s="53"/>
      <c r="CQ780" s="53"/>
      <c r="CR780" s="53"/>
      <c r="CS780" s="53"/>
      <c r="CT780" s="261"/>
      <c r="CU780" s="261"/>
      <c r="CV780" s="261"/>
      <c r="CW780" s="261"/>
      <c r="CX780" s="261"/>
      <c r="CY780" s="255"/>
    </row>
    <row r="781" spans="1:103" ht="10.25" customHeight="1">
      <c r="A781" s="216"/>
      <c r="B781" s="217"/>
      <c r="C781" s="218"/>
      <c r="D781" s="219"/>
      <c r="E781" s="217"/>
      <c r="F781" s="217"/>
      <c r="G781" s="217"/>
      <c r="H781" s="220"/>
      <c r="I781" s="217"/>
      <c r="J781" s="217"/>
      <c r="K781" s="217"/>
      <c r="L781" s="217"/>
      <c r="M781" s="217"/>
      <c r="N781" s="217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  <c r="AJ781" s="44"/>
      <c r="AK781" s="44"/>
      <c r="AL781" s="44"/>
      <c r="AM781" s="44"/>
      <c r="AN781" s="44"/>
      <c r="AO781" s="44"/>
      <c r="AP781" s="44"/>
      <c r="AQ781" s="44"/>
      <c r="BA781" s="5"/>
      <c r="BB781" s="5"/>
      <c r="BC781" s="5"/>
      <c r="BD781" s="5"/>
      <c r="BE781" s="63"/>
      <c r="BF781" s="63"/>
      <c r="BG781" s="63"/>
      <c r="CA781" s="256"/>
      <c r="CB781" s="261"/>
      <c r="CC781" s="261"/>
      <c r="CD781" s="255"/>
      <c r="CE781" s="261"/>
      <c r="CF781" s="261"/>
      <c r="CG781" s="53"/>
      <c r="CH781" s="53"/>
      <c r="CI781" s="53"/>
      <c r="CJ781" s="53"/>
      <c r="CK781" s="53"/>
      <c r="CL781" s="53"/>
      <c r="CN781" s="53"/>
      <c r="CO781" s="53"/>
      <c r="CP781" s="53"/>
      <c r="CQ781" s="53"/>
      <c r="CR781" s="53"/>
      <c r="CS781" s="53"/>
      <c r="CT781" s="261"/>
      <c r="CU781" s="261"/>
      <c r="CV781" s="261"/>
      <c r="CW781" s="261"/>
      <c r="CX781" s="261"/>
      <c r="CY781" s="255"/>
    </row>
    <row r="782" spans="1:103" ht="10.25" customHeight="1">
      <c r="A782" s="216"/>
      <c r="B782" s="217"/>
      <c r="C782" s="218"/>
      <c r="D782" s="219"/>
      <c r="E782" s="217"/>
      <c r="F782" s="217"/>
      <c r="G782" s="217"/>
      <c r="H782" s="220"/>
      <c r="I782" s="217"/>
      <c r="J782" s="217"/>
      <c r="K782" s="217"/>
      <c r="L782" s="217"/>
      <c r="M782" s="217"/>
      <c r="N782" s="217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  <c r="AK782" s="44"/>
      <c r="AL782" s="44"/>
      <c r="AM782" s="44"/>
      <c r="AN782" s="44"/>
      <c r="AO782" s="44"/>
      <c r="AP782" s="44"/>
      <c r="AQ782" s="44"/>
      <c r="BA782" s="5"/>
      <c r="BB782" s="5"/>
      <c r="BC782" s="5"/>
      <c r="BD782" s="5"/>
      <c r="BE782" s="63"/>
      <c r="BF782" s="63"/>
      <c r="BG782" s="63"/>
      <c r="CA782" s="256"/>
      <c r="CB782" s="261"/>
      <c r="CC782" s="261"/>
      <c r="CD782" s="255"/>
      <c r="CE782" s="261"/>
      <c r="CF782" s="261"/>
      <c r="CG782" s="53"/>
      <c r="CH782" s="53"/>
      <c r="CI782" s="53"/>
      <c r="CJ782" s="53"/>
      <c r="CK782" s="53"/>
      <c r="CL782" s="53"/>
      <c r="CN782" s="53"/>
      <c r="CO782" s="53"/>
      <c r="CP782" s="53"/>
      <c r="CQ782" s="53"/>
      <c r="CR782" s="53"/>
      <c r="CS782" s="53"/>
      <c r="CT782" s="261"/>
      <c r="CU782" s="261"/>
      <c r="CV782" s="261"/>
      <c r="CW782" s="261"/>
      <c r="CX782" s="261"/>
      <c r="CY782" s="255"/>
    </row>
    <row r="783" spans="1:103" ht="10.25" customHeight="1">
      <c r="A783" s="216"/>
      <c r="B783" s="217"/>
      <c r="C783" s="218"/>
      <c r="D783" s="219"/>
      <c r="E783" s="217"/>
      <c r="F783" s="217"/>
      <c r="G783" s="217"/>
      <c r="H783" s="220"/>
      <c r="I783" s="217"/>
      <c r="J783" s="217"/>
      <c r="K783" s="217"/>
      <c r="L783" s="217"/>
      <c r="M783" s="217"/>
      <c r="N783" s="217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  <c r="AK783" s="44"/>
      <c r="AL783" s="44"/>
      <c r="AM783" s="44"/>
      <c r="AN783" s="44"/>
      <c r="AO783" s="44"/>
      <c r="AP783" s="44"/>
      <c r="AQ783" s="44"/>
      <c r="BA783" s="5"/>
      <c r="BB783" s="5"/>
      <c r="BC783" s="5"/>
      <c r="BD783" s="5"/>
      <c r="BE783" s="63"/>
      <c r="BF783" s="63"/>
      <c r="BG783" s="63"/>
      <c r="CA783" s="256"/>
      <c r="CB783" s="261"/>
      <c r="CC783" s="261"/>
      <c r="CD783" s="255"/>
      <c r="CE783" s="261"/>
      <c r="CF783" s="261"/>
      <c r="CG783" s="53"/>
      <c r="CH783" s="53"/>
      <c r="CI783" s="53"/>
      <c r="CJ783" s="53"/>
      <c r="CK783" s="53"/>
      <c r="CL783" s="53"/>
      <c r="CN783" s="53"/>
      <c r="CO783" s="53"/>
      <c r="CP783" s="53"/>
      <c r="CQ783" s="53"/>
      <c r="CR783" s="53"/>
      <c r="CS783" s="53"/>
      <c r="CT783" s="261"/>
      <c r="CU783" s="261"/>
      <c r="CV783" s="261"/>
      <c r="CW783" s="261"/>
      <c r="CX783" s="261"/>
      <c r="CY783" s="255"/>
    </row>
    <row r="784" spans="1:103" ht="10.25" customHeight="1">
      <c r="A784" s="216"/>
      <c r="B784" s="217"/>
      <c r="C784" s="218"/>
      <c r="D784" s="219"/>
      <c r="E784" s="217"/>
      <c r="F784" s="217"/>
      <c r="G784" s="217"/>
      <c r="H784" s="220"/>
      <c r="I784" s="217"/>
      <c r="J784" s="217"/>
      <c r="K784" s="217"/>
      <c r="L784" s="217"/>
      <c r="M784" s="217"/>
      <c r="N784" s="217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  <c r="AK784" s="44"/>
      <c r="AL784" s="44"/>
      <c r="AM784" s="44"/>
      <c r="AN784" s="44"/>
      <c r="AO784" s="44"/>
      <c r="AP784" s="44"/>
      <c r="AQ784" s="44"/>
      <c r="BA784" s="5"/>
      <c r="BB784" s="5"/>
      <c r="BC784" s="5"/>
      <c r="BD784" s="5"/>
      <c r="BE784" s="63"/>
      <c r="BF784" s="63"/>
      <c r="BG784" s="63"/>
      <c r="CA784" s="256"/>
      <c r="CB784" s="261"/>
      <c r="CC784" s="255"/>
      <c r="CD784" s="261"/>
      <c r="CE784" s="261"/>
      <c r="CF784" s="261"/>
      <c r="CG784" s="53"/>
      <c r="CH784" s="53"/>
      <c r="CI784" s="53"/>
      <c r="CJ784" s="53"/>
      <c r="CK784" s="53"/>
      <c r="CL784" s="53"/>
      <c r="CN784" s="53"/>
      <c r="CO784" s="53"/>
      <c r="CP784" s="53"/>
      <c r="CQ784" s="53"/>
      <c r="CR784" s="53"/>
      <c r="CS784" s="53"/>
      <c r="CT784" s="261"/>
      <c r="CU784" s="261"/>
      <c r="CV784" s="261"/>
      <c r="CW784" s="261"/>
      <c r="CX784" s="261"/>
      <c r="CY784" s="255"/>
    </row>
    <row r="785" spans="1:103" ht="10.25" customHeight="1">
      <c r="A785" s="216"/>
      <c r="B785" s="217"/>
      <c r="C785" s="218"/>
      <c r="D785" s="219"/>
      <c r="E785" s="217"/>
      <c r="F785" s="217"/>
      <c r="G785" s="217"/>
      <c r="H785" s="220"/>
      <c r="I785" s="217"/>
      <c r="J785" s="217"/>
      <c r="K785" s="217"/>
      <c r="L785" s="217"/>
      <c r="M785" s="217"/>
      <c r="N785" s="217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  <c r="AK785" s="44"/>
      <c r="AL785" s="44"/>
      <c r="AM785" s="44"/>
      <c r="AN785" s="44"/>
      <c r="AO785" s="44"/>
      <c r="AP785" s="44"/>
      <c r="AQ785" s="44"/>
      <c r="BA785" s="5"/>
      <c r="BB785" s="5"/>
      <c r="BC785" s="5"/>
      <c r="BD785" s="5"/>
      <c r="BE785" s="63"/>
      <c r="BF785" s="63"/>
      <c r="BG785" s="63"/>
      <c r="CA785" s="256"/>
      <c r="CB785" s="261"/>
      <c r="CC785" s="255"/>
      <c r="CD785" s="261"/>
      <c r="CE785" s="261"/>
      <c r="CF785" s="261"/>
      <c r="CG785" s="53"/>
      <c r="CH785" s="53"/>
      <c r="CI785" s="53"/>
      <c r="CJ785" s="53"/>
      <c r="CK785" s="53"/>
      <c r="CL785" s="53"/>
      <c r="CN785" s="53"/>
      <c r="CO785" s="53"/>
      <c r="CP785" s="53"/>
      <c r="CQ785" s="53"/>
      <c r="CR785" s="53"/>
      <c r="CS785" s="53"/>
      <c r="CT785" s="261"/>
      <c r="CU785" s="261"/>
      <c r="CV785" s="261"/>
      <c r="CW785" s="261"/>
      <c r="CX785" s="261"/>
      <c r="CY785" s="255"/>
    </row>
    <row r="786" spans="1:103" ht="10.25" customHeight="1">
      <c r="A786" s="371"/>
      <c r="B786" s="371"/>
      <c r="C786" s="371"/>
      <c r="D786" s="269"/>
      <c r="L786" s="269"/>
      <c r="M786" s="269"/>
      <c r="N786" s="269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  <c r="AL786" s="63"/>
      <c r="AM786" s="63"/>
      <c r="AN786" s="63"/>
      <c r="AO786" s="63"/>
      <c r="AP786" s="63"/>
      <c r="AQ786" s="63"/>
      <c r="CA786" s="256"/>
      <c r="CB786" s="261"/>
      <c r="CC786" s="255"/>
      <c r="CD786" s="261"/>
      <c r="CE786" s="261"/>
      <c r="CF786" s="261"/>
      <c r="CG786" s="261"/>
      <c r="CH786" s="261"/>
      <c r="CI786" s="261"/>
      <c r="CJ786" s="261"/>
      <c r="CK786" s="261"/>
      <c r="CL786" s="255"/>
      <c r="CN786" s="256"/>
      <c r="CO786" s="256"/>
      <c r="CP786" s="261"/>
      <c r="CQ786" s="261"/>
      <c r="CR786" s="255"/>
      <c r="CS786" s="261"/>
      <c r="CT786" s="261"/>
      <c r="CU786" s="261"/>
      <c r="CV786" s="261"/>
      <c r="CW786" s="261"/>
      <c r="CX786" s="261"/>
      <c r="CY786" s="255"/>
    </row>
    <row r="787" spans="1:103" ht="12.65" customHeight="1">
      <c r="A787" s="270"/>
      <c r="C787" s="271"/>
      <c r="D787" s="372"/>
      <c r="E787" s="372"/>
      <c r="F787" s="272"/>
      <c r="G787" s="272"/>
      <c r="H787" s="273"/>
      <c r="L787" s="269"/>
      <c r="M787" s="269"/>
      <c r="N787" s="269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  <c r="AL787" s="63"/>
      <c r="AM787" s="63"/>
      <c r="AN787" s="63"/>
      <c r="AO787" s="63"/>
      <c r="AP787" s="63"/>
      <c r="AQ787" s="63"/>
      <c r="CA787" s="256"/>
      <c r="CB787" s="261"/>
      <c r="CC787" s="255"/>
      <c r="CD787" s="261"/>
      <c r="CE787" s="261"/>
      <c r="CF787" s="261"/>
      <c r="CG787" s="261"/>
      <c r="CH787" s="261"/>
      <c r="CI787" s="261"/>
      <c r="CJ787" s="261"/>
      <c r="CK787" s="255"/>
      <c r="CL787" s="255"/>
      <c r="CN787" s="256"/>
      <c r="CO787" s="256"/>
      <c r="CP787" s="261"/>
      <c r="CQ787" s="261"/>
      <c r="CR787" s="255"/>
      <c r="CS787" s="261"/>
      <c r="CT787" s="261"/>
      <c r="CU787" s="261"/>
      <c r="CV787" s="261"/>
      <c r="CW787" s="261"/>
      <c r="CX787" s="255"/>
      <c r="CY787" s="255"/>
    </row>
    <row r="788" spans="1:103" ht="10.25" customHeight="1">
      <c r="A788" s="270"/>
      <c r="D788" s="372"/>
      <c r="E788" s="372"/>
      <c r="F788" s="272"/>
      <c r="G788" s="272"/>
      <c r="H788" s="273"/>
      <c r="L788" s="269"/>
      <c r="M788" s="269"/>
      <c r="N788" s="269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  <c r="AL788" s="63"/>
      <c r="AM788" s="63"/>
      <c r="AN788" s="63"/>
      <c r="AO788" s="63"/>
      <c r="AP788" s="63"/>
      <c r="AQ788" s="63"/>
      <c r="CA788" s="256"/>
      <c r="CB788" s="261"/>
      <c r="CC788" s="255"/>
      <c r="CD788" s="261"/>
      <c r="CE788" s="261"/>
      <c r="CF788" s="261"/>
      <c r="CG788" s="261"/>
      <c r="CH788" s="261"/>
      <c r="CI788" s="261"/>
      <c r="CJ788" s="261"/>
      <c r="CK788" s="261"/>
      <c r="CL788" s="255"/>
      <c r="CN788" s="256"/>
      <c r="CO788" s="256"/>
      <c r="CP788" s="261"/>
      <c r="CQ788" s="261"/>
      <c r="CR788" s="255"/>
      <c r="CS788" s="261"/>
      <c r="CT788" s="261"/>
      <c r="CU788" s="261"/>
      <c r="CV788" s="261"/>
      <c r="CW788" s="261"/>
      <c r="CX788" s="261"/>
      <c r="CY788" s="255"/>
    </row>
    <row r="789" spans="1:103" ht="10.25" customHeight="1">
      <c r="C789" s="270"/>
      <c r="D789" s="274"/>
      <c r="E789" s="214"/>
      <c r="F789" s="272"/>
      <c r="G789" s="272"/>
      <c r="H789" s="272"/>
      <c r="I789" s="273"/>
      <c r="J789" s="273"/>
      <c r="K789" s="273"/>
      <c r="L789" s="275"/>
      <c r="M789" s="269"/>
      <c r="N789" s="269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  <c r="AL789" s="63"/>
      <c r="AM789" s="63"/>
      <c r="AN789" s="63"/>
      <c r="AO789" s="63"/>
      <c r="AP789" s="63"/>
      <c r="AQ789" s="63"/>
      <c r="CA789" s="256"/>
      <c r="CB789" s="261"/>
      <c r="CC789" s="255"/>
      <c r="CD789" s="261"/>
      <c r="CE789" s="261"/>
      <c r="CF789" s="261"/>
      <c r="CG789" s="261"/>
      <c r="CH789" s="261"/>
      <c r="CI789" s="261"/>
      <c r="CJ789" s="261"/>
      <c r="CK789" s="261"/>
      <c r="CL789" s="255"/>
      <c r="CN789" s="256"/>
      <c r="CO789" s="256"/>
      <c r="CP789" s="261"/>
      <c r="CQ789" s="261"/>
      <c r="CR789" s="255"/>
      <c r="CS789" s="261"/>
      <c r="CT789" s="261"/>
      <c r="CU789" s="261"/>
      <c r="CV789" s="261"/>
      <c r="CW789" s="261"/>
      <c r="CX789" s="261"/>
      <c r="CY789" s="255"/>
    </row>
    <row r="790" spans="1:103" ht="10.25" customHeight="1">
      <c r="A790" s="270"/>
      <c r="D790" s="372"/>
      <c r="E790" s="372"/>
      <c r="F790" s="272"/>
      <c r="G790" s="272"/>
      <c r="H790" s="272"/>
      <c r="I790" s="273"/>
      <c r="J790" s="273"/>
      <c r="K790" s="273"/>
      <c r="L790" s="275"/>
      <c r="M790" s="269"/>
      <c r="N790" s="269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  <c r="AL790" s="63"/>
      <c r="AM790" s="63"/>
      <c r="AN790" s="63"/>
      <c r="AO790" s="63"/>
      <c r="AP790" s="63"/>
      <c r="AQ790" s="63"/>
      <c r="CA790" s="256"/>
      <c r="CB790" s="261"/>
      <c r="CC790" s="255"/>
      <c r="CD790" s="261"/>
      <c r="CE790" s="261"/>
      <c r="CF790" s="261"/>
      <c r="CG790" s="261"/>
      <c r="CH790" s="261"/>
      <c r="CI790" s="255"/>
      <c r="CJ790" s="255"/>
      <c r="CK790" s="261"/>
      <c r="CL790" s="255"/>
      <c r="CN790" s="256"/>
      <c r="CO790" s="256"/>
      <c r="CP790" s="261"/>
      <c r="CQ790" s="261"/>
      <c r="CR790" s="255"/>
      <c r="CS790" s="261"/>
      <c r="CT790" s="261"/>
      <c r="CU790" s="261"/>
      <c r="CV790" s="261"/>
      <c r="CW790" s="255"/>
      <c r="CX790" s="261"/>
      <c r="CY790" s="255"/>
    </row>
    <row r="791" spans="1:103" ht="10.25" customHeight="1">
      <c r="A791" s="270"/>
      <c r="D791" s="372"/>
      <c r="E791" s="372"/>
      <c r="F791" s="272"/>
      <c r="G791" s="272"/>
      <c r="H791" s="272"/>
      <c r="I791" s="273"/>
      <c r="J791" s="273"/>
      <c r="K791" s="273"/>
      <c r="L791" s="275"/>
      <c r="M791" s="269"/>
      <c r="N791" s="269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  <c r="AL791" s="63"/>
      <c r="AM791" s="63"/>
      <c r="AN791" s="63"/>
      <c r="AO791" s="63"/>
      <c r="AP791" s="63"/>
      <c r="AQ791" s="63"/>
      <c r="CA791" s="256"/>
      <c r="CB791" s="261"/>
      <c r="CC791" s="255"/>
      <c r="CD791" s="261"/>
      <c r="CE791" s="261"/>
      <c r="CF791" s="261"/>
      <c r="CG791" s="255"/>
      <c r="CH791" s="255"/>
      <c r="CI791" s="261"/>
      <c r="CJ791" s="261"/>
      <c r="CK791" s="261"/>
      <c r="CL791" s="255"/>
      <c r="CN791" s="256"/>
      <c r="CO791" s="256"/>
      <c r="CP791" s="261"/>
      <c r="CQ791" s="261"/>
      <c r="CR791" s="255"/>
      <c r="CS791" s="261"/>
      <c r="CT791" s="261"/>
      <c r="CU791" s="261"/>
      <c r="CV791" s="255"/>
      <c r="CW791" s="261"/>
      <c r="CX791" s="261"/>
      <c r="CY791" s="255"/>
    </row>
    <row r="792" spans="1:103" ht="10.25" customHeight="1">
      <c r="A792" s="270"/>
      <c r="D792" s="372"/>
      <c r="E792" s="372"/>
      <c r="F792" s="272"/>
      <c r="G792" s="272"/>
      <c r="H792" s="272"/>
      <c r="I792" s="273"/>
      <c r="J792" s="273"/>
      <c r="K792" s="273"/>
      <c r="L792" s="275"/>
      <c r="M792" s="269"/>
      <c r="N792" s="269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  <c r="AL792" s="63"/>
      <c r="AM792" s="63"/>
      <c r="AN792" s="63"/>
      <c r="AO792" s="63"/>
      <c r="AP792" s="63"/>
      <c r="AQ792" s="63"/>
      <c r="CA792" s="256"/>
      <c r="CB792" s="261"/>
      <c r="CC792" s="255"/>
      <c r="CD792" s="261"/>
      <c r="CE792" s="261"/>
      <c r="CF792" s="261"/>
      <c r="CG792" s="255"/>
      <c r="CH792" s="255"/>
      <c r="CI792" s="261"/>
      <c r="CJ792" s="261"/>
      <c r="CK792" s="261"/>
      <c r="CL792" s="255"/>
      <c r="CN792" s="256"/>
      <c r="CO792" s="256"/>
      <c r="CP792" s="261"/>
      <c r="CQ792" s="261"/>
      <c r="CR792" s="255"/>
      <c r="CS792" s="261"/>
      <c r="CT792" s="261"/>
      <c r="CU792" s="261"/>
      <c r="CV792" s="255"/>
      <c r="CW792" s="261"/>
      <c r="CX792" s="261"/>
      <c r="CY792" s="255"/>
    </row>
    <row r="793" spans="1:103" ht="10.25" customHeight="1">
      <c r="A793" s="270"/>
      <c r="D793" s="372"/>
      <c r="E793" s="372"/>
      <c r="F793" s="272"/>
      <c r="G793" s="272"/>
      <c r="H793" s="272"/>
      <c r="I793" s="375"/>
      <c r="J793" s="375"/>
      <c r="K793" s="375"/>
      <c r="L793" s="375"/>
      <c r="M793" s="269"/>
      <c r="N793" s="269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  <c r="AL793" s="63"/>
      <c r="AM793" s="63"/>
      <c r="AN793" s="63"/>
      <c r="AO793" s="63"/>
      <c r="AP793" s="63"/>
      <c r="AQ793" s="63"/>
      <c r="CA793" s="256"/>
      <c r="CB793" s="261"/>
      <c r="CC793" s="255"/>
      <c r="CD793" s="261"/>
      <c r="CE793" s="261"/>
      <c r="CF793" s="261"/>
      <c r="CG793" s="261"/>
      <c r="CH793" s="261"/>
      <c r="CI793" s="261"/>
      <c r="CJ793" s="261"/>
      <c r="CK793" s="261"/>
      <c r="CL793" s="255"/>
      <c r="CN793" s="256"/>
      <c r="CO793" s="256"/>
      <c r="CP793" s="261"/>
      <c r="CQ793" s="261"/>
      <c r="CR793" s="255"/>
      <c r="CS793" s="261"/>
      <c r="CT793" s="261"/>
      <c r="CU793" s="261"/>
      <c r="CV793" s="261"/>
      <c r="CW793" s="261"/>
      <c r="CX793" s="261"/>
      <c r="CY793" s="255"/>
    </row>
    <row r="794" spans="1:103" ht="10.25" customHeight="1">
      <c r="A794" s="270"/>
      <c r="D794" s="372"/>
      <c r="E794" s="372"/>
      <c r="H794" s="209"/>
      <c r="I794" s="213"/>
      <c r="J794" s="213"/>
      <c r="K794" s="213"/>
      <c r="L794" s="213"/>
      <c r="M794" s="213"/>
      <c r="N794" s="213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CA794" s="256"/>
      <c r="CB794" s="261"/>
      <c r="CC794" s="255"/>
      <c r="CD794" s="261"/>
      <c r="CE794" s="261"/>
      <c r="CF794" s="261"/>
      <c r="CG794" s="261"/>
      <c r="CH794" s="261"/>
      <c r="CI794" s="261"/>
      <c r="CJ794" s="261"/>
      <c r="CK794" s="261"/>
      <c r="CL794" s="255"/>
      <c r="CN794" s="256"/>
      <c r="CO794" s="256"/>
      <c r="CP794" s="261"/>
      <c r="CQ794" s="261"/>
      <c r="CR794" s="255"/>
      <c r="CS794" s="261"/>
      <c r="CT794" s="261"/>
      <c r="CU794" s="261"/>
      <c r="CV794" s="261"/>
      <c r="CW794" s="261"/>
      <c r="CX794" s="261"/>
      <c r="CY794" s="255"/>
    </row>
    <row r="795" spans="1:103" ht="10.25" customHeight="1">
      <c r="A795" s="270"/>
      <c r="C795" s="269"/>
      <c r="D795" s="275"/>
      <c r="E795" s="275"/>
      <c r="F795" s="209"/>
      <c r="G795" s="209"/>
      <c r="H795" s="209"/>
      <c r="I795" s="209"/>
      <c r="J795" s="209"/>
      <c r="K795" s="209"/>
      <c r="L795" s="376"/>
      <c r="M795" s="376"/>
      <c r="N795" s="279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  <c r="AF795" s="51"/>
      <c r="AG795" s="51"/>
      <c r="AH795" s="51"/>
      <c r="AI795" s="51"/>
      <c r="AJ795" s="51"/>
      <c r="AK795" s="51"/>
      <c r="AL795" s="51"/>
      <c r="AM795" s="51"/>
      <c r="AN795" s="51"/>
      <c r="AO795" s="51"/>
      <c r="AP795" s="51"/>
      <c r="AQ795" s="51"/>
      <c r="CA795" s="256"/>
      <c r="CB795" s="261"/>
      <c r="CC795" s="255"/>
      <c r="CD795" s="261"/>
      <c r="CE795" s="261"/>
      <c r="CF795" s="261"/>
      <c r="CG795" s="261"/>
      <c r="CH795" s="261"/>
      <c r="CI795" s="261"/>
      <c r="CJ795" s="261"/>
      <c r="CK795" s="261"/>
      <c r="CL795" s="255"/>
      <c r="CN795" s="256"/>
      <c r="CO795" s="256"/>
      <c r="CP795" s="261"/>
      <c r="CQ795" s="261"/>
      <c r="CR795" s="255"/>
      <c r="CS795" s="261"/>
      <c r="CT795" s="261"/>
      <c r="CU795" s="261"/>
      <c r="CV795" s="261"/>
      <c r="CW795" s="261"/>
      <c r="CX795" s="261"/>
      <c r="CY795" s="255"/>
    </row>
    <row r="796" spans="1:103" ht="10.25" customHeight="1">
      <c r="A796" s="270"/>
      <c r="C796" s="269"/>
      <c r="D796" s="269"/>
      <c r="F796" s="209"/>
      <c r="G796" s="209"/>
      <c r="H796" s="276"/>
      <c r="I796" s="276"/>
      <c r="J796" s="276"/>
      <c r="K796" s="276"/>
      <c r="L796" s="374"/>
      <c r="M796" s="374"/>
      <c r="N796" s="213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CA796" s="256"/>
      <c r="CB796" s="261"/>
      <c r="CC796" s="255"/>
      <c r="CD796" s="261"/>
      <c r="CE796" s="261"/>
      <c r="CF796" s="261"/>
      <c r="CG796" s="261"/>
      <c r="CH796" s="261"/>
      <c r="CI796" s="261"/>
      <c r="CJ796" s="261"/>
      <c r="CK796" s="261"/>
      <c r="CL796" s="255"/>
      <c r="CN796" s="256"/>
      <c r="CO796" s="256"/>
      <c r="CP796" s="261"/>
      <c r="CQ796" s="261"/>
      <c r="CR796" s="255"/>
      <c r="CS796" s="261"/>
      <c r="CT796" s="261"/>
      <c r="CU796" s="261"/>
      <c r="CV796" s="261"/>
      <c r="CW796" s="261"/>
      <c r="CX796" s="261"/>
      <c r="CY796" s="255"/>
    </row>
    <row r="797" spans="1:103" ht="10.25" customHeight="1">
      <c r="A797" s="270"/>
      <c r="D797" s="269"/>
      <c r="F797" s="208"/>
      <c r="G797" s="208"/>
      <c r="H797" s="277"/>
      <c r="I797" s="277"/>
      <c r="J797" s="277"/>
      <c r="K797" s="277"/>
      <c r="L797" s="372"/>
      <c r="M797" s="372"/>
      <c r="N797" s="214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CA797" s="256"/>
      <c r="CB797" s="261"/>
      <c r="CC797" s="255"/>
      <c r="CD797" s="261"/>
      <c r="CE797" s="261"/>
      <c r="CF797" s="261"/>
      <c r="CG797" s="261"/>
      <c r="CH797" s="261"/>
      <c r="CI797" s="261"/>
      <c r="CJ797" s="261"/>
      <c r="CK797" s="261"/>
      <c r="CL797" s="255"/>
      <c r="CN797" s="256"/>
      <c r="CO797" s="256"/>
      <c r="CP797" s="261"/>
      <c r="CQ797" s="261"/>
      <c r="CR797" s="255"/>
      <c r="CS797" s="261"/>
      <c r="CT797" s="261"/>
      <c r="CU797" s="261"/>
      <c r="CV797" s="261"/>
      <c r="CW797" s="261"/>
      <c r="CX797" s="261"/>
      <c r="CY797" s="255"/>
    </row>
    <row r="798" spans="1:103" ht="10.25" customHeight="1">
      <c r="CA798" s="256"/>
      <c r="CB798" s="261"/>
      <c r="CC798" s="255"/>
      <c r="CD798" s="261"/>
      <c r="CE798" s="261"/>
      <c r="CF798" s="255"/>
      <c r="CG798" s="261"/>
      <c r="CH798" s="261"/>
      <c r="CI798" s="261"/>
      <c r="CJ798" s="261"/>
      <c r="CK798" s="261"/>
      <c r="CL798" s="255"/>
      <c r="CN798" s="256"/>
      <c r="CO798" s="256"/>
      <c r="CP798" s="261"/>
      <c r="CQ798" s="261"/>
      <c r="CR798" s="255"/>
      <c r="CS798" s="261"/>
      <c r="CT798" s="261"/>
      <c r="CU798" s="255"/>
      <c r="CV798" s="261"/>
      <c r="CW798" s="261"/>
      <c r="CX798" s="261"/>
      <c r="CY798" s="255"/>
    </row>
    <row r="799" spans="1:103" ht="10.25" customHeight="1">
      <c r="C799" s="278"/>
      <c r="CA799" s="256"/>
      <c r="CB799" s="261"/>
      <c r="CC799" s="255"/>
      <c r="CD799" s="261"/>
      <c r="CE799" s="261"/>
      <c r="CF799" s="255"/>
      <c r="CG799" s="261"/>
      <c r="CH799" s="261"/>
      <c r="CI799" s="261"/>
      <c r="CJ799" s="261"/>
      <c r="CK799" s="261"/>
      <c r="CL799" s="255"/>
      <c r="CN799" s="256"/>
      <c r="CO799" s="256"/>
      <c r="CP799" s="261"/>
      <c r="CQ799" s="261"/>
      <c r="CR799" s="255"/>
      <c r="CS799" s="261"/>
      <c r="CT799" s="261"/>
      <c r="CU799" s="255"/>
      <c r="CV799" s="261"/>
      <c r="CW799" s="261"/>
      <c r="CX799" s="261"/>
      <c r="CY799" s="255"/>
    </row>
    <row r="800" spans="1:103" ht="10.25" customHeight="1">
      <c r="C800" s="278"/>
      <c r="F800" s="377"/>
      <c r="G800" s="377"/>
      <c r="H800" s="377"/>
      <c r="I800" s="377"/>
      <c r="J800" s="377"/>
      <c r="K800" s="377"/>
      <c r="L800" s="377"/>
      <c r="M800" s="377"/>
      <c r="N800" s="269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  <c r="AL800" s="63"/>
      <c r="AM800" s="63"/>
      <c r="AN800" s="63"/>
      <c r="AO800" s="63"/>
      <c r="AP800" s="63"/>
      <c r="AQ800" s="63"/>
      <c r="CA800" s="256"/>
      <c r="CB800" s="261"/>
      <c r="CC800" s="255"/>
      <c r="CD800" s="261"/>
      <c r="CE800" s="261"/>
      <c r="CF800" s="255"/>
      <c r="CG800" s="261"/>
      <c r="CH800" s="261"/>
      <c r="CI800" s="261"/>
      <c r="CJ800" s="261"/>
      <c r="CK800" s="261"/>
      <c r="CL800" s="255"/>
      <c r="CN800" s="256"/>
      <c r="CO800" s="256"/>
      <c r="CP800" s="261"/>
      <c r="CQ800" s="261"/>
      <c r="CR800" s="255"/>
      <c r="CS800" s="261"/>
      <c r="CT800" s="261"/>
      <c r="CU800" s="255"/>
      <c r="CV800" s="261"/>
      <c r="CW800" s="261"/>
      <c r="CX800" s="261"/>
      <c r="CY800" s="255"/>
    </row>
    <row r="801" spans="1:97" ht="10.4" customHeight="1">
      <c r="C801" s="278"/>
      <c r="F801" s="377"/>
      <c r="G801" s="377"/>
      <c r="H801" s="377"/>
      <c r="I801" s="377"/>
      <c r="J801" s="377"/>
      <c r="K801" s="377"/>
      <c r="L801" s="377"/>
      <c r="M801" s="377"/>
      <c r="N801" s="269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  <c r="AF801" s="63"/>
      <c r="AG801" s="63"/>
      <c r="AH801" s="63"/>
      <c r="AI801" s="63"/>
      <c r="AJ801" s="63"/>
      <c r="AK801" s="63"/>
      <c r="AL801" s="63"/>
      <c r="AM801" s="63"/>
      <c r="AN801" s="63"/>
      <c r="AO801" s="63"/>
      <c r="AP801" s="63"/>
      <c r="AQ801" s="63"/>
      <c r="AS801" s="236"/>
      <c r="BE801" s="63"/>
      <c r="BF801" s="63"/>
      <c r="BG801" s="63"/>
      <c r="BK801" s="317"/>
      <c r="BL801" s="5"/>
      <c r="BM801" s="5"/>
      <c r="BN801" s="5"/>
      <c r="BO801" s="5"/>
      <c r="BP801" s="5"/>
      <c r="BQ801" s="5"/>
      <c r="BR801" s="5"/>
      <c r="BS801" s="5"/>
      <c r="BT801" s="5"/>
      <c r="BV801" s="317"/>
      <c r="CF801" s="5"/>
      <c r="CG801" s="5"/>
      <c r="CH801" s="5"/>
      <c r="CI801" s="5"/>
      <c r="CJ801" s="5"/>
      <c r="CK801" s="5"/>
      <c r="CL801" s="5"/>
    </row>
    <row r="802" spans="1:97" ht="10.25" customHeight="1">
      <c r="A802" s="377"/>
      <c r="B802" s="377"/>
      <c r="C802" s="377"/>
      <c r="D802" s="377"/>
      <c r="E802" s="377"/>
      <c r="F802" s="377"/>
      <c r="G802" s="377"/>
      <c r="H802" s="377"/>
      <c r="I802" s="377"/>
      <c r="J802" s="377"/>
      <c r="K802" s="377"/>
      <c r="L802" s="377"/>
      <c r="M802" s="377"/>
      <c r="N802" s="269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  <c r="AL802" s="63"/>
      <c r="AM802" s="63"/>
      <c r="AN802" s="63"/>
      <c r="AO802" s="63"/>
      <c r="AP802" s="63"/>
      <c r="AQ802" s="63"/>
      <c r="BE802" s="63"/>
      <c r="BF802" s="63"/>
      <c r="BG802" s="63"/>
      <c r="BK802" s="317"/>
      <c r="BL802" s="5"/>
      <c r="BM802" s="5"/>
      <c r="BN802" s="5"/>
      <c r="BO802" s="5"/>
      <c r="BP802" s="5"/>
      <c r="BQ802" s="5"/>
      <c r="BR802" s="5"/>
      <c r="BS802" s="5"/>
      <c r="BT802" s="5"/>
      <c r="BV802" s="317"/>
      <c r="CF802" s="5"/>
      <c r="CG802" s="5"/>
      <c r="CH802" s="5"/>
      <c r="CI802" s="5"/>
      <c r="CJ802" s="5"/>
      <c r="CK802" s="5"/>
      <c r="CL802" s="5"/>
    </row>
    <row r="803" spans="1:97" ht="10.25" customHeight="1">
      <c r="A803" s="376"/>
      <c r="B803" s="376"/>
      <c r="C803" s="376"/>
      <c r="D803" s="376"/>
      <c r="E803" s="376"/>
      <c r="F803" s="376"/>
      <c r="G803" s="376"/>
      <c r="H803" s="376"/>
      <c r="I803" s="376"/>
      <c r="J803" s="376"/>
      <c r="K803" s="376"/>
      <c r="L803" s="376"/>
      <c r="M803" s="376"/>
      <c r="N803" s="279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  <c r="AF803" s="51"/>
      <c r="AG803" s="51"/>
      <c r="AH803" s="51"/>
      <c r="AI803" s="51"/>
      <c r="AJ803" s="51"/>
      <c r="AK803" s="51"/>
      <c r="AL803" s="51"/>
      <c r="AM803" s="51"/>
      <c r="AN803" s="51"/>
      <c r="AO803" s="51"/>
      <c r="AP803" s="51"/>
      <c r="AQ803" s="51"/>
      <c r="BE803" s="63"/>
      <c r="BF803" s="63"/>
      <c r="BG803" s="63"/>
      <c r="BK803" s="317"/>
      <c r="BL803" s="5"/>
      <c r="BM803" s="5"/>
      <c r="BN803" s="5"/>
      <c r="BO803" s="5"/>
      <c r="BP803" s="5"/>
      <c r="BQ803" s="5"/>
      <c r="BR803" s="5"/>
      <c r="BS803" s="5"/>
      <c r="BT803" s="5"/>
      <c r="BV803" s="317"/>
      <c r="CF803" s="5"/>
      <c r="CG803" s="5"/>
      <c r="CH803" s="5"/>
      <c r="CI803" s="5"/>
      <c r="CJ803" s="5"/>
      <c r="CK803" s="5"/>
      <c r="CL803" s="5"/>
    </row>
    <row r="804" spans="1:97" ht="10.25" customHeight="1">
      <c r="A804" s="374"/>
      <c r="B804" s="374"/>
      <c r="C804" s="374"/>
      <c r="D804" s="374"/>
      <c r="E804" s="374"/>
      <c r="F804" s="374"/>
      <c r="G804" s="374"/>
      <c r="H804" s="374"/>
      <c r="I804" s="374"/>
      <c r="J804" s="374"/>
      <c r="K804" s="374"/>
      <c r="L804" s="374"/>
      <c r="M804" s="374"/>
      <c r="N804" s="213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BE804" s="63"/>
      <c r="BF804" s="63"/>
      <c r="BG804" s="63"/>
      <c r="BK804" s="317"/>
      <c r="BL804" s="5"/>
      <c r="BM804" s="5"/>
      <c r="BN804" s="5"/>
      <c r="BO804" s="5"/>
      <c r="BP804" s="5"/>
      <c r="BQ804" s="5"/>
      <c r="BR804" s="5"/>
      <c r="BS804" s="5"/>
      <c r="BT804" s="5"/>
      <c r="BV804" s="317"/>
      <c r="CF804" s="5"/>
      <c r="CG804" s="5"/>
      <c r="CH804" s="5"/>
      <c r="CI804" s="5"/>
      <c r="CJ804" s="5"/>
      <c r="CK804" s="5"/>
      <c r="CL804" s="5"/>
    </row>
    <row r="805" spans="1:97" ht="6" customHeight="1">
      <c r="A805" s="208"/>
      <c r="B805" s="209"/>
      <c r="C805" s="209"/>
      <c r="D805" s="209"/>
      <c r="E805" s="209"/>
      <c r="F805" s="280"/>
      <c r="G805" s="280"/>
      <c r="H805" s="280"/>
      <c r="I805" s="280"/>
      <c r="J805" s="280"/>
      <c r="K805" s="280"/>
      <c r="L805" s="280"/>
      <c r="M805" s="280"/>
      <c r="N805" s="280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  <c r="AJ805" s="42"/>
      <c r="AK805" s="42"/>
      <c r="AL805" s="42"/>
      <c r="AM805" s="42"/>
      <c r="AN805" s="42"/>
      <c r="AO805" s="42"/>
      <c r="AP805" s="42"/>
      <c r="AQ805" s="42"/>
      <c r="BK805" s="317"/>
      <c r="BL805" s="5"/>
      <c r="BM805" s="5"/>
      <c r="BN805" s="5"/>
      <c r="BO805" s="5"/>
      <c r="BP805" s="5"/>
      <c r="BQ805" s="5"/>
      <c r="BR805" s="5"/>
      <c r="BS805" s="5"/>
      <c r="BT805" s="5"/>
      <c r="BV805" s="317"/>
      <c r="CF805" s="5"/>
      <c r="CG805" s="5"/>
      <c r="CH805" s="5"/>
      <c r="CI805" s="5"/>
      <c r="CJ805" s="5"/>
      <c r="CK805" s="5"/>
      <c r="CL805" s="5"/>
    </row>
    <row r="806" spans="1:97" ht="10.25" customHeight="1">
      <c r="A806" s="208"/>
      <c r="B806" s="209"/>
      <c r="C806" s="209"/>
      <c r="D806" s="210"/>
      <c r="E806" s="211"/>
      <c r="F806" s="369"/>
      <c r="G806" s="369"/>
      <c r="H806" s="369"/>
      <c r="I806" s="369"/>
      <c r="J806" s="369"/>
      <c r="K806" s="369"/>
      <c r="L806" s="369"/>
      <c r="M806" s="230"/>
      <c r="N806" s="230"/>
      <c r="O806" s="235"/>
      <c r="P806" s="235"/>
      <c r="Q806" s="235"/>
      <c r="R806" s="235"/>
      <c r="S806" s="235"/>
      <c r="T806" s="235"/>
      <c r="U806" s="235"/>
      <c r="V806" s="235"/>
      <c r="W806" s="235"/>
      <c r="X806" s="235"/>
      <c r="Y806" s="235"/>
      <c r="Z806" s="235"/>
      <c r="AA806" s="235"/>
      <c r="AB806" s="235"/>
      <c r="AC806" s="235"/>
      <c r="AD806" s="235"/>
      <c r="AE806" s="235"/>
      <c r="AF806" s="235"/>
      <c r="AG806" s="235"/>
      <c r="AH806" s="235"/>
      <c r="AI806" s="235"/>
      <c r="AJ806" s="235"/>
      <c r="AK806" s="235"/>
      <c r="AL806" s="235"/>
      <c r="AM806" s="235"/>
      <c r="AN806" s="235"/>
      <c r="AO806" s="235"/>
      <c r="AP806" s="235"/>
      <c r="AQ806" s="235"/>
      <c r="BK806" s="317"/>
      <c r="BL806" s="5"/>
      <c r="BM806" s="5"/>
      <c r="BN806" s="5"/>
      <c r="BO806" s="5"/>
      <c r="BP806" s="5"/>
      <c r="BQ806" s="5"/>
      <c r="BR806" s="5"/>
      <c r="BS806" s="5"/>
      <c r="BT806" s="5"/>
      <c r="BV806" s="317"/>
      <c r="CF806" s="5"/>
      <c r="CG806" s="5"/>
      <c r="CH806" s="5"/>
      <c r="CI806" s="5"/>
      <c r="CJ806" s="5"/>
      <c r="CK806" s="5"/>
      <c r="CL806" s="5"/>
    </row>
    <row r="807" spans="1:97" ht="2" customHeight="1">
      <c r="A807" s="209"/>
      <c r="B807" s="209"/>
      <c r="C807" s="212"/>
      <c r="D807" s="213"/>
      <c r="E807" s="209"/>
      <c r="F807" s="209"/>
      <c r="G807" s="209"/>
      <c r="H807" s="209"/>
      <c r="I807" s="209"/>
      <c r="J807" s="209"/>
      <c r="K807" s="209"/>
      <c r="L807" s="209"/>
      <c r="M807" s="209"/>
      <c r="N807" s="209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BK807" s="317"/>
      <c r="BL807" s="5"/>
      <c r="BM807" s="5"/>
      <c r="BN807" s="5"/>
      <c r="BO807" s="5"/>
      <c r="BP807" s="5"/>
      <c r="BQ807" s="5"/>
      <c r="BR807" s="5"/>
      <c r="BS807" s="5"/>
      <c r="BT807" s="5"/>
      <c r="BV807" s="317"/>
      <c r="CF807" s="5"/>
      <c r="CG807" s="5"/>
      <c r="CH807" s="5"/>
      <c r="CI807" s="5"/>
      <c r="CJ807" s="5"/>
      <c r="CK807" s="5"/>
      <c r="CL807" s="5"/>
    </row>
    <row r="808" spans="1:97" ht="26.4" customHeight="1">
      <c r="A808" s="374"/>
      <c r="B808" s="374"/>
      <c r="C808" s="374"/>
      <c r="D808" s="372"/>
      <c r="E808" s="373"/>
      <c r="F808" s="370"/>
      <c r="G808" s="215"/>
      <c r="H808" s="373"/>
      <c r="I808" s="370"/>
      <c r="J808" s="370"/>
      <c r="K808" s="370"/>
      <c r="L808" s="373"/>
      <c r="M808" s="374"/>
      <c r="N808" s="213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BK808" s="317"/>
      <c r="BL808" s="5"/>
      <c r="BM808" s="5"/>
      <c r="BN808" s="5"/>
      <c r="BO808" s="5"/>
      <c r="BP808" s="5"/>
      <c r="BQ808" s="5"/>
      <c r="BR808" s="5"/>
      <c r="BS808" s="5"/>
      <c r="BT808" s="5"/>
      <c r="BV808" s="317"/>
      <c r="CF808" s="5"/>
      <c r="CG808" s="5"/>
      <c r="CH808" s="5"/>
      <c r="CI808" s="5"/>
      <c r="CJ808" s="5"/>
      <c r="CK808" s="5"/>
      <c r="CL808" s="5"/>
    </row>
    <row r="809" spans="1:97" ht="9.65" customHeight="1">
      <c r="A809" s="374"/>
      <c r="B809" s="374"/>
      <c r="C809" s="374"/>
      <c r="D809" s="372"/>
      <c r="E809" s="373"/>
      <c r="F809" s="370"/>
      <c r="G809" s="215"/>
      <c r="H809" s="373"/>
      <c r="I809" s="233"/>
      <c r="J809" s="233"/>
      <c r="K809" s="233"/>
      <c r="L809" s="373"/>
      <c r="M809" s="374"/>
      <c r="N809" s="213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BK809" s="317"/>
      <c r="BL809" s="5"/>
      <c r="BM809" s="5"/>
      <c r="BN809" s="5"/>
      <c r="BO809" s="5"/>
      <c r="BP809" s="5"/>
      <c r="BQ809" s="5"/>
      <c r="BR809" s="5"/>
      <c r="BS809" s="5"/>
      <c r="BT809" s="5"/>
      <c r="BV809" s="317"/>
      <c r="CF809" s="5"/>
      <c r="CG809" s="5"/>
      <c r="CH809" s="5"/>
      <c r="CI809" s="5"/>
      <c r="CJ809" s="5"/>
      <c r="CK809" s="5"/>
      <c r="CL809" s="5"/>
    </row>
    <row r="810" spans="1:97" ht="10.25" customHeight="1">
      <c r="A810" s="216"/>
      <c r="B810" s="217"/>
      <c r="C810" s="218"/>
      <c r="D810" s="219"/>
      <c r="E810" s="217"/>
      <c r="F810" s="217"/>
      <c r="G810" s="217"/>
      <c r="H810" s="220"/>
      <c r="I810" s="217"/>
      <c r="J810" s="217"/>
      <c r="K810" s="217"/>
      <c r="L810" s="217"/>
      <c r="M810" s="217"/>
      <c r="N810" s="217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BA810" s="5"/>
      <c r="BB810" s="5"/>
      <c r="BC810" s="5"/>
      <c r="BD810" s="5"/>
      <c r="BE810" s="63"/>
      <c r="BF810" s="63"/>
      <c r="BG810" s="63"/>
      <c r="BK810" s="317"/>
      <c r="BL810" s="5"/>
      <c r="BM810" s="5"/>
      <c r="BN810" s="5"/>
      <c r="BO810" s="5"/>
      <c r="BP810" s="5"/>
      <c r="BQ810" s="5"/>
      <c r="BR810" s="5"/>
      <c r="BS810" s="5"/>
      <c r="BT810" s="5"/>
      <c r="BV810" s="317"/>
      <c r="CF810" s="5"/>
      <c r="CG810" s="53"/>
      <c r="CH810" s="53"/>
      <c r="CI810" s="53"/>
      <c r="CJ810" s="53"/>
      <c r="CK810" s="53"/>
      <c r="CL810" s="53"/>
      <c r="CN810" s="53"/>
      <c r="CO810" s="53"/>
      <c r="CP810" s="53"/>
      <c r="CQ810" s="53"/>
      <c r="CR810" s="53"/>
      <c r="CS810" s="53"/>
    </row>
    <row r="811" spans="1:97" ht="10.25" customHeight="1">
      <c r="A811" s="216"/>
      <c r="B811" s="217"/>
      <c r="C811" s="218"/>
      <c r="D811" s="219"/>
      <c r="E811" s="217"/>
      <c r="F811" s="217"/>
      <c r="G811" s="217"/>
      <c r="H811" s="220"/>
      <c r="I811" s="217"/>
      <c r="J811" s="217"/>
      <c r="K811" s="217"/>
      <c r="L811" s="217"/>
      <c r="M811" s="217"/>
      <c r="N811" s="217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BA811" s="5"/>
      <c r="BB811" s="5"/>
      <c r="BC811" s="5"/>
      <c r="BD811" s="5"/>
      <c r="BE811" s="63"/>
      <c r="BF811" s="63"/>
      <c r="BG811" s="63"/>
      <c r="BK811" s="317"/>
      <c r="BL811" s="5"/>
      <c r="BM811" s="5"/>
      <c r="BN811" s="5"/>
      <c r="BO811" s="5"/>
      <c r="BP811" s="5"/>
      <c r="BQ811" s="5"/>
      <c r="BR811" s="5"/>
      <c r="BS811" s="5"/>
      <c r="BT811" s="5"/>
      <c r="BV811" s="317"/>
      <c r="CF811" s="5"/>
      <c r="CG811" s="53"/>
      <c r="CH811" s="53"/>
      <c r="CI811" s="53"/>
      <c r="CJ811" s="53"/>
      <c r="CK811" s="53"/>
      <c r="CL811" s="53"/>
      <c r="CN811" s="53"/>
      <c r="CO811" s="53"/>
      <c r="CP811" s="53"/>
      <c r="CQ811" s="53"/>
      <c r="CR811" s="53"/>
      <c r="CS811" s="53"/>
    </row>
    <row r="812" spans="1:97" ht="10.25" customHeight="1">
      <c r="A812" s="216"/>
      <c r="B812" s="217"/>
      <c r="C812" s="218"/>
      <c r="D812" s="219"/>
      <c r="E812" s="217"/>
      <c r="F812" s="217"/>
      <c r="G812" s="217"/>
      <c r="H812" s="220"/>
      <c r="I812" s="217"/>
      <c r="J812" s="217"/>
      <c r="K812" s="217"/>
      <c r="L812" s="217"/>
      <c r="M812" s="217"/>
      <c r="N812" s="217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BA812" s="5"/>
      <c r="BB812" s="5"/>
      <c r="BC812" s="5"/>
      <c r="BD812" s="5"/>
      <c r="BE812" s="63"/>
      <c r="BF812" s="63"/>
      <c r="BG812" s="63"/>
      <c r="BK812" s="317"/>
      <c r="BL812" s="5"/>
      <c r="BM812" s="5"/>
      <c r="BN812" s="5"/>
      <c r="BO812" s="5"/>
      <c r="BP812" s="5"/>
      <c r="BQ812" s="5"/>
      <c r="BR812" s="5"/>
      <c r="BS812" s="5"/>
      <c r="BT812" s="5"/>
      <c r="BV812" s="317"/>
      <c r="CF812" s="5"/>
      <c r="CG812" s="53"/>
      <c r="CH812" s="53"/>
      <c r="CI812" s="53"/>
      <c r="CJ812" s="53"/>
      <c r="CK812" s="53"/>
      <c r="CL812" s="53"/>
      <c r="CN812" s="53"/>
      <c r="CO812" s="53"/>
      <c r="CP812" s="53"/>
      <c r="CQ812" s="53"/>
      <c r="CR812" s="53"/>
      <c r="CS812" s="53"/>
    </row>
    <row r="813" spans="1:97" ht="10.25" customHeight="1">
      <c r="A813" s="216"/>
      <c r="B813" s="217"/>
      <c r="C813" s="218"/>
      <c r="D813" s="219"/>
      <c r="E813" s="217"/>
      <c r="F813" s="217"/>
      <c r="G813" s="217"/>
      <c r="H813" s="220"/>
      <c r="I813" s="217"/>
      <c r="J813" s="217"/>
      <c r="K813" s="217"/>
      <c r="L813" s="217"/>
      <c r="M813" s="217"/>
      <c r="N813" s="217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BA813" s="5"/>
      <c r="BB813" s="5"/>
      <c r="BC813" s="5"/>
      <c r="BD813" s="5"/>
      <c r="BE813" s="63"/>
      <c r="BF813" s="63"/>
      <c r="BG813" s="63"/>
      <c r="BK813" s="317"/>
      <c r="BL813" s="5"/>
      <c r="BM813" s="5"/>
      <c r="BN813" s="5"/>
      <c r="BO813" s="5"/>
      <c r="BP813" s="5"/>
      <c r="BQ813" s="5"/>
      <c r="BR813" s="5"/>
      <c r="BS813" s="5"/>
      <c r="BT813" s="5"/>
      <c r="BV813" s="317"/>
      <c r="CF813" s="5"/>
      <c r="CG813" s="53"/>
      <c r="CH813" s="53"/>
      <c r="CI813" s="53"/>
      <c r="CJ813" s="53"/>
      <c r="CK813" s="53"/>
      <c r="CL813" s="53"/>
      <c r="CN813" s="53"/>
      <c r="CO813" s="53"/>
      <c r="CP813" s="53"/>
      <c r="CQ813" s="53"/>
      <c r="CR813" s="53"/>
      <c r="CS813" s="53"/>
    </row>
    <row r="814" spans="1:97" ht="10.25" customHeight="1">
      <c r="A814" s="216"/>
      <c r="B814" s="217"/>
      <c r="C814" s="218"/>
      <c r="D814" s="219"/>
      <c r="E814" s="217"/>
      <c r="F814" s="217"/>
      <c r="G814" s="217"/>
      <c r="H814" s="220"/>
      <c r="I814" s="217"/>
      <c r="J814" s="217"/>
      <c r="K814" s="217"/>
      <c r="L814" s="217"/>
      <c r="M814" s="217"/>
      <c r="N814" s="217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BA814" s="5"/>
      <c r="BB814" s="5"/>
      <c r="BC814" s="5"/>
      <c r="BD814" s="5"/>
      <c r="BE814" s="63"/>
      <c r="BF814" s="63"/>
      <c r="BG814" s="63"/>
      <c r="BK814" s="317"/>
      <c r="BL814" s="5"/>
      <c r="BM814" s="5"/>
      <c r="BN814" s="5"/>
      <c r="BO814" s="5"/>
      <c r="BP814" s="5"/>
      <c r="BQ814" s="5"/>
      <c r="BR814" s="5"/>
      <c r="BS814" s="5"/>
      <c r="BT814" s="5"/>
      <c r="BV814" s="317"/>
      <c r="CF814" s="5"/>
      <c r="CG814" s="53"/>
      <c r="CH814" s="53"/>
      <c r="CI814" s="53"/>
      <c r="CJ814" s="53"/>
      <c r="CK814" s="53"/>
      <c r="CL814" s="53"/>
      <c r="CN814" s="53"/>
      <c r="CO814" s="53"/>
      <c r="CP814" s="53"/>
      <c r="CQ814" s="53"/>
      <c r="CR814" s="53"/>
      <c r="CS814" s="53"/>
    </row>
    <row r="815" spans="1:97" ht="10.25" customHeight="1">
      <c r="A815" s="216"/>
      <c r="B815" s="217"/>
      <c r="C815" s="218"/>
      <c r="D815" s="219"/>
      <c r="E815" s="217"/>
      <c r="F815" s="217"/>
      <c r="G815" s="217"/>
      <c r="H815" s="220"/>
      <c r="I815" s="217"/>
      <c r="J815" s="217"/>
      <c r="K815" s="217"/>
      <c r="L815" s="217"/>
      <c r="M815" s="217"/>
      <c r="N815" s="217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BA815" s="5"/>
      <c r="BB815" s="5"/>
      <c r="BC815" s="5"/>
      <c r="BD815" s="5"/>
      <c r="BE815" s="63"/>
      <c r="BF815" s="63"/>
      <c r="BG815" s="63"/>
      <c r="BK815" s="317"/>
      <c r="BL815" s="5"/>
      <c r="BM815" s="5"/>
      <c r="BN815" s="5"/>
      <c r="BO815" s="5"/>
      <c r="BP815" s="5"/>
      <c r="BQ815" s="5"/>
      <c r="BR815" s="5"/>
      <c r="BS815" s="5"/>
      <c r="BT815" s="5"/>
      <c r="BV815" s="317"/>
      <c r="CF815" s="5"/>
      <c r="CG815" s="53"/>
      <c r="CH815" s="53"/>
      <c r="CI815" s="53"/>
      <c r="CJ815" s="53"/>
      <c r="CK815" s="53"/>
      <c r="CL815" s="53"/>
      <c r="CN815" s="53"/>
      <c r="CO815" s="53"/>
      <c r="CP815" s="53"/>
      <c r="CQ815" s="53"/>
      <c r="CR815" s="53"/>
      <c r="CS815" s="53"/>
    </row>
    <row r="816" spans="1:97" ht="10.25" customHeight="1">
      <c r="A816" s="216"/>
      <c r="B816" s="217"/>
      <c r="C816" s="218"/>
      <c r="D816" s="219"/>
      <c r="E816" s="217"/>
      <c r="F816" s="217"/>
      <c r="G816" s="217"/>
      <c r="H816" s="220"/>
      <c r="I816" s="217"/>
      <c r="J816" s="217"/>
      <c r="K816" s="217"/>
      <c r="L816" s="217"/>
      <c r="M816" s="217"/>
      <c r="N816" s="217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BA816" s="5"/>
      <c r="BB816" s="5"/>
      <c r="BC816" s="5"/>
      <c r="BD816" s="5"/>
      <c r="BE816" s="63"/>
      <c r="BF816" s="63"/>
      <c r="BG816" s="63"/>
      <c r="BK816" s="317"/>
      <c r="BL816" s="5"/>
      <c r="BM816" s="5"/>
      <c r="BN816" s="5"/>
      <c r="BO816" s="5"/>
      <c r="BP816" s="5"/>
      <c r="BQ816" s="5"/>
      <c r="BR816" s="5"/>
      <c r="BS816" s="5"/>
      <c r="BT816" s="5"/>
      <c r="BV816" s="317"/>
      <c r="CF816" s="5"/>
      <c r="CG816" s="53"/>
      <c r="CH816" s="53"/>
      <c r="CI816" s="53"/>
      <c r="CJ816" s="53"/>
      <c r="CK816" s="53"/>
      <c r="CL816" s="53"/>
      <c r="CN816" s="53"/>
      <c r="CO816" s="53"/>
      <c r="CP816" s="53"/>
      <c r="CQ816" s="53"/>
      <c r="CR816" s="53"/>
      <c r="CS816" s="53"/>
    </row>
    <row r="817" spans="1:103" ht="10.25" customHeight="1">
      <c r="A817" s="216"/>
      <c r="B817" s="217"/>
      <c r="C817" s="218"/>
      <c r="D817" s="219"/>
      <c r="E817" s="217"/>
      <c r="F817" s="217"/>
      <c r="G817" s="217"/>
      <c r="H817" s="220"/>
      <c r="I817" s="217"/>
      <c r="J817" s="217"/>
      <c r="K817" s="217"/>
      <c r="L817" s="217"/>
      <c r="M817" s="217"/>
      <c r="N817" s="217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W817" s="63"/>
      <c r="AX817" s="63"/>
      <c r="AY817" s="63"/>
      <c r="AZ817" s="63"/>
      <c r="BA817" s="5"/>
      <c r="BB817" s="5"/>
      <c r="BC817" s="5"/>
      <c r="BD817" s="5"/>
      <c r="BE817" s="63"/>
      <c r="BF817" s="63"/>
      <c r="BG817" s="63"/>
      <c r="BV817" s="317"/>
      <c r="CF817" s="5"/>
      <c r="CG817" s="53"/>
      <c r="CH817" s="53"/>
      <c r="CI817" s="53"/>
      <c r="CJ817" s="53"/>
      <c r="CK817" s="53"/>
      <c r="CL817" s="53"/>
      <c r="CN817" s="53"/>
      <c r="CO817" s="53"/>
      <c r="CP817" s="53"/>
      <c r="CQ817" s="53"/>
      <c r="CR817" s="53"/>
      <c r="CS817" s="53"/>
    </row>
    <row r="818" spans="1:103" ht="10.25" customHeight="1">
      <c r="A818" s="216"/>
      <c r="B818" s="217"/>
      <c r="C818" s="218"/>
      <c r="D818" s="219"/>
      <c r="E818" s="217"/>
      <c r="F818" s="217"/>
      <c r="G818" s="217"/>
      <c r="H818" s="220"/>
      <c r="I818" s="217"/>
      <c r="J818" s="217"/>
      <c r="K818" s="217"/>
      <c r="L818" s="217"/>
      <c r="M818" s="217"/>
      <c r="N818" s="217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W818" s="63"/>
      <c r="AX818" s="63"/>
      <c r="AY818" s="63"/>
      <c r="AZ818" s="63"/>
      <c r="BA818" s="5"/>
      <c r="BB818" s="5"/>
      <c r="BC818" s="5"/>
      <c r="BD818" s="5"/>
      <c r="BE818" s="63"/>
      <c r="BF818" s="63"/>
      <c r="BG818" s="63"/>
      <c r="BV818" s="317"/>
      <c r="CF818" s="5"/>
      <c r="CG818" s="53"/>
      <c r="CH818" s="53"/>
      <c r="CI818" s="53"/>
      <c r="CJ818" s="53"/>
      <c r="CK818" s="53"/>
      <c r="CL818" s="53"/>
      <c r="CN818" s="53"/>
      <c r="CO818" s="53"/>
      <c r="CP818" s="53"/>
      <c r="CQ818" s="53"/>
      <c r="CR818" s="53"/>
      <c r="CS818" s="53"/>
    </row>
    <row r="819" spans="1:103" ht="10.25" customHeight="1">
      <c r="A819" s="216"/>
      <c r="B819" s="217"/>
      <c r="C819" s="218"/>
      <c r="D819" s="219"/>
      <c r="E819" s="217"/>
      <c r="F819" s="217"/>
      <c r="G819" s="217"/>
      <c r="H819" s="220"/>
      <c r="I819" s="217"/>
      <c r="J819" s="217"/>
      <c r="K819" s="217"/>
      <c r="L819" s="217"/>
      <c r="M819" s="217"/>
      <c r="N819" s="217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W819" s="63"/>
      <c r="AX819" s="63"/>
      <c r="AY819" s="63"/>
      <c r="AZ819" s="63"/>
      <c r="BA819" s="5"/>
      <c r="BB819" s="5"/>
      <c r="BC819" s="5"/>
      <c r="BD819" s="5"/>
      <c r="BE819" s="63"/>
      <c r="BF819" s="63"/>
      <c r="BG819" s="63"/>
      <c r="BV819" s="317"/>
      <c r="CF819" s="5"/>
      <c r="CG819" s="53"/>
      <c r="CH819" s="53"/>
      <c r="CI819" s="53"/>
      <c r="CJ819" s="53"/>
      <c r="CK819" s="53"/>
      <c r="CL819" s="53"/>
      <c r="CN819" s="53"/>
      <c r="CO819" s="53"/>
      <c r="CP819" s="53"/>
      <c r="CQ819" s="53"/>
      <c r="CR819" s="53"/>
      <c r="CS819" s="53"/>
      <c r="CT819" s="5"/>
      <c r="CU819" s="5"/>
      <c r="CV819" s="5"/>
      <c r="CW819" s="5"/>
      <c r="CX819" s="5"/>
      <c r="CY819" s="5"/>
    </row>
    <row r="820" spans="1:103" ht="10.25" customHeight="1">
      <c r="A820" s="216"/>
      <c r="B820" s="217"/>
      <c r="C820" s="218"/>
      <c r="D820" s="219"/>
      <c r="E820" s="217"/>
      <c r="F820" s="217"/>
      <c r="G820" s="217"/>
      <c r="H820" s="220"/>
      <c r="I820" s="217"/>
      <c r="J820" s="217"/>
      <c r="K820" s="217"/>
      <c r="L820" s="217"/>
      <c r="M820" s="217"/>
      <c r="N820" s="217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  <c r="AK820" s="44"/>
      <c r="AL820" s="44"/>
      <c r="AM820" s="44"/>
      <c r="AN820" s="44"/>
      <c r="AO820" s="44"/>
      <c r="AP820" s="44"/>
      <c r="AQ820" s="44"/>
      <c r="AW820" s="63"/>
      <c r="AX820" s="63"/>
      <c r="AY820" s="63"/>
      <c r="AZ820" s="63"/>
      <c r="BA820" s="5"/>
      <c r="BB820" s="5"/>
      <c r="BC820" s="5"/>
      <c r="BD820" s="5"/>
      <c r="BE820" s="63"/>
      <c r="BF820" s="63"/>
      <c r="BG820" s="63"/>
      <c r="BV820" s="317"/>
      <c r="CF820" s="5"/>
      <c r="CG820" s="53"/>
      <c r="CH820" s="53"/>
      <c r="CI820" s="53"/>
      <c r="CJ820" s="53"/>
      <c r="CK820" s="53"/>
      <c r="CL820" s="53"/>
      <c r="CN820" s="53"/>
      <c r="CO820" s="53"/>
      <c r="CP820" s="53"/>
      <c r="CQ820" s="53"/>
      <c r="CR820" s="53"/>
      <c r="CS820" s="53"/>
      <c r="CT820" s="5"/>
      <c r="CU820" s="5"/>
      <c r="CV820" s="5"/>
      <c r="CW820" s="5"/>
      <c r="CX820" s="5"/>
      <c r="CY820" s="5"/>
    </row>
    <row r="821" spans="1:103" ht="10.25" customHeight="1">
      <c r="A821" s="216"/>
      <c r="B821" s="217"/>
      <c r="C821" s="218"/>
      <c r="D821" s="219"/>
      <c r="E821" s="217"/>
      <c r="F821" s="217"/>
      <c r="G821" s="217"/>
      <c r="H821" s="220"/>
      <c r="I821" s="217"/>
      <c r="J821" s="217"/>
      <c r="K821" s="217"/>
      <c r="L821" s="217"/>
      <c r="M821" s="217"/>
      <c r="N821" s="217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  <c r="AJ821" s="44"/>
      <c r="AK821" s="44"/>
      <c r="AL821" s="44"/>
      <c r="AM821" s="44"/>
      <c r="AN821" s="44"/>
      <c r="AO821" s="44"/>
      <c r="AP821" s="44"/>
      <c r="AQ821" s="44"/>
      <c r="AW821" s="63"/>
      <c r="AX821" s="63"/>
      <c r="AY821" s="63"/>
      <c r="AZ821" s="63"/>
      <c r="BA821" s="5"/>
      <c r="BB821" s="5"/>
      <c r="BC821" s="5"/>
      <c r="BD821" s="5"/>
      <c r="BE821" s="63"/>
      <c r="BF821" s="63"/>
      <c r="BG821" s="63"/>
      <c r="BV821" s="317"/>
      <c r="CF821" s="5"/>
      <c r="CG821" s="53"/>
      <c r="CH821" s="53"/>
      <c r="CI821" s="53"/>
      <c r="CJ821" s="53"/>
      <c r="CK821" s="53"/>
      <c r="CL821" s="53"/>
      <c r="CN821" s="53"/>
      <c r="CO821" s="53"/>
      <c r="CP821" s="53"/>
      <c r="CQ821" s="53"/>
      <c r="CR821" s="53"/>
      <c r="CS821" s="53"/>
      <c r="CT821" s="5"/>
      <c r="CU821" s="5"/>
      <c r="CV821" s="5"/>
      <c r="CW821" s="5"/>
      <c r="CX821" s="5"/>
      <c r="CY821" s="5"/>
    </row>
    <row r="822" spans="1:103" ht="10.25" customHeight="1">
      <c r="A822" s="216"/>
      <c r="B822" s="217"/>
      <c r="C822" s="218"/>
      <c r="D822" s="219"/>
      <c r="E822" s="217"/>
      <c r="F822" s="217"/>
      <c r="G822" s="217"/>
      <c r="H822" s="220"/>
      <c r="I822" s="217"/>
      <c r="J822" s="217"/>
      <c r="K822" s="217"/>
      <c r="L822" s="217"/>
      <c r="M822" s="217"/>
      <c r="N822" s="217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4"/>
      <c r="AP822" s="44"/>
      <c r="AQ822" s="44"/>
      <c r="BA822" s="5"/>
      <c r="BB822" s="5"/>
      <c r="BC822" s="5"/>
      <c r="BD822" s="5"/>
      <c r="BE822" s="63"/>
      <c r="BF822" s="63"/>
      <c r="BG822" s="63"/>
      <c r="BV822" s="317"/>
      <c r="CF822" s="5"/>
      <c r="CG822" s="53"/>
      <c r="CH822" s="53"/>
      <c r="CI822" s="53"/>
      <c r="CJ822" s="53"/>
      <c r="CK822" s="53"/>
      <c r="CL822" s="53"/>
      <c r="CN822" s="53"/>
      <c r="CO822" s="53"/>
      <c r="CP822" s="53"/>
      <c r="CQ822" s="53"/>
      <c r="CR822" s="53"/>
      <c r="CS822" s="53"/>
      <c r="CT822" s="5"/>
      <c r="CU822" s="5"/>
      <c r="CV822" s="5"/>
      <c r="CW822" s="5"/>
      <c r="CX822" s="5"/>
      <c r="CY822" s="5"/>
    </row>
    <row r="823" spans="1:103" ht="10.25" customHeight="1">
      <c r="A823" s="216"/>
      <c r="B823" s="217"/>
      <c r="C823" s="218"/>
      <c r="D823" s="219"/>
      <c r="E823" s="217"/>
      <c r="F823" s="217"/>
      <c r="G823" s="217"/>
      <c r="H823" s="220"/>
      <c r="I823" s="217"/>
      <c r="J823" s="217"/>
      <c r="K823" s="217"/>
      <c r="L823" s="217"/>
      <c r="M823" s="217"/>
      <c r="N823" s="217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  <c r="AJ823" s="44"/>
      <c r="AK823" s="44"/>
      <c r="AL823" s="44"/>
      <c r="AM823" s="44"/>
      <c r="AN823" s="44"/>
      <c r="AO823" s="44"/>
      <c r="AP823" s="44"/>
      <c r="AQ823" s="44"/>
      <c r="BA823" s="5"/>
      <c r="BB823" s="5"/>
      <c r="BC823" s="5"/>
      <c r="BD823" s="5"/>
      <c r="BE823" s="63"/>
      <c r="BF823" s="63"/>
      <c r="BG823" s="63"/>
      <c r="BV823" s="317"/>
      <c r="CF823" s="5"/>
      <c r="CG823" s="53"/>
      <c r="CH823" s="53"/>
      <c r="CI823" s="53"/>
      <c r="CJ823" s="53"/>
      <c r="CK823" s="53"/>
      <c r="CL823" s="53"/>
      <c r="CN823" s="53"/>
      <c r="CO823" s="53"/>
      <c r="CP823" s="53"/>
      <c r="CQ823" s="53"/>
      <c r="CR823" s="53"/>
      <c r="CS823" s="53"/>
      <c r="CT823" s="5"/>
      <c r="CU823" s="5"/>
      <c r="CV823" s="5"/>
      <c r="CW823" s="5"/>
      <c r="CX823" s="5"/>
      <c r="CY823" s="5"/>
    </row>
    <row r="824" spans="1:103" ht="10.25" customHeight="1">
      <c r="A824" s="216"/>
      <c r="B824" s="217"/>
      <c r="C824" s="218"/>
      <c r="D824" s="219"/>
      <c r="E824" s="217"/>
      <c r="F824" s="217"/>
      <c r="G824" s="217"/>
      <c r="H824" s="220"/>
      <c r="I824" s="217"/>
      <c r="J824" s="217"/>
      <c r="K824" s="217"/>
      <c r="L824" s="217"/>
      <c r="M824" s="217"/>
      <c r="N824" s="217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  <c r="AJ824" s="44"/>
      <c r="AK824" s="44"/>
      <c r="AL824" s="44"/>
      <c r="AM824" s="44"/>
      <c r="AN824" s="44"/>
      <c r="AO824" s="44"/>
      <c r="AP824" s="44"/>
      <c r="AQ824" s="44"/>
      <c r="BA824" s="5"/>
      <c r="BB824" s="5"/>
      <c r="BC824" s="5"/>
      <c r="BD824" s="5"/>
      <c r="BE824" s="63"/>
      <c r="BF824" s="63"/>
      <c r="BG824" s="63"/>
      <c r="CA824" s="317"/>
      <c r="CF824" s="5"/>
      <c r="CG824" s="53"/>
      <c r="CH824" s="53"/>
      <c r="CI824" s="53"/>
      <c r="CJ824" s="53"/>
      <c r="CK824" s="53"/>
      <c r="CL824" s="53"/>
      <c r="CN824" s="53"/>
      <c r="CO824" s="53"/>
      <c r="CP824" s="53"/>
      <c r="CQ824" s="53"/>
      <c r="CR824" s="53"/>
      <c r="CS824" s="53"/>
      <c r="CT824" s="5"/>
      <c r="CU824" s="5"/>
      <c r="CV824" s="5"/>
      <c r="CW824" s="5"/>
      <c r="CX824" s="5"/>
      <c r="CY824" s="5"/>
    </row>
    <row r="825" spans="1:103" ht="10.25" customHeight="1">
      <c r="A825" s="216"/>
      <c r="B825" s="217"/>
      <c r="C825" s="218"/>
      <c r="D825" s="219"/>
      <c r="E825" s="217"/>
      <c r="F825" s="217"/>
      <c r="G825" s="217"/>
      <c r="H825" s="220"/>
      <c r="I825" s="217"/>
      <c r="J825" s="217"/>
      <c r="K825" s="217"/>
      <c r="L825" s="217"/>
      <c r="M825" s="217"/>
      <c r="N825" s="217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4"/>
      <c r="AM825" s="44"/>
      <c r="AN825" s="44"/>
      <c r="AO825" s="44"/>
      <c r="AP825" s="44"/>
      <c r="AQ825" s="44"/>
      <c r="BA825" s="5"/>
      <c r="BB825" s="5"/>
      <c r="BC825" s="5"/>
      <c r="BD825" s="5"/>
      <c r="BE825" s="63"/>
      <c r="BF825" s="63"/>
      <c r="BG825" s="63"/>
      <c r="CA825" s="317"/>
      <c r="CF825" s="5"/>
      <c r="CG825" s="53"/>
      <c r="CH825" s="53"/>
      <c r="CI825" s="53"/>
      <c r="CJ825" s="53"/>
      <c r="CK825" s="53"/>
      <c r="CL825" s="53"/>
      <c r="CN825" s="53"/>
      <c r="CO825" s="53"/>
      <c r="CP825" s="53"/>
      <c r="CQ825" s="53"/>
      <c r="CR825" s="53"/>
      <c r="CS825" s="53"/>
      <c r="CT825" s="5"/>
      <c r="CU825" s="5"/>
      <c r="CV825" s="5"/>
      <c r="CW825" s="5"/>
      <c r="CX825" s="5"/>
      <c r="CY825" s="5"/>
    </row>
    <row r="826" spans="1:103" ht="10.25" customHeight="1">
      <c r="A826" s="216"/>
      <c r="B826" s="217"/>
      <c r="C826" s="218"/>
      <c r="D826" s="219"/>
      <c r="E826" s="217"/>
      <c r="F826" s="217"/>
      <c r="G826" s="217"/>
      <c r="H826" s="220"/>
      <c r="I826" s="217"/>
      <c r="J826" s="217"/>
      <c r="K826" s="217"/>
      <c r="L826" s="217"/>
      <c r="M826" s="217"/>
      <c r="N826" s="217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  <c r="AJ826" s="44"/>
      <c r="AK826" s="44"/>
      <c r="AL826" s="44"/>
      <c r="AM826" s="44"/>
      <c r="AN826" s="44"/>
      <c r="AO826" s="44"/>
      <c r="AP826" s="44"/>
      <c r="AQ826" s="44"/>
      <c r="BA826" s="5"/>
      <c r="BB826" s="5"/>
      <c r="BC826" s="5"/>
      <c r="BD826" s="5"/>
      <c r="BE826" s="63"/>
      <c r="BF826" s="63"/>
      <c r="BG826" s="63"/>
      <c r="CA826" s="317"/>
      <c r="CF826" s="5"/>
      <c r="CG826" s="53"/>
      <c r="CH826" s="53"/>
      <c r="CI826" s="53"/>
      <c r="CJ826" s="53"/>
      <c r="CK826" s="53"/>
      <c r="CL826" s="53"/>
      <c r="CN826" s="53"/>
      <c r="CO826" s="53"/>
      <c r="CP826" s="53"/>
      <c r="CQ826" s="53"/>
      <c r="CR826" s="53"/>
      <c r="CS826" s="53"/>
      <c r="CT826" s="5"/>
      <c r="CU826" s="5"/>
      <c r="CV826" s="5"/>
      <c r="CW826" s="5"/>
      <c r="CX826" s="5"/>
      <c r="CY826" s="5"/>
    </row>
    <row r="827" spans="1:103" ht="10.25" customHeight="1">
      <c r="A827" s="216"/>
      <c r="B827" s="217"/>
      <c r="C827" s="218"/>
      <c r="D827" s="219"/>
      <c r="E827" s="217"/>
      <c r="F827" s="217"/>
      <c r="G827" s="217"/>
      <c r="H827" s="220"/>
      <c r="I827" s="217"/>
      <c r="J827" s="217"/>
      <c r="K827" s="217"/>
      <c r="L827" s="217"/>
      <c r="M827" s="217"/>
      <c r="N827" s="217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  <c r="AJ827" s="44"/>
      <c r="AK827" s="44"/>
      <c r="AL827" s="44"/>
      <c r="AM827" s="44"/>
      <c r="AN827" s="44"/>
      <c r="AO827" s="44"/>
      <c r="AP827" s="44"/>
      <c r="AQ827" s="44"/>
      <c r="BA827" s="5"/>
      <c r="BB827" s="5"/>
      <c r="BC827" s="5"/>
      <c r="BD827" s="5"/>
      <c r="BE827" s="63"/>
      <c r="BF827" s="63"/>
      <c r="BG827" s="63"/>
      <c r="CA827" s="317"/>
      <c r="CF827" s="5"/>
      <c r="CG827" s="53"/>
      <c r="CH827" s="53"/>
      <c r="CI827" s="53"/>
      <c r="CJ827" s="53"/>
      <c r="CK827" s="53"/>
      <c r="CL827" s="53"/>
      <c r="CN827" s="53"/>
      <c r="CO827" s="53"/>
      <c r="CP827" s="53"/>
      <c r="CQ827" s="53"/>
      <c r="CR827" s="53"/>
      <c r="CS827" s="53"/>
      <c r="CT827" s="5"/>
      <c r="CU827" s="5"/>
      <c r="CV827" s="5"/>
      <c r="CW827" s="5"/>
      <c r="CX827" s="5"/>
      <c r="CY827" s="5"/>
    </row>
    <row r="828" spans="1:103" ht="10.25" customHeight="1">
      <c r="A828" s="216"/>
      <c r="B828" s="217"/>
      <c r="C828" s="218"/>
      <c r="D828" s="219"/>
      <c r="E828" s="217"/>
      <c r="F828" s="217"/>
      <c r="G828" s="217"/>
      <c r="H828" s="220"/>
      <c r="I828" s="217"/>
      <c r="J828" s="217"/>
      <c r="K828" s="217"/>
      <c r="L828" s="217"/>
      <c r="M828" s="217"/>
      <c r="N828" s="217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  <c r="AK828" s="44"/>
      <c r="AL828" s="44"/>
      <c r="AM828" s="44"/>
      <c r="AN828" s="44"/>
      <c r="AO828" s="44"/>
      <c r="AP828" s="44"/>
      <c r="AQ828" s="44"/>
      <c r="BA828" s="5"/>
      <c r="BB828" s="5"/>
      <c r="BC828" s="5"/>
      <c r="BD828" s="5"/>
      <c r="BE828" s="63"/>
      <c r="BF828" s="63"/>
      <c r="BG828" s="63"/>
      <c r="CA828" s="317"/>
      <c r="CF828" s="5"/>
      <c r="CG828" s="53"/>
      <c r="CH828" s="53"/>
      <c r="CI828" s="53"/>
      <c r="CJ828" s="53"/>
      <c r="CK828" s="53"/>
      <c r="CL828" s="53"/>
      <c r="CN828" s="53"/>
      <c r="CO828" s="53"/>
      <c r="CP828" s="53"/>
      <c r="CQ828" s="53"/>
      <c r="CR828" s="53"/>
      <c r="CS828" s="53"/>
      <c r="CT828" s="5"/>
      <c r="CU828" s="5"/>
      <c r="CV828" s="5"/>
      <c r="CW828" s="5"/>
      <c r="CX828" s="5"/>
      <c r="CY828" s="5"/>
    </row>
    <row r="829" spans="1:103" ht="10.25" customHeight="1">
      <c r="A829" s="216"/>
      <c r="B829" s="217"/>
      <c r="C829" s="218"/>
      <c r="D829" s="219"/>
      <c r="E829" s="217"/>
      <c r="F829" s="217"/>
      <c r="G829" s="217"/>
      <c r="H829" s="220"/>
      <c r="I829" s="217"/>
      <c r="J829" s="217"/>
      <c r="K829" s="217"/>
      <c r="L829" s="217"/>
      <c r="M829" s="217"/>
      <c r="N829" s="217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  <c r="AJ829" s="44"/>
      <c r="AK829" s="44"/>
      <c r="AL829" s="44"/>
      <c r="AM829" s="44"/>
      <c r="AN829" s="44"/>
      <c r="AO829" s="44"/>
      <c r="AP829" s="44"/>
      <c r="AQ829" s="44"/>
      <c r="BA829" s="5"/>
      <c r="BB829" s="5"/>
      <c r="BC829" s="5"/>
      <c r="BD829" s="5"/>
      <c r="BE829" s="63"/>
      <c r="BF829" s="63"/>
      <c r="BG829" s="63"/>
      <c r="CA829" s="317"/>
      <c r="CF829" s="5"/>
      <c r="CG829" s="53"/>
      <c r="CH829" s="53"/>
      <c r="CI829" s="53"/>
      <c r="CJ829" s="53"/>
      <c r="CK829" s="53"/>
      <c r="CL829" s="53"/>
      <c r="CN829" s="53"/>
      <c r="CO829" s="53"/>
      <c r="CP829" s="53"/>
      <c r="CQ829" s="53"/>
      <c r="CR829" s="53"/>
      <c r="CS829" s="53"/>
      <c r="CT829" s="5"/>
      <c r="CU829" s="5"/>
      <c r="CV829" s="5"/>
      <c r="CW829" s="5"/>
      <c r="CX829" s="5"/>
      <c r="CY829" s="5"/>
    </row>
    <row r="830" spans="1:103" ht="10.25" customHeight="1">
      <c r="A830" s="216"/>
      <c r="B830" s="217"/>
      <c r="C830" s="218"/>
      <c r="D830" s="219"/>
      <c r="E830" s="217"/>
      <c r="F830" s="217"/>
      <c r="G830" s="217"/>
      <c r="H830" s="220"/>
      <c r="I830" s="217"/>
      <c r="J830" s="217"/>
      <c r="K830" s="217"/>
      <c r="L830" s="217"/>
      <c r="M830" s="217"/>
      <c r="N830" s="217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  <c r="AJ830" s="44"/>
      <c r="AK830" s="44"/>
      <c r="AL830" s="44"/>
      <c r="AM830" s="44"/>
      <c r="AN830" s="44"/>
      <c r="AO830" s="44"/>
      <c r="AP830" s="44"/>
      <c r="AQ830" s="44"/>
      <c r="BA830" s="5"/>
      <c r="BB830" s="5"/>
      <c r="BC830" s="5"/>
      <c r="BD830" s="5"/>
      <c r="BE830" s="63"/>
      <c r="BF830" s="63"/>
      <c r="BG830" s="63"/>
      <c r="CA830" s="317"/>
      <c r="CF830" s="5"/>
      <c r="CG830" s="53"/>
      <c r="CH830" s="53"/>
      <c r="CI830" s="53"/>
      <c r="CJ830" s="53"/>
      <c r="CK830" s="53"/>
      <c r="CL830" s="53"/>
      <c r="CN830" s="53"/>
      <c r="CO830" s="53"/>
      <c r="CP830" s="53"/>
      <c r="CQ830" s="53"/>
      <c r="CR830" s="53"/>
      <c r="CS830" s="53"/>
      <c r="CT830" s="5"/>
      <c r="CU830" s="5"/>
      <c r="CV830" s="5"/>
      <c r="CW830" s="5"/>
      <c r="CX830" s="5"/>
      <c r="CY830" s="5"/>
    </row>
    <row r="831" spans="1:103" ht="10.25" customHeight="1">
      <c r="A831" s="216"/>
      <c r="B831" s="217"/>
      <c r="C831" s="218"/>
      <c r="D831" s="219"/>
      <c r="E831" s="217"/>
      <c r="F831" s="217"/>
      <c r="G831" s="217"/>
      <c r="H831" s="220"/>
      <c r="I831" s="217"/>
      <c r="J831" s="217"/>
      <c r="K831" s="217"/>
      <c r="L831" s="217"/>
      <c r="M831" s="217"/>
      <c r="N831" s="217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  <c r="AK831" s="44"/>
      <c r="AL831" s="44"/>
      <c r="AM831" s="44"/>
      <c r="AN831" s="44"/>
      <c r="AO831" s="44"/>
      <c r="AP831" s="44"/>
      <c r="AQ831" s="44"/>
      <c r="BA831" s="5"/>
      <c r="BB831" s="5"/>
      <c r="BC831" s="5"/>
      <c r="BD831" s="5"/>
      <c r="BE831" s="63"/>
      <c r="BF831" s="63"/>
      <c r="BG831" s="63"/>
      <c r="CA831" s="317"/>
      <c r="CF831" s="5"/>
      <c r="CG831" s="53"/>
      <c r="CH831" s="53"/>
      <c r="CI831" s="53"/>
      <c r="CJ831" s="53"/>
      <c r="CK831" s="53"/>
      <c r="CL831" s="53"/>
      <c r="CN831" s="53"/>
      <c r="CO831" s="53"/>
      <c r="CP831" s="53"/>
      <c r="CQ831" s="53"/>
      <c r="CR831" s="53"/>
      <c r="CS831" s="53"/>
      <c r="CT831" s="5"/>
      <c r="CU831" s="5"/>
      <c r="CV831" s="5"/>
      <c r="CW831" s="5"/>
      <c r="CX831" s="5"/>
      <c r="CY831" s="5"/>
    </row>
    <row r="832" spans="1:103" ht="10.25" customHeight="1">
      <c r="A832" s="216"/>
      <c r="B832" s="217"/>
      <c r="C832" s="218"/>
      <c r="D832" s="219"/>
      <c r="E832" s="217"/>
      <c r="F832" s="217"/>
      <c r="G832" s="217"/>
      <c r="H832" s="220"/>
      <c r="I832" s="217"/>
      <c r="J832" s="217"/>
      <c r="K832" s="217"/>
      <c r="L832" s="217"/>
      <c r="M832" s="217"/>
      <c r="N832" s="217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  <c r="AK832" s="44"/>
      <c r="AL832" s="44"/>
      <c r="AM832" s="44"/>
      <c r="AN832" s="44"/>
      <c r="AO832" s="44"/>
      <c r="AP832" s="44"/>
      <c r="AQ832" s="44"/>
      <c r="BA832" s="5"/>
      <c r="BB832" s="5"/>
      <c r="BC832" s="5"/>
      <c r="BD832" s="5"/>
      <c r="BE832" s="63"/>
      <c r="BF832" s="63"/>
      <c r="BG832" s="63"/>
      <c r="CA832" s="317"/>
      <c r="CF832" s="5"/>
      <c r="CG832" s="53"/>
      <c r="CH832" s="53"/>
      <c r="CI832" s="53"/>
      <c r="CJ832" s="53"/>
      <c r="CK832" s="53"/>
      <c r="CL832" s="53"/>
      <c r="CN832" s="53"/>
      <c r="CO832" s="53"/>
      <c r="CP832" s="53"/>
      <c r="CQ832" s="53"/>
      <c r="CR832" s="53"/>
      <c r="CS832" s="53"/>
      <c r="CT832" s="5"/>
      <c r="CU832" s="5"/>
      <c r="CV832" s="5"/>
      <c r="CW832" s="5"/>
      <c r="CX832" s="5"/>
      <c r="CY832" s="5"/>
    </row>
    <row r="833" spans="1:103" ht="10.25" customHeight="1">
      <c r="A833" s="216"/>
      <c r="B833" s="217"/>
      <c r="C833" s="218"/>
      <c r="D833" s="219"/>
      <c r="E833" s="217"/>
      <c r="F833" s="217"/>
      <c r="G833" s="217"/>
      <c r="H833" s="220"/>
      <c r="I833" s="217"/>
      <c r="J833" s="217"/>
      <c r="K833" s="217"/>
      <c r="L833" s="217"/>
      <c r="M833" s="217"/>
      <c r="N833" s="217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  <c r="AJ833" s="44"/>
      <c r="AK833" s="44"/>
      <c r="AL833" s="44"/>
      <c r="AM833" s="44"/>
      <c r="AN833" s="44"/>
      <c r="AO833" s="44"/>
      <c r="AP833" s="44"/>
      <c r="AQ833" s="44"/>
      <c r="BA833" s="5"/>
      <c r="BB833" s="5"/>
      <c r="BC833" s="5"/>
      <c r="BD833" s="5"/>
      <c r="BE833" s="63"/>
      <c r="BF833" s="63"/>
      <c r="BG833" s="63"/>
      <c r="CA833" s="317"/>
      <c r="CF833" s="5"/>
      <c r="CG833" s="53"/>
      <c r="CH833" s="53"/>
      <c r="CI833" s="53"/>
      <c r="CJ833" s="53"/>
      <c r="CK833" s="53"/>
      <c r="CL833" s="53"/>
      <c r="CN833" s="53"/>
      <c r="CO833" s="53"/>
      <c r="CP833" s="53"/>
      <c r="CQ833" s="53"/>
      <c r="CR833" s="53"/>
      <c r="CS833" s="53"/>
      <c r="CT833" s="5"/>
      <c r="CU833" s="5"/>
      <c r="CV833" s="5"/>
      <c r="CW833" s="5"/>
      <c r="CX833" s="5"/>
      <c r="CY833" s="5"/>
    </row>
    <row r="834" spans="1:103" ht="10.25" customHeight="1">
      <c r="A834" s="216"/>
      <c r="B834" s="217"/>
      <c r="C834" s="218"/>
      <c r="D834" s="219"/>
      <c r="E834" s="217"/>
      <c r="F834" s="217"/>
      <c r="G834" s="217"/>
      <c r="H834" s="220"/>
      <c r="I834" s="217"/>
      <c r="J834" s="217"/>
      <c r="K834" s="217"/>
      <c r="L834" s="217"/>
      <c r="M834" s="217"/>
      <c r="N834" s="217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  <c r="AK834" s="44"/>
      <c r="AL834" s="44"/>
      <c r="AM834" s="44"/>
      <c r="AN834" s="44"/>
      <c r="AO834" s="44"/>
      <c r="AP834" s="44"/>
      <c r="AQ834" s="44"/>
      <c r="BA834" s="5"/>
      <c r="BB834" s="5"/>
      <c r="BC834" s="5"/>
      <c r="BD834" s="5"/>
      <c r="BE834" s="63"/>
      <c r="BF834" s="63"/>
      <c r="BG834" s="63"/>
      <c r="CA834" s="317"/>
      <c r="CF834" s="5"/>
      <c r="CG834" s="53"/>
      <c r="CH834" s="53"/>
      <c r="CI834" s="53"/>
      <c r="CJ834" s="53"/>
      <c r="CK834" s="53"/>
      <c r="CL834" s="53"/>
      <c r="CN834" s="53"/>
      <c r="CO834" s="53"/>
      <c r="CP834" s="53"/>
      <c r="CQ834" s="53"/>
      <c r="CR834" s="53"/>
      <c r="CS834" s="53"/>
      <c r="CT834" s="5"/>
      <c r="CU834" s="5"/>
      <c r="CV834" s="5"/>
      <c r="CW834" s="5"/>
      <c r="CX834" s="5"/>
      <c r="CY834" s="5"/>
    </row>
    <row r="835" spans="1:103" ht="10.25" customHeight="1">
      <c r="A835" s="216"/>
      <c r="B835" s="217"/>
      <c r="C835" s="218"/>
      <c r="D835" s="219"/>
      <c r="E835" s="217"/>
      <c r="F835" s="217"/>
      <c r="G835" s="217"/>
      <c r="H835" s="220"/>
      <c r="I835" s="217"/>
      <c r="J835" s="217"/>
      <c r="K835" s="217"/>
      <c r="L835" s="217"/>
      <c r="M835" s="217"/>
      <c r="N835" s="217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  <c r="AJ835" s="44"/>
      <c r="AK835" s="44"/>
      <c r="AL835" s="44"/>
      <c r="AM835" s="44"/>
      <c r="AN835" s="44"/>
      <c r="AO835" s="44"/>
      <c r="AP835" s="44"/>
      <c r="AQ835" s="44"/>
      <c r="BA835" s="5"/>
      <c r="BB835" s="5"/>
      <c r="BC835" s="5"/>
      <c r="BD835" s="5"/>
      <c r="BE835" s="63"/>
      <c r="BF835" s="63"/>
      <c r="BG835" s="63"/>
      <c r="CA835" s="317"/>
      <c r="CF835" s="5"/>
      <c r="CG835" s="53"/>
      <c r="CH835" s="53"/>
      <c r="CI835" s="53"/>
      <c r="CJ835" s="53"/>
      <c r="CK835" s="53"/>
      <c r="CL835" s="53"/>
      <c r="CN835" s="53"/>
      <c r="CO835" s="53"/>
      <c r="CP835" s="53"/>
      <c r="CQ835" s="53"/>
      <c r="CR835" s="53"/>
      <c r="CS835" s="53"/>
      <c r="CT835" s="5"/>
      <c r="CU835" s="5"/>
      <c r="CV835" s="5"/>
      <c r="CW835" s="5"/>
      <c r="CX835" s="5"/>
      <c r="CY835" s="5"/>
    </row>
    <row r="836" spans="1:103" ht="10.25" customHeight="1">
      <c r="A836" s="216"/>
      <c r="B836" s="217"/>
      <c r="C836" s="218"/>
      <c r="D836" s="219"/>
      <c r="E836" s="217"/>
      <c r="F836" s="217"/>
      <c r="G836" s="217"/>
      <c r="H836" s="220"/>
      <c r="I836" s="217"/>
      <c r="J836" s="217"/>
      <c r="K836" s="217"/>
      <c r="L836" s="217"/>
      <c r="M836" s="217"/>
      <c r="N836" s="217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  <c r="AJ836" s="44"/>
      <c r="AK836" s="44"/>
      <c r="AL836" s="44"/>
      <c r="AM836" s="44"/>
      <c r="AN836" s="44"/>
      <c r="AO836" s="44"/>
      <c r="AP836" s="44"/>
      <c r="AQ836" s="44"/>
      <c r="BA836" s="5"/>
      <c r="BB836" s="5"/>
      <c r="BC836" s="5"/>
      <c r="BD836" s="5"/>
      <c r="BE836" s="63"/>
      <c r="BF836" s="63"/>
      <c r="BG836" s="63"/>
      <c r="CA836" s="256"/>
      <c r="CB836" s="261"/>
      <c r="CC836" s="261"/>
      <c r="CD836" s="261"/>
      <c r="CE836" s="261"/>
      <c r="CF836" s="255"/>
      <c r="CG836" s="53"/>
      <c r="CH836" s="53"/>
      <c r="CI836" s="53"/>
      <c r="CJ836" s="53"/>
      <c r="CK836" s="53"/>
      <c r="CL836" s="53"/>
      <c r="CN836" s="53"/>
      <c r="CO836" s="53"/>
      <c r="CP836" s="53"/>
      <c r="CQ836" s="53"/>
      <c r="CR836" s="53"/>
      <c r="CS836" s="53"/>
      <c r="CT836" s="261"/>
      <c r="CU836" s="255"/>
      <c r="CV836" s="261"/>
      <c r="CW836" s="261"/>
      <c r="CX836" s="261"/>
      <c r="CY836" s="255"/>
    </row>
    <row r="837" spans="1:103" ht="10.25" customHeight="1">
      <c r="A837" s="216"/>
      <c r="B837" s="217"/>
      <c r="C837" s="218"/>
      <c r="D837" s="219"/>
      <c r="E837" s="217"/>
      <c r="F837" s="217"/>
      <c r="G837" s="217"/>
      <c r="H837" s="220"/>
      <c r="I837" s="217"/>
      <c r="J837" s="217"/>
      <c r="K837" s="217"/>
      <c r="L837" s="217"/>
      <c r="M837" s="217"/>
      <c r="N837" s="217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  <c r="AJ837" s="44"/>
      <c r="AK837" s="44"/>
      <c r="AL837" s="44"/>
      <c r="AM837" s="44"/>
      <c r="AN837" s="44"/>
      <c r="AO837" s="44"/>
      <c r="AP837" s="44"/>
      <c r="AQ837" s="44"/>
      <c r="BA837" s="5"/>
      <c r="BB837" s="5"/>
      <c r="BC837" s="5"/>
      <c r="BD837" s="5"/>
      <c r="BE837" s="63"/>
      <c r="BF837" s="63"/>
      <c r="BG837" s="63"/>
      <c r="CA837" s="256"/>
      <c r="CB837" s="261"/>
      <c r="CC837" s="261"/>
      <c r="CD837" s="261"/>
      <c r="CE837" s="261"/>
      <c r="CF837" s="255"/>
      <c r="CG837" s="53"/>
      <c r="CH837" s="53"/>
      <c r="CI837" s="53"/>
      <c r="CJ837" s="53"/>
      <c r="CK837" s="53"/>
      <c r="CL837" s="53"/>
      <c r="CN837" s="53"/>
      <c r="CO837" s="53"/>
      <c r="CP837" s="53"/>
      <c r="CQ837" s="53"/>
      <c r="CR837" s="53"/>
      <c r="CS837" s="53"/>
      <c r="CT837" s="261"/>
      <c r="CU837" s="255"/>
      <c r="CV837" s="261"/>
      <c r="CW837" s="261"/>
      <c r="CX837" s="261"/>
      <c r="CY837" s="255"/>
    </row>
    <row r="838" spans="1:103" ht="10.25" customHeight="1">
      <c r="A838" s="216"/>
      <c r="B838" s="217"/>
      <c r="C838" s="218"/>
      <c r="D838" s="219"/>
      <c r="E838" s="217"/>
      <c r="F838" s="217"/>
      <c r="G838" s="217"/>
      <c r="H838" s="220"/>
      <c r="I838" s="217"/>
      <c r="J838" s="217"/>
      <c r="K838" s="217"/>
      <c r="L838" s="217"/>
      <c r="M838" s="217"/>
      <c r="N838" s="217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  <c r="AJ838" s="44"/>
      <c r="AK838" s="44"/>
      <c r="AL838" s="44"/>
      <c r="AM838" s="44"/>
      <c r="AN838" s="44"/>
      <c r="AO838" s="44"/>
      <c r="AP838" s="44"/>
      <c r="AQ838" s="44"/>
      <c r="BA838" s="5"/>
      <c r="BB838" s="5"/>
      <c r="BC838" s="5"/>
      <c r="BD838" s="5"/>
      <c r="BE838" s="63"/>
      <c r="BF838" s="63"/>
      <c r="BG838" s="63"/>
      <c r="CA838" s="256"/>
      <c r="CB838" s="261"/>
      <c r="CC838" s="261"/>
      <c r="CD838" s="261"/>
      <c r="CE838" s="261"/>
      <c r="CF838" s="255"/>
      <c r="CG838" s="53"/>
      <c r="CH838" s="53"/>
      <c r="CI838" s="53"/>
      <c r="CJ838" s="53"/>
      <c r="CK838" s="53"/>
      <c r="CL838" s="53"/>
      <c r="CN838" s="53"/>
      <c r="CO838" s="53"/>
      <c r="CP838" s="53"/>
      <c r="CQ838" s="53"/>
      <c r="CR838" s="53"/>
      <c r="CS838" s="53"/>
      <c r="CT838" s="261"/>
      <c r="CU838" s="255"/>
      <c r="CV838" s="261"/>
      <c r="CW838" s="255"/>
      <c r="CX838" s="261"/>
      <c r="CY838" s="255"/>
    </row>
    <row r="839" spans="1:103" ht="10.25" customHeight="1">
      <c r="A839" s="216"/>
      <c r="B839" s="217"/>
      <c r="C839" s="218"/>
      <c r="D839" s="219"/>
      <c r="E839" s="217"/>
      <c r="F839" s="217"/>
      <c r="G839" s="217"/>
      <c r="H839" s="220"/>
      <c r="I839" s="217"/>
      <c r="J839" s="217"/>
      <c r="K839" s="217"/>
      <c r="L839" s="217"/>
      <c r="M839" s="217"/>
      <c r="N839" s="217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  <c r="AJ839" s="44"/>
      <c r="AK839" s="44"/>
      <c r="AL839" s="44"/>
      <c r="AM839" s="44"/>
      <c r="AN839" s="44"/>
      <c r="AO839" s="44"/>
      <c r="AP839" s="44"/>
      <c r="AQ839" s="44"/>
      <c r="BA839" s="5"/>
      <c r="BB839" s="5"/>
      <c r="BC839" s="5"/>
      <c r="BD839" s="5"/>
      <c r="BE839" s="63"/>
      <c r="BF839" s="63"/>
      <c r="BG839" s="63"/>
      <c r="CA839" s="256"/>
      <c r="CB839" s="261"/>
      <c r="CC839" s="261"/>
      <c r="CD839" s="261"/>
      <c r="CE839" s="261"/>
      <c r="CF839" s="255"/>
      <c r="CG839" s="53"/>
      <c r="CH839" s="53"/>
      <c r="CI839" s="53"/>
      <c r="CJ839" s="53"/>
      <c r="CK839" s="53"/>
      <c r="CL839" s="53"/>
      <c r="CN839" s="53"/>
      <c r="CO839" s="53"/>
      <c r="CP839" s="53"/>
      <c r="CQ839" s="53"/>
      <c r="CR839" s="53"/>
      <c r="CS839" s="53"/>
      <c r="CT839" s="261"/>
      <c r="CU839" s="255"/>
      <c r="CV839" s="255"/>
      <c r="CW839" s="261"/>
      <c r="CX839" s="261"/>
      <c r="CY839" s="255"/>
    </row>
    <row r="840" spans="1:103" ht="10.25" customHeight="1">
      <c r="A840" s="216"/>
      <c r="B840" s="217"/>
      <c r="C840" s="218"/>
      <c r="D840" s="219"/>
      <c r="E840" s="217"/>
      <c r="F840" s="217"/>
      <c r="G840" s="217"/>
      <c r="H840" s="220"/>
      <c r="I840" s="217"/>
      <c r="J840" s="217"/>
      <c r="K840" s="217"/>
      <c r="L840" s="217"/>
      <c r="M840" s="217"/>
      <c r="N840" s="217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  <c r="AK840" s="44"/>
      <c r="AL840" s="44"/>
      <c r="AM840" s="44"/>
      <c r="AN840" s="44"/>
      <c r="AO840" s="44"/>
      <c r="AP840" s="44"/>
      <c r="AQ840" s="44"/>
      <c r="BA840" s="5"/>
      <c r="BB840" s="5"/>
      <c r="BC840" s="5"/>
      <c r="BD840" s="5"/>
      <c r="BE840" s="63"/>
      <c r="BF840" s="63"/>
      <c r="BG840" s="63"/>
      <c r="CA840" s="256"/>
      <c r="CB840" s="261"/>
      <c r="CC840" s="261"/>
      <c r="CD840" s="261"/>
      <c r="CE840" s="261"/>
      <c r="CF840" s="255"/>
      <c r="CG840" s="53"/>
      <c r="CH840" s="53"/>
      <c r="CI840" s="53"/>
      <c r="CJ840" s="53"/>
      <c r="CK840" s="53"/>
      <c r="CL840" s="53"/>
      <c r="CN840" s="53"/>
      <c r="CO840" s="53"/>
      <c r="CP840" s="53"/>
      <c r="CQ840" s="53"/>
      <c r="CR840" s="53"/>
      <c r="CS840" s="53"/>
      <c r="CT840" s="261"/>
      <c r="CU840" s="255"/>
      <c r="CV840" s="261"/>
      <c r="CW840" s="255"/>
      <c r="CX840" s="261"/>
      <c r="CY840" s="255"/>
    </row>
    <row r="841" spans="1:103" ht="10.25" customHeight="1">
      <c r="A841" s="216"/>
      <c r="B841" s="217"/>
      <c r="C841" s="218"/>
      <c r="D841" s="219"/>
      <c r="E841" s="217"/>
      <c r="F841" s="217"/>
      <c r="G841" s="217"/>
      <c r="H841" s="220"/>
      <c r="I841" s="217"/>
      <c r="J841" s="217"/>
      <c r="K841" s="217"/>
      <c r="L841" s="217"/>
      <c r="M841" s="217"/>
      <c r="N841" s="217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  <c r="AJ841" s="44"/>
      <c r="AK841" s="44"/>
      <c r="AL841" s="44"/>
      <c r="AM841" s="44"/>
      <c r="AN841" s="44"/>
      <c r="AO841" s="44"/>
      <c r="AP841" s="44"/>
      <c r="AQ841" s="44"/>
      <c r="BA841" s="5"/>
      <c r="BB841" s="5"/>
      <c r="BC841" s="5"/>
      <c r="BD841" s="5"/>
      <c r="BE841" s="63"/>
      <c r="BF841" s="63"/>
      <c r="BG841" s="63"/>
      <c r="CA841" s="256"/>
      <c r="CB841" s="261"/>
      <c r="CC841" s="261"/>
      <c r="CD841" s="261"/>
      <c r="CE841" s="255"/>
      <c r="CF841" s="261"/>
      <c r="CG841" s="53"/>
      <c r="CH841" s="53"/>
      <c r="CI841" s="53"/>
      <c r="CJ841" s="53"/>
      <c r="CK841" s="53"/>
      <c r="CL841" s="53"/>
      <c r="CN841" s="53"/>
      <c r="CO841" s="53"/>
      <c r="CP841" s="53"/>
      <c r="CQ841" s="53"/>
      <c r="CR841" s="53"/>
      <c r="CS841" s="53"/>
      <c r="CT841" s="255"/>
      <c r="CU841" s="261"/>
      <c r="CV841" s="255"/>
      <c r="CW841" s="261"/>
      <c r="CX841" s="261"/>
      <c r="CY841" s="255"/>
    </row>
    <row r="842" spans="1:103" ht="10.25" customHeight="1">
      <c r="A842" s="216"/>
      <c r="B842" s="217"/>
      <c r="C842" s="218"/>
      <c r="D842" s="219"/>
      <c r="E842" s="217"/>
      <c r="F842" s="217"/>
      <c r="G842" s="217"/>
      <c r="H842" s="220"/>
      <c r="I842" s="217"/>
      <c r="J842" s="217"/>
      <c r="K842" s="217"/>
      <c r="L842" s="217"/>
      <c r="M842" s="217"/>
      <c r="N842" s="217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BA842" s="5"/>
      <c r="BB842" s="5"/>
      <c r="BC842" s="5"/>
      <c r="BD842" s="5"/>
      <c r="BE842" s="63"/>
      <c r="BF842" s="63"/>
      <c r="BG842" s="63"/>
      <c r="CA842" s="256"/>
      <c r="CB842" s="261"/>
      <c r="CC842" s="261"/>
      <c r="CD842" s="261"/>
      <c r="CE842" s="255"/>
      <c r="CF842" s="261"/>
      <c r="CG842" s="53"/>
      <c r="CH842" s="53"/>
      <c r="CI842" s="53"/>
      <c r="CJ842" s="53"/>
      <c r="CK842" s="53"/>
      <c r="CL842" s="53"/>
      <c r="CN842" s="53"/>
      <c r="CO842" s="53"/>
      <c r="CP842" s="53"/>
      <c r="CQ842" s="53"/>
      <c r="CR842" s="53"/>
      <c r="CS842" s="53"/>
      <c r="CT842" s="255"/>
      <c r="CU842" s="261"/>
      <c r="CV842" s="261"/>
      <c r="CW842" s="255"/>
      <c r="CX842" s="261"/>
      <c r="CY842" s="255"/>
    </row>
    <row r="843" spans="1:103" ht="10.25" customHeight="1">
      <c r="A843" s="216"/>
      <c r="B843" s="217"/>
      <c r="C843" s="218"/>
      <c r="D843" s="219"/>
      <c r="E843" s="217"/>
      <c r="F843" s="217"/>
      <c r="G843" s="217"/>
      <c r="H843" s="220"/>
      <c r="I843" s="217"/>
      <c r="J843" s="217"/>
      <c r="K843" s="217"/>
      <c r="L843" s="217"/>
      <c r="M843" s="217"/>
      <c r="N843" s="217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BA843" s="5"/>
      <c r="BB843" s="5"/>
      <c r="BC843" s="5"/>
      <c r="BD843" s="5"/>
      <c r="BE843" s="63"/>
      <c r="BF843" s="63"/>
      <c r="BG843" s="63"/>
      <c r="CA843" s="256"/>
      <c r="CB843" s="261"/>
      <c r="CC843" s="261"/>
      <c r="CD843" s="255"/>
      <c r="CE843" s="261"/>
      <c r="CF843" s="261"/>
      <c r="CG843" s="53"/>
      <c r="CH843" s="53"/>
      <c r="CI843" s="53"/>
      <c r="CJ843" s="53"/>
      <c r="CK843" s="53"/>
      <c r="CL843" s="53"/>
      <c r="CN843" s="53"/>
      <c r="CO843" s="53"/>
      <c r="CP843" s="53"/>
      <c r="CQ843" s="53"/>
      <c r="CR843" s="53"/>
      <c r="CS843" s="53"/>
      <c r="CT843" s="261"/>
      <c r="CU843" s="261"/>
      <c r="CV843" s="255"/>
      <c r="CW843" s="261"/>
      <c r="CX843" s="261"/>
      <c r="CY843" s="255"/>
    </row>
    <row r="844" spans="1:103" ht="10.25" customHeight="1">
      <c r="A844" s="216"/>
      <c r="B844" s="217"/>
      <c r="C844" s="218"/>
      <c r="D844" s="219"/>
      <c r="E844" s="217"/>
      <c r="F844" s="217"/>
      <c r="G844" s="217"/>
      <c r="H844" s="220"/>
      <c r="I844" s="217"/>
      <c r="J844" s="217"/>
      <c r="K844" s="217"/>
      <c r="L844" s="217"/>
      <c r="M844" s="217"/>
      <c r="N844" s="217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  <c r="AJ844" s="44"/>
      <c r="AK844" s="44"/>
      <c r="AL844" s="44"/>
      <c r="AM844" s="44"/>
      <c r="AN844" s="44"/>
      <c r="AO844" s="44"/>
      <c r="AP844" s="44"/>
      <c r="AQ844" s="44"/>
      <c r="BA844" s="5"/>
      <c r="BB844" s="5"/>
      <c r="BC844" s="5"/>
      <c r="BD844" s="5"/>
      <c r="BE844" s="63"/>
      <c r="BF844" s="63"/>
      <c r="BG844" s="63"/>
      <c r="CA844" s="256"/>
      <c r="CB844" s="261"/>
      <c r="CC844" s="261"/>
      <c r="CD844" s="255"/>
      <c r="CE844" s="261"/>
      <c r="CF844" s="261"/>
      <c r="CG844" s="53"/>
      <c r="CH844" s="53"/>
      <c r="CI844" s="53"/>
      <c r="CJ844" s="53"/>
      <c r="CK844" s="53"/>
      <c r="CL844" s="53"/>
      <c r="CN844" s="53"/>
      <c r="CO844" s="53"/>
      <c r="CP844" s="53"/>
      <c r="CQ844" s="53"/>
      <c r="CR844" s="53"/>
      <c r="CS844" s="53"/>
      <c r="CT844" s="261"/>
      <c r="CU844" s="261"/>
      <c r="CV844" s="261"/>
      <c r="CW844" s="255"/>
      <c r="CX844" s="261"/>
      <c r="CY844" s="255"/>
    </row>
    <row r="845" spans="1:103" ht="10.25" customHeight="1">
      <c r="A845" s="216"/>
      <c r="B845" s="217"/>
      <c r="C845" s="218"/>
      <c r="D845" s="219"/>
      <c r="E845" s="217"/>
      <c r="F845" s="217"/>
      <c r="G845" s="217"/>
      <c r="H845" s="220"/>
      <c r="I845" s="217"/>
      <c r="J845" s="217"/>
      <c r="K845" s="217"/>
      <c r="L845" s="217"/>
      <c r="M845" s="217"/>
      <c r="N845" s="217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44"/>
      <c r="AL845" s="44"/>
      <c r="AM845" s="44"/>
      <c r="AN845" s="44"/>
      <c r="AO845" s="44"/>
      <c r="AP845" s="44"/>
      <c r="AQ845" s="44"/>
      <c r="BA845" s="5"/>
      <c r="BB845" s="5"/>
      <c r="BC845" s="5"/>
      <c r="BD845" s="5"/>
      <c r="BE845" s="63"/>
      <c r="BF845" s="63"/>
      <c r="BG845" s="63"/>
      <c r="CA845" s="256"/>
      <c r="CB845" s="261"/>
      <c r="CC845" s="261"/>
      <c r="CD845" s="255"/>
      <c r="CE845" s="261"/>
      <c r="CF845" s="261"/>
      <c r="CG845" s="53"/>
      <c r="CH845" s="53"/>
      <c r="CI845" s="53"/>
      <c r="CJ845" s="53"/>
      <c r="CK845" s="53"/>
      <c r="CL845" s="53"/>
      <c r="CN845" s="53"/>
      <c r="CO845" s="53"/>
      <c r="CP845" s="53"/>
      <c r="CQ845" s="53"/>
      <c r="CR845" s="53"/>
      <c r="CS845" s="53"/>
      <c r="CT845" s="261"/>
      <c r="CU845" s="261"/>
      <c r="CV845" s="261"/>
      <c r="CW845" s="261"/>
      <c r="CX845" s="261"/>
      <c r="CY845" s="255"/>
    </row>
    <row r="846" spans="1:103" ht="10.25" customHeight="1">
      <c r="A846" s="216"/>
      <c r="B846" s="217"/>
      <c r="C846" s="218"/>
      <c r="D846" s="219"/>
      <c r="E846" s="217"/>
      <c r="F846" s="217"/>
      <c r="G846" s="217"/>
      <c r="H846" s="220"/>
      <c r="I846" s="217"/>
      <c r="J846" s="217"/>
      <c r="K846" s="217"/>
      <c r="L846" s="217"/>
      <c r="M846" s="217"/>
      <c r="N846" s="217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BA846" s="5"/>
      <c r="BB846" s="5"/>
      <c r="BC846" s="5"/>
      <c r="BD846" s="5"/>
      <c r="BE846" s="63"/>
      <c r="BF846" s="63"/>
      <c r="BG846" s="63"/>
      <c r="CA846" s="256"/>
      <c r="CB846" s="261"/>
      <c r="CC846" s="261"/>
      <c r="CD846" s="261"/>
      <c r="CE846" s="261"/>
      <c r="CF846" s="261"/>
      <c r="CG846" s="53"/>
      <c r="CH846" s="53"/>
      <c r="CI846" s="53"/>
      <c r="CJ846" s="53"/>
      <c r="CK846" s="53"/>
      <c r="CL846" s="53"/>
      <c r="CN846" s="53"/>
      <c r="CO846" s="53"/>
      <c r="CP846" s="53"/>
      <c r="CQ846" s="53"/>
      <c r="CR846" s="53"/>
      <c r="CS846" s="53"/>
      <c r="CT846" s="261"/>
      <c r="CU846" s="261"/>
      <c r="CV846" s="255"/>
      <c r="CW846" s="255"/>
      <c r="CX846" s="261"/>
      <c r="CY846" s="255"/>
    </row>
    <row r="847" spans="1:103" ht="10.25" customHeight="1">
      <c r="A847" s="216"/>
      <c r="B847" s="217"/>
      <c r="C847" s="218"/>
      <c r="D847" s="219"/>
      <c r="E847" s="217"/>
      <c r="F847" s="217"/>
      <c r="G847" s="217"/>
      <c r="H847" s="220"/>
      <c r="I847" s="217"/>
      <c r="J847" s="217"/>
      <c r="K847" s="217"/>
      <c r="L847" s="217"/>
      <c r="M847" s="217"/>
      <c r="N847" s="217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BA847" s="5"/>
      <c r="BB847" s="5"/>
      <c r="BC847" s="5"/>
      <c r="BD847" s="5"/>
      <c r="BE847" s="63"/>
      <c r="BF847" s="63"/>
      <c r="BG847" s="63"/>
      <c r="CA847" s="256"/>
      <c r="CB847" s="261"/>
      <c r="CC847" s="261"/>
      <c r="CD847" s="261"/>
      <c r="CE847" s="261"/>
      <c r="CF847" s="261"/>
      <c r="CG847" s="53"/>
      <c r="CH847" s="53"/>
      <c r="CI847" s="53"/>
      <c r="CJ847" s="53"/>
      <c r="CK847" s="53"/>
      <c r="CL847" s="53"/>
      <c r="CN847" s="53"/>
      <c r="CO847" s="53"/>
      <c r="CP847" s="53"/>
      <c r="CQ847" s="53"/>
      <c r="CR847" s="53"/>
      <c r="CS847" s="53"/>
      <c r="CT847" s="261"/>
      <c r="CU847" s="261"/>
      <c r="CV847" s="261"/>
      <c r="CW847" s="261"/>
      <c r="CX847" s="261"/>
      <c r="CY847" s="255"/>
    </row>
    <row r="848" spans="1:103" ht="10.25" customHeight="1">
      <c r="A848" s="216"/>
      <c r="B848" s="217"/>
      <c r="C848" s="218"/>
      <c r="D848" s="219"/>
      <c r="E848" s="217"/>
      <c r="F848" s="217"/>
      <c r="G848" s="217"/>
      <c r="H848" s="220"/>
      <c r="I848" s="217"/>
      <c r="J848" s="217"/>
      <c r="K848" s="217"/>
      <c r="L848" s="217"/>
      <c r="M848" s="217"/>
      <c r="N848" s="217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BA848" s="5"/>
      <c r="BB848" s="5"/>
      <c r="BC848" s="5"/>
      <c r="BD848" s="5"/>
      <c r="BE848" s="63"/>
      <c r="BF848" s="63"/>
      <c r="BG848" s="63"/>
      <c r="CA848" s="256"/>
      <c r="CB848" s="261"/>
      <c r="CC848" s="261"/>
      <c r="CD848" s="261"/>
      <c r="CE848" s="261"/>
      <c r="CF848" s="261"/>
      <c r="CG848" s="53"/>
      <c r="CH848" s="53"/>
      <c r="CI848" s="53"/>
      <c r="CJ848" s="53"/>
      <c r="CK848" s="53"/>
      <c r="CL848" s="53"/>
      <c r="CN848" s="53"/>
      <c r="CO848" s="53"/>
      <c r="CP848" s="53"/>
      <c r="CQ848" s="53"/>
      <c r="CR848" s="53"/>
      <c r="CS848" s="53"/>
      <c r="CT848" s="261"/>
      <c r="CU848" s="261"/>
      <c r="CV848" s="255"/>
      <c r="CW848" s="255"/>
      <c r="CX848" s="261"/>
      <c r="CY848" s="255"/>
    </row>
    <row r="849" spans="1:103" ht="10.25" customHeight="1">
      <c r="A849" s="216"/>
      <c r="B849" s="217"/>
      <c r="C849" s="218"/>
      <c r="D849" s="219"/>
      <c r="E849" s="217"/>
      <c r="F849" s="217"/>
      <c r="G849" s="217"/>
      <c r="H849" s="220"/>
      <c r="I849" s="217"/>
      <c r="J849" s="217"/>
      <c r="K849" s="217"/>
      <c r="L849" s="217"/>
      <c r="M849" s="217"/>
      <c r="N849" s="217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BA849" s="5"/>
      <c r="BB849" s="5"/>
      <c r="BC849" s="5"/>
      <c r="BD849" s="5"/>
      <c r="BE849" s="63"/>
      <c r="BF849" s="63"/>
      <c r="BG849" s="63"/>
      <c r="CA849" s="256"/>
      <c r="CB849" s="261"/>
      <c r="CC849" s="261"/>
      <c r="CD849" s="261"/>
      <c r="CE849" s="261"/>
      <c r="CF849" s="261"/>
      <c r="CG849" s="53"/>
      <c r="CH849" s="53"/>
      <c r="CI849" s="53"/>
      <c r="CJ849" s="53"/>
      <c r="CK849" s="53"/>
      <c r="CL849" s="53"/>
      <c r="CN849" s="53"/>
      <c r="CO849" s="53"/>
      <c r="CP849" s="53"/>
      <c r="CQ849" s="53"/>
      <c r="CR849" s="53"/>
      <c r="CS849" s="53"/>
      <c r="CT849" s="261"/>
      <c r="CU849" s="261"/>
      <c r="CV849" s="261"/>
      <c r="CW849" s="261"/>
      <c r="CX849" s="255"/>
      <c r="CY849" s="255"/>
    </row>
    <row r="850" spans="1:103" ht="10.25" customHeight="1">
      <c r="A850" s="216"/>
      <c r="B850" s="217"/>
      <c r="C850" s="218"/>
      <c r="D850" s="219"/>
      <c r="E850" s="217"/>
      <c r="F850" s="217"/>
      <c r="G850" s="217"/>
      <c r="H850" s="220"/>
      <c r="I850" s="217"/>
      <c r="J850" s="217"/>
      <c r="K850" s="217"/>
      <c r="L850" s="217"/>
      <c r="M850" s="217"/>
      <c r="N850" s="217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BA850" s="5"/>
      <c r="BB850" s="5"/>
      <c r="BC850" s="5"/>
      <c r="BD850" s="5"/>
      <c r="BE850" s="63"/>
      <c r="BF850" s="63"/>
      <c r="BG850" s="63"/>
      <c r="CA850" s="256"/>
      <c r="CB850" s="261"/>
      <c r="CC850" s="261"/>
      <c r="CD850" s="261"/>
      <c r="CE850" s="261"/>
      <c r="CF850" s="261"/>
      <c r="CG850" s="53"/>
      <c r="CH850" s="53"/>
      <c r="CI850" s="53"/>
      <c r="CJ850" s="53"/>
      <c r="CK850" s="53"/>
      <c r="CL850" s="53"/>
      <c r="CN850" s="53"/>
      <c r="CO850" s="53"/>
      <c r="CP850" s="53"/>
      <c r="CQ850" s="53"/>
      <c r="CR850" s="53"/>
      <c r="CS850" s="53"/>
      <c r="CT850" s="261"/>
      <c r="CU850" s="261"/>
      <c r="CV850" s="255"/>
      <c r="CW850" s="255"/>
      <c r="CX850" s="261"/>
      <c r="CY850" s="255"/>
    </row>
    <row r="851" spans="1:103" ht="10.25" customHeight="1">
      <c r="A851" s="216"/>
      <c r="B851" s="217"/>
      <c r="C851" s="218"/>
      <c r="D851" s="219"/>
      <c r="E851" s="217"/>
      <c r="F851" s="217"/>
      <c r="G851" s="217"/>
      <c r="H851" s="220"/>
      <c r="I851" s="217"/>
      <c r="J851" s="217"/>
      <c r="K851" s="217"/>
      <c r="L851" s="217"/>
      <c r="M851" s="217"/>
      <c r="N851" s="217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BA851" s="5"/>
      <c r="BB851" s="5"/>
      <c r="BC851" s="5"/>
      <c r="BD851" s="5"/>
      <c r="BE851" s="63"/>
      <c r="BF851" s="63"/>
      <c r="BG851" s="63"/>
      <c r="CA851" s="256"/>
      <c r="CB851" s="261"/>
      <c r="CC851" s="261"/>
      <c r="CD851" s="261"/>
      <c r="CE851" s="261"/>
      <c r="CF851" s="261"/>
      <c r="CG851" s="53"/>
      <c r="CH851" s="53"/>
      <c r="CI851" s="53"/>
      <c r="CJ851" s="53"/>
      <c r="CK851" s="53"/>
      <c r="CL851" s="53"/>
      <c r="CN851" s="53"/>
      <c r="CO851" s="53"/>
      <c r="CP851" s="53"/>
      <c r="CQ851" s="53"/>
      <c r="CR851" s="53"/>
      <c r="CS851" s="53"/>
      <c r="CT851" s="261"/>
      <c r="CU851" s="261"/>
      <c r="CV851" s="261"/>
      <c r="CW851" s="261"/>
      <c r="CX851" s="261"/>
      <c r="CY851" s="255"/>
    </row>
    <row r="852" spans="1:103" ht="10.25" customHeight="1">
      <c r="A852" s="216"/>
      <c r="B852" s="217"/>
      <c r="C852" s="218"/>
      <c r="D852" s="219"/>
      <c r="E852" s="217"/>
      <c r="F852" s="217"/>
      <c r="G852" s="217"/>
      <c r="H852" s="220"/>
      <c r="I852" s="217"/>
      <c r="J852" s="217"/>
      <c r="K852" s="217"/>
      <c r="L852" s="217"/>
      <c r="M852" s="217"/>
      <c r="N852" s="217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BA852" s="5"/>
      <c r="BB852" s="5"/>
      <c r="BC852" s="5"/>
      <c r="BD852" s="5"/>
      <c r="BE852" s="63"/>
      <c r="BF852" s="63"/>
      <c r="BG852" s="63"/>
      <c r="CA852" s="256"/>
      <c r="CB852" s="261"/>
      <c r="CC852" s="261"/>
      <c r="CD852" s="261"/>
      <c r="CE852" s="261"/>
      <c r="CF852" s="261"/>
      <c r="CG852" s="53"/>
      <c r="CH852" s="53"/>
      <c r="CI852" s="53"/>
      <c r="CJ852" s="53"/>
      <c r="CK852" s="53"/>
      <c r="CL852" s="53"/>
      <c r="CN852" s="53"/>
      <c r="CO852" s="53"/>
      <c r="CP852" s="53"/>
      <c r="CQ852" s="53"/>
      <c r="CR852" s="53"/>
      <c r="CS852" s="53"/>
      <c r="CT852" s="261"/>
      <c r="CU852" s="261"/>
      <c r="CV852" s="261"/>
      <c r="CW852" s="255"/>
      <c r="CX852" s="261"/>
      <c r="CY852" s="255"/>
    </row>
    <row r="853" spans="1:103" ht="10.25" customHeight="1">
      <c r="A853" s="216"/>
      <c r="B853" s="217"/>
      <c r="C853" s="218"/>
      <c r="D853" s="219"/>
      <c r="E853" s="217"/>
      <c r="F853" s="217"/>
      <c r="G853" s="217"/>
      <c r="H853" s="220"/>
      <c r="I853" s="217"/>
      <c r="J853" s="217"/>
      <c r="K853" s="217"/>
      <c r="L853" s="217"/>
      <c r="M853" s="217"/>
      <c r="N853" s="217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BA853" s="5"/>
      <c r="BB853" s="5"/>
      <c r="BC853" s="5"/>
      <c r="BD853" s="5"/>
      <c r="BE853" s="63"/>
      <c r="BF853" s="63"/>
      <c r="BG853" s="63"/>
      <c r="CA853" s="256"/>
      <c r="CB853" s="261"/>
      <c r="CC853" s="261"/>
      <c r="CD853" s="261"/>
      <c r="CE853" s="261"/>
      <c r="CF853" s="261"/>
      <c r="CG853" s="53"/>
      <c r="CH853" s="53"/>
      <c r="CI853" s="53"/>
      <c r="CJ853" s="53"/>
      <c r="CK853" s="53"/>
      <c r="CL853" s="53"/>
      <c r="CN853" s="53"/>
      <c r="CO853" s="53"/>
      <c r="CP853" s="53"/>
      <c r="CQ853" s="53"/>
      <c r="CR853" s="53"/>
      <c r="CS853" s="53"/>
      <c r="CT853" s="261"/>
      <c r="CU853" s="261"/>
      <c r="CV853" s="261"/>
      <c r="CW853" s="261"/>
      <c r="CX853" s="261"/>
      <c r="CY853" s="255"/>
    </row>
    <row r="854" spans="1:103" ht="10.25" customHeight="1">
      <c r="A854" s="216"/>
      <c r="B854" s="217"/>
      <c r="C854" s="218"/>
      <c r="D854" s="219"/>
      <c r="E854" s="217"/>
      <c r="F854" s="217"/>
      <c r="G854" s="217"/>
      <c r="H854" s="220"/>
      <c r="I854" s="217"/>
      <c r="J854" s="217"/>
      <c r="K854" s="217"/>
      <c r="L854" s="217"/>
      <c r="M854" s="217"/>
      <c r="N854" s="217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BA854" s="5"/>
      <c r="BB854" s="5"/>
      <c r="BC854" s="5"/>
      <c r="BD854" s="5"/>
      <c r="BE854" s="63"/>
      <c r="BF854" s="63"/>
      <c r="BG854" s="63"/>
      <c r="CA854" s="256"/>
      <c r="CB854" s="261"/>
      <c r="CC854" s="261"/>
      <c r="CD854" s="261"/>
      <c r="CE854" s="261"/>
      <c r="CF854" s="261"/>
      <c r="CG854" s="53"/>
      <c r="CH854" s="53"/>
      <c r="CI854" s="53"/>
      <c r="CJ854" s="53"/>
      <c r="CK854" s="53"/>
      <c r="CL854" s="53"/>
      <c r="CN854" s="53"/>
      <c r="CO854" s="53"/>
      <c r="CP854" s="53"/>
      <c r="CQ854" s="53"/>
      <c r="CR854" s="53"/>
      <c r="CS854" s="53"/>
      <c r="CT854" s="261"/>
      <c r="CU854" s="261"/>
      <c r="CV854" s="255"/>
      <c r="CW854" s="255"/>
      <c r="CX854" s="261"/>
      <c r="CY854" s="255"/>
    </row>
    <row r="855" spans="1:103" ht="10.25" customHeight="1">
      <c r="A855" s="216"/>
      <c r="B855" s="217"/>
      <c r="C855" s="218"/>
      <c r="D855" s="219"/>
      <c r="E855" s="217"/>
      <c r="F855" s="217"/>
      <c r="G855" s="217"/>
      <c r="H855" s="220"/>
      <c r="I855" s="217"/>
      <c r="J855" s="217"/>
      <c r="K855" s="217"/>
      <c r="L855" s="217"/>
      <c r="M855" s="217"/>
      <c r="N855" s="217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BA855" s="5"/>
      <c r="BB855" s="5"/>
      <c r="BC855" s="5"/>
      <c r="BD855" s="5"/>
      <c r="BE855" s="63"/>
      <c r="BF855" s="63"/>
      <c r="BG855" s="63"/>
      <c r="CA855" s="256"/>
      <c r="CB855" s="261"/>
      <c r="CC855" s="261"/>
      <c r="CD855" s="261"/>
      <c r="CE855" s="261"/>
      <c r="CF855" s="261"/>
      <c r="CG855" s="53"/>
      <c r="CH855" s="53"/>
      <c r="CI855" s="53"/>
      <c r="CJ855" s="53"/>
      <c r="CK855" s="53"/>
      <c r="CL855" s="53"/>
      <c r="CN855" s="53"/>
      <c r="CO855" s="53"/>
      <c r="CP855" s="53"/>
      <c r="CQ855" s="53"/>
      <c r="CR855" s="53"/>
      <c r="CS855" s="53"/>
      <c r="CT855" s="261"/>
      <c r="CU855" s="261"/>
      <c r="CV855" s="261"/>
      <c r="CW855" s="261"/>
      <c r="CX855" s="261"/>
      <c r="CY855" s="255"/>
    </row>
    <row r="856" spans="1:103" ht="10.25" customHeight="1">
      <c r="A856" s="216"/>
      <c r="B856" s="217"/>
      <c r="C856" s="218"/>
      <c r="D856" s="219"/>
      <c r="E856" s="217"/>
      <c r="F856" s="217"/>
      <c r="G856" s="217"/>
      <c r="H856" s="220"/>
      <c r="I856" s="217"/>
      <c r="J856" s="217"/>
      <c r="K856" s="217"/>
      <c r="L856" s="217"/>
      <c r="M856" s="217"/>
      <c r="N856" s="217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BA856" s="5"/>
      <c r="BB856" s="5"/>
      <c r="BC856" s="5"/>
      <c r="BD856" s="5"/>
      <c r="BE856" s="63"/>
      <c r="BF856" s="63"/>
      <c r="BG856" s="63"/>
      <c r="CA856" s="256"/>
      <c r="CB856" s="261"/>
      <c r="CC856" s="261"/>
      <c r="CD856" s="261"/>
      <c r="CE856" s="261"/>
      <c r="CF856" s="261"/>
      <c r="CG856" s="53"/>
      <c r="CH856" s="53"/>
      <c r="CI856" s="53"/>
      <c r="CJ856" s="53"/>
      <c r="CK856" s="53"/>
      <c r="CL856" s="53"/>
      <c r="CN856" s="53"/>
      <c r="CO856" s="53"/>
      <c r="CP856" s="53"/>
      <c r="CQ856" s="53"/>
      <c r="CR856" s="53"/>
      <c r="CS856" s="53"/>
      <c r="CT856" s="261"/>
      <c r="CU856" s="261"/>
      <c r="CV856" s="255"/>
      <c r="CW856" s="255"/>
      <c r="CX856" s="255"/>
      <c r="CY856" s="255"/>
    </row>
    <row r="857" spans="1:103" ht="10.25" customHeight="1">
      <c r="A857" s="216"/>
      <c r="B857" s="217"/>
      <c r="C857" s="218"/>
      <c r="D857" s="219"/>
      <c r="E857" s="217"/>
      <c r="F857" s="217"/>
      <c r="G857" s="217"/>
      <c r="H857" s="220"/>
      <c r="I857" s="217"/>
      <c r="J857" s="217"/>
      <c r="K857" s="217"/>
      <c r="L857" s="217"/>
      <c r="M857" s="217"/>
      <c r="N857" s="217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BA857" s="5"/>
      <c r="BB857" s="5"/>
      <c r="BC857" s="5"/>
      <c r="BD857" s="5"/>
      <c r="BE857" s="63"/>
      <c r="BF857" s="63"/>
      <c r="BG857" s="63"/>
      <c r="CA857" s="256"/>
      <c r="CB857" s="261"/>
      <c r="CC857" s="261"/>
      <c r="CD857" s="261"/>
      <c r="CE857" s="261"/>
      <c r="CF857" s="261"/>
      <c r="CG857" s="53"/>
      <c r="CH857" s="53"/>
      <c r="CI857" s="53"/>
      <c r="CJ857" s="53"/>
      <c r="CK857" s="53"/>
      <c r="CL857" s="53"/>
      <c r="CN857" s="53"/>
      <c r="CO857" s="53"/>
      <c r="CP857" s="53"/>
      <c r="CQ857" s="53"/>
      <c r="CR857" s="53"/>
      <c r="CS857" s="53"/>
      <c r="CT857" s="261"/>
      <c r="CU857" s="261"/>
      <c r="CV857" s="261"/>
      <c r="CW857" s="255"/>
      <c r="CX857" s="261"/>
      <c r="CY857" s="255"/>
    </row>
    <row r="858" spans="1:103" ht="10.25" customHeight="1">
      <c r="A858" s="216"/>
      <c r="B858" s="217"/>
      <c r="C858" s="218"/>
      <c r="D858" s="219"/>
      <c r="E858" s="217"/>
      <c r="F858" s="217"/>
      <c r="G858" s="217"/>
      <c r="H858" s="220"/>
      <c r="I858" s="217"/>
      <c r="J858" s="217"/>
      <c r="K858" s="217"/>
      <c r="L858" s="217"/>
      <c r="M858" s="217"/>
      <c r="N858" s="217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BA858" s="5"/>
      <c r="BB858" s="5"/>
      <c r="BC858" s="5"/>
      <c r="BD858" s="5"/>
      <c r="BE858" s="63"/>
      <c r="BF858" s="63"/>
      <c r="BG858" s="63"/>
      <c r="CA858" s="256"/>
      <c r="CB858" s="261"/>
      <c r="CC858" s="261"/>
      <c r="CD858" s="261"/>
      <c r="CE858" s="261"/>
      <c r="CF858" s="261"/>
      <c r="CG858" s="53"/>
      <c r="CH858" s="53"/>
      <c r="CI858" s="53"/>
      <c r="CJ858" s="53"/>
      <c r="CK858" s="53"/>
      <c r="CL858" s="53"/>
      <c r="CN858" s="53"/>
      <c r="CO858" s="53"/>
      <c r="CP858" s="53"/>
      <c r="CQ858" s="53"/>
      <c r="CR858" s="53"/>
      <c r="CS858" s="53"/>
      <c r="CT858" s="261"/>
      <c r="CU858" s="261"/>
      <c r="CV858" s="255"/>
      <c r="CW858" s="255"/>
      <c r="CX858" s="261"/>
      <c r="CY858" s="255"/>
    </row>
    <row r="859" spans="1:103" ht="10.25" customHeight="1">
      <c r="A859" s="216"/>
      <c r="B859" s="217"/>
      <c r="C859" s="218"/>
      <c r="D859" s="219"/>
      <c r="E859" s="217"/>
      <c r="F859" s="217"/>
      <c r="G859" s="217"/>
      <c r="H859" s="220"/>
      <c r="I859" s="217"/>
      <c r="J859" s="217"/>
      <c r="K859" s="217"/>
      <c r="L859" s="217"/>
      <c r="M859" s="217"/>
      <c r="N859" s="217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BA859" s="5"/>
      <c r="BB859" s="5"/>
      <c r="BC859" s="5"/>
      <c r="BD859" s="5"/>
      <c r="BE859" s="63"/>
      <c r="BF859" s="63"/>
      <c r="BG859" s="63"/>
      <c r="CA859" s="256"/>
      <c r="CB859" s="261"/>
      <c r="CC859" s="261"/>
      <c r="CD859" s="261"/>
      <c r="CE859" s="261"/>
      <c r="CF859" s="261"/>
      <c r="CG859" s="53"/>
      <c r="CH859" s="53"/>
      <c r="CI859" s="53"/>
      <c r="CJ859" s="53"/>
      <c r="CK859" s="53"/>
      <c r="CL859" s="53"/>
      <c r="CN859" s="53"/>
      <c r="CO859" s="53"/>
      <c r="CP859" s="53"/>
      <c r="CQ859" s="53"/>
      <c r="CR859" s="53"/>
      <c r="CS859" s="53"/>
      <c r="CT859" s="261"/>
      <c r="CU859" s="261"/>
      <c r="CV859" s="261"/>
      <c r="CW859" s="261"/>
      <c r="CX859" s="261"/>
      <c r="CY859" s="255"/>
    </row>
    <row r="860" spans="1:103" ht="10.25" customHeight="1">
      <c r="A860" s="216"/>
      <c r="B860" s="217"/>
      <c r="C860" s="218"/>
      <c r="D860" s="219"/>
      <c r="E860" s="217"/>
      <c r="F860" s="217"/>
      <c r="G860" s="217"/>
      <c r="H860" s="220"/>
      <c r="I860" s="217"/>
      <c r="J860" s="217"/>
      <c r="K860" s="217"/>
      <c r="L860" s="217"/>
      <c r="M860" s="217"/>
      <c r="N860" s="217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  <c r="AJ860" s="44"/>
      <c r="AK860" s="44"/>
      <c r="AL860" s="44"/>
      <c r="AM860" s="44"/>
      <c r="AN860" s="44"/>
      <c r="AO860" s="44"/>
      <c r="AP860" s="44"/>
      <c r="AQ860" s="44"/>
      <c r="BA860" s="5"/>
      <c r="BB860" s="5"/>
      <c r="BC860" s="5"/>
      <c r="BD860" s="5"/>
      <c r="BE860" s="63"/>
      <c r="BF860" s="63"/>
      <c r="BG860" s="63"/>
      <c r="CA860" s="256"/>
      <c r="CB860" s="261"/>
      <c r="CC860" s="261"/>
      <c r="CD860" s="261"/>
      <c r="CE860" s="261"/>
      <c r="CF860" s="261"/>
      <c r="CG860" s="53"/>
      <c r="CH860" s="53"/>
      <c r="CI860" s="53"/>
      <c r="CJ860" s="53"/>
      <c r="CK860" s="53"/>
      <c r="CL860" s="53"/>
      <c r="CN860" s="53"/>
      <c r="CO860" s="53"/>
      <c r="CP860" s="53"/>
      <c r="CQ860" s="53"/>
      <c r="CR860" s="53"/>
      <c r="CS860" s="53"/>
      <c r="CT860" s="261"/>
      <c r="CU860" s="261"/>
      <c r="CV860" s="255"/>
      <c r="CW860" s="255"/>
      <c r="CX860" s="261"/>
      <c r="CY860" s="255"/>
    </row>
    <row r="861" spans="1:103" ht="10.25" customHeight="1">
      <c r="A861" s="216"/>
      <c r="B861" s="217"/>
      <c r="C861" s="218"/>
      <c r="D861" s="219"/>
      <c r="E861" s="217"/>
      <c r="F861" s="217"/>
      <c r="G861" s="217"/>
      <c r="H861" s="220"/>
      <c r="I861" s="217"/>
      <c r="J861" s="217"/>
      <c r="K861" s="217"/>
      <c r="L861" s="217"/>
      <c r="M861" s="217"/>
      <c r="N861" s="217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  <c r="AJ861" s="44"/>
      <c r="AK861" s="44"/>
      <c r="AL861" s="44"/>
      <c r="AM861" s="44"/>
      <c r="AN861" s="44"/>
      <c r="AO861" s="44"/>
      <c r="AP861" s="44"/>
      <c r="AQ861" s="44"/>
      <c r="BA861" s="5"/>
      <c r="BB861" s="5"/>
      <c r="BC861" s="5"/>
      <c r="BD861" s="5"/>
      <c r="BE861" s="63"/>
      <c r="BF861" s="63"/>
      <c r="BG861" s="63"/>
      <c r="CA861" s="256"/>
      <c r="CB861" s="261"/>
      <c r="CC861" s="261"/>
      <c r="CD861" s="261"/>
      <c r="CE861" s="261"/>
      <c r="CF861" s="255"/>
      <c r="CG861" s="53"/>
      <c r="CH861" s="53"/>
      <c r="CI861" s="53"/>
      <c r="CJ861" s="53"/>
      <c r="CK861" s="53"/>
      <c r="CL861" s="53"/>
      <c r="CN861" s="53"/>
      <c r="CO861" s="53"/>
      <c r="CP861" s="53"/>
      <c r="CQ861" s="53"/>
      <c r="CR861" s="53"/>
      <c r="CS861" s="53"/>
      <c r="CT861" s="261"/>
      <c r="CU861" s="255"/>
      <c r="CV861" s="261"/>
      <c r="CW861" s="261"/>
      <c r="CX861" s="261"/>
      <c r="CY861" s="255"/>
    </row>
    <row r="862" spans="1:103" ht="10.25" customHeight="1">
      <c r="A862" s="216"/>
      <c r="B862" s="217"/>
      <c r="C862" s="218"/>
      <c r="D862" s="219"/>
      <c r="E862" s="217"/>
      <c r="F862" s="217"/>
      <c r="G862" s="217"/>
      <c r="H862" s="220"/>
      <c r="I862" s="217"/>
      <c r="J862" s="217"/>
      <c r="K862" s="217"/>
      <c r="L862" s="217"/>
      <c r="M862" s="217"/>
      <c r="N862" s="217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  <c r="AJ862" s="44"/>
      <c r="AK862" s="44"/>
      <c r="AL862" s="44"/>
      <c r="AM862" s="44"/>
      <c r="AN862" s="44"/>
      <c r="AO862" s="44"/>
      <c r="AP862" s="44"/>
      <c r="AQ862" s="44"/>
      <c r="BA862" s="5"/>
      <c r="BB862" s="5"/>
      <c r="BC862" s="5"/>
      <c r="BD862" s="5"/>
      <c r="BE862" s="63"/>
      <c r="BF862" s="63"/>
      <c r="BG862" s="63"/>
      <c r="CA862" s="256"/>
      <c r="CB862" s="261"/>
      <c r="CC862" s="261"/>
      <c r="CD862" s="261"/>
      <c r="CE862" s="261"/>
      <c r="CF862" s="255"/>
      <c r="CG862" s="53"/>
      <c r="CH862" s="53"/>
      <c r="CI862" s="53"/>
      <c r="CJ862" s="53"/>
      <c r="CK862" s="53"/>
      <c r="CL862" s="53"/>
      <c r="CN862" s="53"/>
      <c r="CO862" s="53"/>
      <c r="CP862" s="53"/>
      <c r="CQ862" s="53"/>
      <c r="CR862" s="53"/>
      <c r="CS862" s="53"/>
      <c r="CT862" s="261"/>
      <c r="CU862" s="255"/>
      <c r="CV862" s="255"/>
      <c r="CW862" s="255"/>
      <c r="CX862" s="261"/>
      <c r="CY862" s="255"/>
    </row>
    <row r="863" spans="1:103" ht="10.25" customHeight="1">
      <c r="A863" s="216"/>
      <c r="B863" s="217"/>
      <c r="C863" s="218"/>
      <c r="D863" s="219"/>
      <c r="E863" s="217"/>
      <c r="F863" s="217"/>
      <c r="G863" s="217"/>
      <c r="H863" s="220"/>
      <c r="I863" s="217"/>
      <c r="J863" s="217"/>
      <c r="K863" s="217"/>
      <c r="L863" s="217"/>
      <c r="M863" s="217"/>
      <c r="N863" s="217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4"/>
      <c r="AM863" s="44"/>
      <c r="AN863" s="44"/>
      <c r="AO863" s="44"/>
      <c r="AP863" s="44"/>
      <c r="AQ863" s="44"/>
      <c r="BA863" s="5"/>
      <c r="BB863" s="5"/>
      <c r="BC863" s="5"/>
      <c r="BD863" s="5"/>
      <c r="BE863" s="63"/>
      <c r="BF863" s="63"/>
      <c r="BG863" s="63"/>
      <c r="CA863" s="256"/>
      <c r="CB863" s="261"/>
      <c r="CC863" s="261"/>
      <c r="CD863" s="261"/>
      <c r="CE863" s="255"/>
      <c r="CF863" s="261"/>
      <c r="CG863" s="53"/>
      <c r="CH863" s="53"/>
      <c r="CI863" s="53"/>
      <c r="CJ863" s="53"/>
      <c r="CK863" s="53"/>
      <c r="CL863" s="53"/>
      <c r="CN863" s="53"/>
      <c r="CO863" s="53"/>
      <c r="CP863" s="53"/>
      <c r="CQ863" s="53"/>
      <c r="CR863" s="53"/>
      <c r="CS863" s="53"/>
      <c r="CT863" s="255"/>
      <c r="CU863" s="261"/>
      <c r="CV863" s="261"/>
      <c r="CW863" s="261"/>
      <c r="CX863" s="261"/>
      <c r="CY863" s="255"/>
    </row>
    <row r="864" spans="1:103" ht="10.25" customHeight="1">
      <c r="A864" s="216"/>
      <c r="B864" s="217"/>
      <c r="C864" s="218"/>
      <c r="D864" s="219"/>
      <c r="E864" s="217"/>
      <c r="F864" s="217"/>
      <c r="G864" s="217"/>
      <c r="H864" s="220"/>
      <c r="I864" s="217"/>
      <c r="J864" s="217"/>
      <c r="K864" s="217"/>
      <c r="L864" s="217"/>
      <c r="M864" s="217"/>
      <c r="N864" s="217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  <c r="AJ864" s="44"/>
      <c r="AK864" s="44"/>
      <c r="AL864" s="44"/>
      <c r="AM864" s="44"/>
      <c r="AN864" s="44"/>
      <c r="AO864" s="44"/>
      <c r="AP864" s="44"/>
      <c r="AQ864" s="44"/>
      <c r="BA864" s="5"/>
      <c r="BB864" s="5"/>
      <c r="BC864" s="5"/>
      <c r="BD864" s="5"/>
      <c r="BE864" s="63"/>
      <c r="BF864" s="63"/>
      <c r="BG864" s="63"/>
      <c r="CA864" s="256"/>
      <c r="CB864" s="261"/>
      <c r="CC864" s="261"/>
      <c r="CD864" s="261"/>
      <c r="CE864" s="255"/>
      <c r="CF864" s="261"/>
      <c r="CG864" s="53"/>
      <c r="CH864" s="53"/>
      <c r="CI864" s="53"/>
      <c r="CJ864" s="53"/>
      <c r="CK864" s="53"/>
      <c r="CL864" s="53"/>
      <c r="CN864" s="53"/>
      <c r="CO864" s="53"/>
      <c r="CP864" s="53"/>
      <c r="CQ864" s="53"/>
      <c r="CR864" s="53"/>
      <c r="CS864" s="53"/>
      <c r="CT864" s="255"/>
      <c r="CU864" s="261"/>
      <c r="CV864" s="255"/>
      <c r="CW864" s="255"/>
      <c r="CX864" s="261"/>
      <c r="CY864" s="255"/>
    </row>
    <row r="865" spans="1:103" ht="10.25" customHeight="1">
      <c r="A865" s="216"/>
      <c r="B865" s="217"/>
      <c r="C865" s="218"/>
      <c r="D865" s="219"/>
      <c r="E865" s="217"/>
      <c r="F865" s="217"/>
      <c r="G865" s="217"/>
      <c r="H865" s="220"/>
      <c r="I865" s="217"/>
      <c r="J865" s="217"/>
      <c r="K865" s="217"/>
      <c r="L865" s="217"/>
      <c r="M865" s="217"/>
      <c r="N865" s="217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  <c r="AJ865" s="44"/>
      <c r="AK865" s="44"/>
      <c r="AL865" s="44"/>
      <c r="AM865" s="44"/>
      <c r="AN865" s="44"/>
      <c r="AO865" s="44"/>
      <c r="AP865" s="44"/>
      <c r="AQ865" s="44"/>
      <c r="BA865" s="5"/>
      <c r="BB865" s="5"/>
      <c r="BC865" s="5"/>
      <c r="BD865" s="5"/>
      <c r="BE865" s="63"/>
      <c r="BF865" s="63"/>
      <c r="BG865" s="63"/>
      <c r="CA865" s="256"/>
      <c r="CB865" s="261"/>
      <c r="CC865" s="261"/>
      <c r="CD865" s="261"/>
      <c r="CE865" s="261"/>
      <c r="CF865" s="261"/>
      <c r="CG865" s="53"/>
      <c r="CH865" s="53"/>
      <c r="CI865" s="53"/>
      <c r="CJ865" s="53"/>
      <c r="CK865" s="53"/>
      <c r="CL865" s="53"/>
      <c r="CN865" s="53"/>
      <c r="CO865" s="53"/>
      <c r="CP865" s="53"/>
      <c r="CQ865" s="53"/>
      <c r="CR865" s="53"/>
      <c r="CS865" s="53"/>
      <c r="CT865" s="261"/>
      <c r="CU865" s="261"/>
      <c r="CV865" s="261"/>
      <c r="CW865" s="261"/>
      <c r="CX865" s="255"/>
      <c r="CY865" s="255"/>
    </row>
    <row r="866" spans="1:103" ht="10.25" customHeight="1">
      <c r="A866" s="216"/>
      <c r="B866" s="217"/>
      <c r="C866" s="218"/>
      <c r="D866" s="219"/>
      <c r="E866" s="217"/>
      <c r="F866" s="217"/>
      <c r="G866" s="217"/>
      <c r="H866" s="220"/>
      <c r="I866" s="217"/>
      <c r="J866" s="217"/>
      <c r="K866" s="217"/>
      <c r="L866" s="217"/>
      <c r="M866" s="217"/>
      <c r="N866" s="217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  <c r="AJ866" s="44"/>
      <c r="AK866" s="44"/>
      <c r="AL866" s="44"/>
      <c r="AM866" s="44"/>
      <c r="AN866" s="44"/>
      <c r="AO866" s="44"/>
      <c r="AP866" s="44"/>
      <c r="AQ866" s="44"/>
      <c r="BA866" s="5"/>
      <c r="BB866" s="5"/>
      <c r="BC866" s="5"/>
      <c r="BD866" s="5"/>
      <c r="BE866" s="63"/>
      <c r="BF866" s="63"/>
      <c r="BG866" s="63"/>
      <c r="CA866" s="256"/>
      <c r="CB866" s="261"/>
      <c r="CC866" s="261"/>
      <c r="CD866" s="261"/>
      <c r="CE866" s="261"/>
      <c r="CF866" s="261"/>
      <c r="CG866" s="53"/>
      <c r="CH866" s="53"/>
      <c r="CI866" s="53"/>
      <c r="CJ866" s="53"/>
      <c r="CK866" s="53"/>
      <c r="CL866" s="53"/>
      <c r="CN866" s="53"/>
      <c r="CO866" s="53"/>
      <c r="CP866" s="53"/>
      <c r="CQ866" s="53"/>
      <c r="CR866" s="53"/>
      <c r="CS866" s="53"/>
      <c r="CT866" s="261"/>
      <c r="CU866" s="261"/>
      <c r="CV866" s="255"/>
      <c r="CW866" s="255"/>
      <c r="CX866" s="261"/>
      <c r="CY866" s="255"/>
    </row>
    <row r="867" spans="1:103" ht="10.25" customHeight="1">
      <c r="A867" s="216"/>
      <c r="B867" s="217"/>
      <c r="C867" s="218"/>
      <c r="D867" s="219"/>
      <c r="E867" s="217"/>
      <c r="F867" s="217"/>
      <c r="G867" s="217"/>
      <c r="H867" s="220"/>
      <c r="I867" s="217"/>
      <c r="J867" s="217"/>
      <c r="K867" s="217"/>
      <c r="L867" s="217"/>
      <c r="M867" s="217"/>
      <c r="N867" s="217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  <c r="AJ867" s="44"/>
      <c r="AK867" s="44"/>
      <c r="AL867" s="44"/>
      <c r="AM867" s="44"/>
      <c r="AN867" s="44"/>
      <c r="AO867" s="44"/>
      <c r="AP867" s="44"/>
      <c r="AQ867" s="44"/>
      <c r="BA867" s="5"/>
      <c r="BB867" s="5"/>
      <c r="BC867" s="5"/>
      <c r="BD867" s="5"/>
      <c r="BE867" s="63"/>
      <c r="BF867" s="63"/>
      <c r="BG867" s="63"/>
      <c r="CA867" s="256"/>
      <c r="CB867" s="261"/>
      <c r="CC867" s="261"/>
      <c r="CD867" s="261"/>
      <c r="CE867" s="261"/>
      <c r="CF867" s="261"/>
      <c r="CG867" s="53"/>
      <c r="CH867" s="53"/>
      <c r="CI867" s="53"/>
      <c r="CJ867" s="53"/>
      <c r="CK867" s="53"/>
      <c r="CL867" s="53"/>
      <c r="CN867" s="53"/>
      <c r="CO867" s="53"/>
      <c r="CP867" s="53"/>
      <c r="CQ867" s="53"/>
      <c r="CR867" s="53"/>
      <c r="CS867" s="53"/>
      <c r="CT867" s="261"/>
      <c r="CU867" s="261"/>
      <c r="CV867" s="261"/>
      <c r="CW867" s="255"/>
      <c r="CX867" s="261"/>
      <c r="CY867" s="255"/>
    </row>
    <row r="868" spans="1:103" ht="10.25" customHeight="1">
      <c r="A868" s="216"/>
      <c r="B868" s="217"/>
      <c r="C868" s="218"/>
      <c r="D868" s="219"/>
      <c r="E868" s="217"/>
      <c r="F868" s="217"/>
      <c r="G868" s="217"/>
      <c r="H868" s="220"/>
      <c r="I868" s="217"/>
      <c r="J868" s="217"/>
      <c r="K868" s="217"/>
      <c r="L868" s="217"/>
      <c r="M868" s="217"/>
      <c r="N868" s="217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  <c r="AJ868" s="44"/>
      <c r="AK868" s="44"/>
      <c r="AL868" s="44"/>
      <c r="AM868" s="44"/>
      <c r="AN868" s="44"/>
      <c r="AO868" s="44"/>
      <c r="AP868" s="44"/>
      <c r="AQ868" s="44"/>
      <c r="BA868" s="5"/>
      <c r="BB868" s="5"/>
      <c r="BC868" s="5"/>
      <c r="BD868" s="5"/>
      <c r="BE868" s="63"/>
      <c r="BF868" s="63"/>
      <c r="BG868" s="63"/>
      <c r="CA868" s="256"/>
      <c r="CB868" s="261"/>
      <c r="CC868" s="261"/>
      <c r="CD868" s="261"/>
      <c r="CE868" s="261"/>
      <c r="CF868" s="261"/>
      <c r="CG868" s="53"/>
      <c r="CH868" s="53"/>
      <c r="CI868" s="53"/>
      <c r="CJ868" s="53"/>
      <c r="CK868" s="53"/>
      <c r="CL868" s="53"/>
      <c r="CN868" s="53"/>
      <c r="CO868" s="53"/>
      <c r="CP868" s="53"/>
      <c r="CQ868" s="53"/>
      <c r="CR868" s="53"/>
      <c r="CS868" s="53"/>
      <c r="CT868" s="261"/>
      <c r="CU868" s="261"/>
      <c r="CV868" s="255"/>
      <c r="CW868" s="255"/>
      <c r="CX868" s="261"/>
      <c r="CY868" s="255"/>
    </row>
    <row r="869" spans="1:103" ht="10.25" customHeight="1">
      <c r="A869" s="216"/>
      <c r="B869" s="217"/>
      <c r="C869" s="218"/>
      <c r="D869" s="219"/>
      <c r="E869" s="217"/>
      <c r="F869" s="217"/>
      <c r="G869" s="217"/>
      <c r="H869" s="220"/>
      <c r="I869" s="217"/>
      <c r="J869" s="217"/>
      <c r="K869" s="217"/>
      <c r="L869" s="217"/>
      <c r="M869" s="217"/>
      <c r="N869" s="217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  <c r="AJ869" s="44"/>
      <c r="AK869" s="44"/>
      <c r="AL869" s="44"/>
      <c r="AM869" s="44"/>
      <c r="AN869" s="44"/>
      <c r="AO869" s="44"/>
      <c r="AP869" s="44"/>
      <c r="AQ869" s="44"/>
      <c r="BA869" s="5"/>
      <c r="BB869" s="5"/>
      <c r="BC869" s="5"/>
      <c r="BD869" s="5"/>
      <c r="BE869" s="63"/>
      <c r="BF869" s="63"/>
      <c r="BG869" s="63"/>
      <c r="CA869" s="256"/>
      <c r="CB869" s="261"/>
      <c r="CC869" s="261"/>
      <c r="CD869" s="261"/>
      <c r="CE869" s="261"/>
      <c r="CF869" s="261"/>
      <c r="CG869" s="53"/>
      <c r="CH869" s="53"/>
      <c r="CI869" s="53"/>
      <c r="CJ869" s="53"/>
      <c r="CK869" s="53"/>
      <c r="CL869" s="53"/>
      <c r="CN869" s="53"/>
      <c r="CO869" s="53"/>
      <c r="CP869" s="53"/>
      <c r="CQ869" s="53"/>
      <c r="CR869" s="53"/>
      <c r="CS869" s="53"/>
      <c r="CT869" s="261"/>
      <c r="CU869" s="261"/>
      <c r="CV869" s="261"/>
      <c r="CW869" s="261"/>
      <c r="CX869" s="261"/>
      <c r="CY869" s="255"/>
    </row>
    <row r="870" spans="1:103" ht="10.25" customHeight="1">
      <c r="A870" s="216"/>
      <c r="B870" s="217"/>
      <c r="C870" s="218"/>
      <c r="D870" s="219"/>
      <c r="E870" s="217"/>
      <c r="F870" s="217"/>
      <c r="G870" s="217"/>
      <c r="H870" s="220"/>
      <c r="I870" s="217"/>
      <c r="J870" s="217"/>
      <c r="K870" s="217"/>
      <c r="L870" s="217"/>
      <c r="M870" s="217"/>
      <c r="N870" s="217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  <c r="AK870" s="44"/>
      <c r="AL870" s="44"/>
      <c r="AM870" s="44"/>
      <c r="AN870" s="44"/>
      <c r="AO870" s="44"/>
      <c r="AP870" s="44"/>
      <c r="AQ870" s="44"/>
      <c r="BA870" s="5"/>
      <c r="BB870" s="5"/>
      <c r="BC870" s="5"/>
      <c r="BD870" s="5"/>
      <c r="BE870" s="63"/>
      <c r="BF870" s="63"/>
      <c r="BG870" s="63"/>
      <c r="CA870" s="256"/>
      <c r="CB870" s="261"/>
      <c r="CC870" s="261"/>
      <c r="CD870" s="255"/>
      <c r="CE870" s="261"/>
      <c r="CF870" s="261"/>
      <c r="CG870" s="53"/>
      <c r="CH870" s="53"/>
      <c r="CI870" s="53"/>
      <c r="CJ870" s="53"/>
      <c r="CK870" s="53"/>
      <c r="CL870" s="53"/>
      <c r="CN870" s="53"/>
      <c r="CO870" s="53"/>
      <c r="CP870" s="53"/>
      <c r="CQ870" s="53"/>
      <c r="CR870" s="53"/>
      <c r="CS870" s="53"/>
      <c r="CT870" s="261"/>
      <c r="CU870" s="261"/>
      <c r="CV870" s="261"/>
      <c r="CW870" s="261"/>
      <c r="CX870" s="261"/>
      <c r="CY870" s="255"/>
    </row>
    <row r="871" spans="1:103" ht="10.25" customHeight="1">
      <c r="A871" s="216"/>
      <c r="B871" s="217"/>
      <c r="C871" s="218"/>
      <c r="D871" s="219"/>
      <c r="E871" s="217"/>
      <c r="F871" s="217"/>
      <c r="G871" s="217"/>
      <c r="H871" s="220"/>
      <c r="I871" s="217"/>
      <c r="J871" s="217"/>
      <c r="K871" s="217"/>
      <c r="L871" s="217"/>
      <c r="M871" s="217"/>
      <c r="N871" s="217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  <c r="AJ871" s="44"/>
      <c r="AK871" s="44"/>
      <c r="AL871" s="44"/>
      <c r="AM871" s="44"/>
      <c r="AN871" s="44"/>
      <c r="AO871" s="44"/>
      <c r="AP871" s="44"/>
      <c r="AQ871" s="44"/>
      <c r="BA871" s="5"/>
      <c r="BB871" s="5"/>
      <c r="BC871" s="5"/>
      <c r="BD871" s="5"/>
      <c r="BE871" s="63"/>
      <c r="BF871" s="63"/>
      <c r="BG871" s="63"/>
      <c r="CA871" s="256"/>
      <c r="CB871" s="261"/>
      <c r="CC871" s="261"/>
      <c r="CD871" s="255"/>
      <c r="CE871" s="261"/>
      <c r="CF871" s="261"/>
      <c r="CG871" s="53"/>
      <c r="CH871" s="53"/>
      <c r="CI871" s="53"/>
      <c r="CJ871" s="53"/>
      <c r="CK871" s="53"/>
      <c r="CL871" s="53"/>
      <c r="CN871" s="53"/>
      <c r="CO871" s="53"/>
      <c r="CP871" s="53"/>
      <c r="CQ871" s="53"/>
      <c r="CR871" s="53"/>
      <c r="CS871" s="53"/>
      <c r="CT871" s="261"/>
      <c r="CU871" s="261"/>
      <c r="CV871" s="261"/>
      <c r="CW871" s="261"/>
      <c r="CX871" s="261"/>
      <c r="CY871" s="255"/>
    </row>
    <row r="872" spans="1:103" ht="10.25" customHeight="1">
      <c r="A872" s="216"/>
      <c r="B872" s="217"/>
      <c r="C872" s="218"/>
      <c r="D872" s="219"/>
      <c r="E872" s="217"/>
      <c r="F872" s="217"/>
      <c r="G872" s="217"/>
      <c r="H872" s="220"/>
      <c r="I872" s="217"/>
      <c r="J872" s="217"/>
      <c r="K872" s="217"/>
      <c r="L872" s="217"/>
      <c r="M872" s="217"/>
      <c r="N872" s="217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  <c r="AJ872" s="44"/>
      <c r="AK872" s="44"/>
      <c r="AL872" s="44"/>
      <c r="AM872" s="44"/>
      <c r="AN872" s="44"/>
      <c r="AO872" s="44"/>
      <c r="AP872" s="44"/>
      <c r="AQ872" s="44"/>
      <c r="BA872" s="5"/>
      <c r="BB872" s="5"/>
      <c r="BC872" s="5"/>
      <c r="BD872" s="5"/>
      <c r="BE872" s="63"/>
      <c r="BF872" s="63"/>
      <c r="BG872" s="63"/>
      <c r="CA872" s="256"/>
      <c r="CB872" s="261"/>
      <c r="CC872" s="261"/>
      <c r="CD872" s="255"/>
      <c r="CE872" s="261"/>
      <c r="CF872" s="261"/>
      <c r="CG872" s="53"/>
      <c r="CH872" s="53"/>
      <c r="CI872" s="53"/>
      <c r="CJ872" s="53"/>
      <c r="CK872" s="53"/>
      <c r="CL872" s="53"/>
      <c r="CN872" s="53"/>
      <c r="CO872" s="53"/>
      <c r="CP872" s="53"/>
      <c r="CQ872" s="53"/>
      <c r="CR872" s="53"/>
      <c r="CS872" s="53"/>
      <c r="CT872" s="261"/>
      <c r="CU872" s="261"/>
      <c r="CV872" s="261"/>
      <c r="CW872" s="261"/>
      <c r="CX872" s="261"/>
      <c r="CY872" s="255"/>
    </row>
    <row r="873" spans="1:103" ht="10.25" customHeight="1">
      <c r="A873" s="216"/>
      <c r="B873" s="217"/>
      <c r="C873" s="218"/>
      <c r="D873" s="219"/>
      <c r="E873" s="217"/>
      <c r="F873" s="217"/>
      <c r="G873" s="217"/>
      <c r="H873" s="220"/>
      <c r="I873" s="217"/>
      <c r="J873" s="217"/>
      <c r="K873" s="217"/>
      <c r="L873" s="217"/>
      <c r="M873" s="217"/>
      <c r="N873" s="217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  <c r="AJ873" s="44"/>
      <c r="AK873" s="44"/>
      <c r="AL873" s="44"/>
      <c r="AM873" s="44"/>
      <c r="AN873" s="44"/>
      <c r="AO873" s="44"/>
      <c r="AP873" s="44"/>
      <c r="AQ873" s="44"/>
      <c r="BA873" s="5"/>
      <c r="BB873" s="5"/>
      <c r="BC873" s="5"/>
      <c r="BD873" s="5"/>
      <c r="BE873" s="63"/>
      <c r="BF873" s="63"/>
      <c r="BG873" s="63"/>
      <c r="CA873" s="256"/>
      <c r="CB873" s="261"/>
      <c r="CC873" s="255"/>
      <c r="CD873" s="261"/>
      <c r="CE873" s="261"/>
      <c r="CF873" s="261"/>
      <c r="CG873" s="53"/>
      <c r="CH873" s="53"/>
      <c r="CI873" s="53"/>
      <c r="CJ873" s="53"/>
      <c r="CK873" s="53"/>
      <c r="CL873" s="53"/>
      <c r="CN873" s="53"/>
      <c r="CO873" s="53"/>
      <c r="CP873" s="53"/>
      <c r="CQ873" s="53"/>
      <c r="CR873" s="53"/>
      <c r="CS873" s="53"/>
      <c r="CT873" s="261"/>
      <c r="CU873" s="261"/>
      <c r="CV873" s="261"/>
      <c r="CW873" s="261"/>
      <c r="CX873" s="261"/>
      <c r="CY873" s="255"/>
    </row>
    <row r="874" spans="1:103" ht="10.25" customHeight="1">
      <c r="A874" s="216"/>
      <c r="B874" s="217"/>
      <c r="C874" s="218"/>
      <c r="D874" s="219"/>
      <c r="E874" s="217"/>
      <c r="F874" s="217"/>
      <c r="G874" s="217"/>
      <c r="H874" s="220"/>
      <c r="I874" s="217"/>
      <c r="J874" s="217"/>
      <c r="K874" s="217"/>
      <c r="L874" s="217"/>
      <c r="M874" s="217"/>
      <c r="N874" s="217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  <c r="AJ874" s="44"/>
      <c r="AK874" s="44"/>
      <c r="AL874" s="44"/>
      <c r="AM874" s="44"/>
      <c r="AN874" s="44"/>
      <c r="AO874" s="44"/>
      <c r="AP874" s="44"/>
      <c r="AQ874" s="44"/>
      <c r="BA874" s="5"/>
      <c r="BB874" s="5"/>
      <c r="BC874" s="5"/>
      <c r="BD874" s="5"/>
      <c r="BE874" s="63"/>
      <c r="BF874" s="63"/>
      <c r="BG874" s="63"/>
      <c r="CA874" s="256"/>
      <c r="CB874" s="261"/>
      <c r="CC874" s="255"/>
      <c r="CD874" s="261"/>
      <c r="CE874" s="261"/>
      <c r="CF874" s="261"/>
      <c r="CG874" s="53"/>
      <c r="CH874" s="53"/>
      <c r="CI874" s="53"/>
      <c r="CJ874" s="53"/>
      <c r="CK874" s="53"/>
      <c r="CL874" s="53"/>
      <c r="CN874" s="53"/>
      <c r="CO874" s="53"/>
      <c r="CP874" s="53"/>
      <c r="CQ874" s="53"/>
      <c r="CR874" s="53"/>
      <c r="CS874" s="53"/>
      <c r="CT874" s="261"/>
      <c r="CU874" s="261"/>
      <c r="CV874" s="261"/>
      <c r="CW874" s="261"/>
      <c r="CX874" s="261"/>
      <c r="CY874" s="255"/>
    </row>
    <row r="875" spans="1:103" ht="10.25" customHeight="1">
      <c r="A875" s="371"/>
      <c r="B875" s="371"/>
      <c r="C875" s="371"/>
      <c r="D875" s="269"/>
      <c r="L875" s="269"/>
      <c r="M875" s="269"/>
      <c r="N875" s="269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  <c r="AL875" s="63"/>
      <c r="AM875" s="63"/>
      <c r="AN875" s="63"/>
      <c r="AO875" s="63"/>
      <c r="AP875" s="63"/>
      <c r="AQ875" s="63"/>
      <c r="CA875" s="256"/>
      <c r="CB875" s="261"/>
      <c r="CC875" s="255"/>
      <c r="CD875" s="261"/>
      <c r="CE875" s="261"/>
      <c r="CF875" s="261"/>
      <c r="CG875" s="261"/>
      <c r="CH875" s="261"/>
      <c r="CI875" s="261"/>
      <c r="CJ875" s="261"/>
      <c r="CK875" s="261"/>
      <c r="CL875" s="255"/>
      <c r="CN875" s="256"/>
      <c r="CO875" s="256"/>
      <c r="CP875" s="261"/>
      <c r="CQ875" s="261"/>
      <c r="CR875" s="255"/>
      <c r="CS875" s="261"/>
      <c r="CT875" s="261"/>
      <c r="CU875" s="261"/>
      <c r="CV875" s="261"/>
      <c r="CW875" s="261"/>
      <c r="CX875" s="261"/>
      <c r="CY875" s="255"/>
    </row>
    <row r="876" spans="1:103" ht="12.65" customHeight="1">
      <c r="A876" s="270"/>
      <c r="C876" s="271"/>
      <c r="D876" s="372"/>
      <c r="E876" s="372"/>
      <c r="F876" s="272"/>
      <c r="G876" s="272"/>
      <c r="H876" s="273"/>
      <c r="L876" s="269"/>
      <c r="M876" s="269"/>
      <c r="N876" s="269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  <c r="AF876" s="63"/>
      <c r="AG876" s="63"/>
      <c r="AH876" s="63"/>
      <c r="AI876" s="63"/>
      <c r="AJ876" s="63"/>
      <c r="AK876" s="63"/>
      <c r="AL876" s="63"/>
      <c r="AM876" s="63"/>
      <c r="AN876" s="63"/>
      <c r="AO876" s="63"/>
      <c r="AP876" s="63"/>
      <c r="AQ876" s="63"/>
      <c r="CA876" s="256"/>
      <c r="CB876" s="261"/>
      <c r="CC876" s="255"/>
      <c r="CD876" s="261"/>
      <c r="CE876" s="261"/>
      <c r="CF876" s="261"/>
      <c r="CG876" s="261"/>
      <c r="CH876" s="261"/>
      <c r="CI876" s="261"/>
      <c r="CJ876" s="261"/>
      <c r="CK876" s="255"/>
      <c r="CL876" s="255"/>
      <c r="CN876" s="256"/>
      <c r="CO876" s="256"/>
      <c r="CP876" s="261"/>
      <c r="CQ876" s="261"/>
      <c r="CR876" s="255"/>
      <c r="CS876" s="261"/>
      <c r="CT876" s="261"/>
      <c r="CU876" s="261"/>
      <c r="CV876" s="261"/>
      <c r="CW876" s="261"/>
      <c r="CX876" s="255"/>
      <c r="CY876" s="255"/>
    </row>
    <row r="877" spans="1:103" ht="10.25" customHeight="1">
      <c r="A877" s="270"/>
      <c r="D877" s="372"/>
      <c r="E877" s="372"/>
      <c r="F877" s="272"/>
      <c r="G877" s="272"/>
      <c r="H877" s="273"/>
      <c r="L877" s="269"/>
      <c r="M877" s="269"/>
      <c r="N877" s="269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  <c r="AL877" s="63"/>
      <c r="AM877" s="63"/>
      <c r="AN877" s="63"/>
      <c r="AO877" s="63"/>
      <c r="AP877" s="63"/>
      <c r="AQ877" s="63"/>
      <c r="CA877" s="256"/>
      <c r="CB877" s="261"/>
      <c r="CC877" s="255"/>
      <c r="CD877" s="261"/>
      <c r="CE877" s="261"/>
      <c r="CF877" s="261"/>
      <c r="CG877" s="261"/>
      <c r="CH877" s="261"/>
      <c r="CI877" s="261"/>
      <c r="CJ877" s="261"/>
      <c r="CK877" s="261"/>
      <c r="CL877" s="255"/>
      <c r="CN877" s="256"/>
      <c r="CO877" s="256"/>
      <c r="CP877" s="261"/>
      <c r="CQ877" s="261"/>
      <c r="CR877" s="255"/>
      <c r="CS877" s="261"/>
      <c r="CT877" s="261"/>
      <c r="CU877" s="261"/>
      <c r="CV877" s="261"/>
      <c r="CW877" s="261"/>
      <c r="CX877" s="261"/>
      <c r="CY877" s="255"/>
    </row>
    <row r="878" spans="1:103" ht="10.25" customHeight="1">
      <c r="C878" s="270"/>
      <c r="D878" s="274"/>
      <c r="E878" s="214"/>
      <c r="F878" s="272"/>
      <c r="G878" s="272"/>
      <c r="H878" s="272"/>
      <c r="I878" s="273"/>
      <c r="J878" s="273"/>
      <c r="K878" s="273"/>
      <c r="L878" s="275"/>
      <c r="M878" s="269"/>
      <c r="N878" s="269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3"/>
      <c r="AG878" s="63"/>
      <c r="AH878" s="63"/>
      <c r="AI878" s="63"/>
      <c r="AJ878" s="63"/>
      <c r="AK878" s="63"/>
      <c r="AL878" s="63"/>
      <c r="AM878" s="63"/>
      <c r="AN878" s="63"/>
      <c r="AO878" s="63"/>
      <c r="AP878" s="63"/>
      <c r="AQ878" s="63"/>
      <c r="CA878" s="256"/>
      <c r="CB878" s="261"/>
      <c r="CC878" s="255"/>
      <c r="CD878" s="261"/>
      <c r="CE878" s="261"/>
      <c r="CF878" s="261"/>
      <c r="CG878" s="261"/>
      <c r="CH878" s="261"/>
      <c r="CI878" s="261"/>
      <c r="CJ878" s="261"/>
      <c r="CK878" s="261"/>
      <c r="CL878" s="255"/>
      <c r="CN878" s="256"/>
      <c r="CO878" s="256"/>
      <c r="CP878" s="261"/>
      <c r="CQ878" s="261"/>
      <c r="CR878" s="255"/>
      <c r="CS878" s="261"/>
      <c r="CT878" s="261"/>
      <c r="CU878" s="261"/>
      <c r="CV878" s="261"/>
      <c r="CW878" s="261"/>
      <c r="CX878" s="261"/>
      <c r="CY878" s="255"/>
    </row>
    <row r="879" spans="1:103" ht="10.25" customHeight="1">
      <c r="A879" s="270"/>
      <c r="D879" s="372"/>
      <c r="E879" s="372"/>
      <c r="F879" s="272"/>
      <c r="G879" s="272"/>
      <c r="H879" s="272"/>
      <c r="I879" s="273"/>
      <c r="J879" s="273"/>
      <c r="K879" s="273"/>
      <c r="L879" s="275"/>
      <c r="M879" s="269"/>
      <c r="N879" s="269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  <c r="AL879" s="63"/>
      <c r="AM879" s="63"/>
      <c r="AN879" s="63"/>
      <c r="AO879" s="63"/>
      <c r="AP879" s="63"/>
      <c r="AQ879" s="63"/>
      <c r="CA879" s="256"/>
      <c r="CB879" s="261"/>
      <c r="CC879" s="255"/>
      <c r="CD879" s="261"/>
      <c r="CE879" s="261"/>
      <c r="CF879" s="261"/>
      <c r="CG879" s="261"/>
      <c r="CH879" s="261"/>
      <c r="CI879" s="255"/>
      <c r="CJ879" s="255"/>
      <c r="CK879" s="261"/>
      <c r="CL879" s="255"/>
      <c r="CN879" s="256"/>
      <c r="CO879" s="256"/>
      <c r="CP879" s="261"/>
      <c r="CQ879" s="261"/>
      <c r="CR879" s="255"/>
      <c r="CS879" s="261"/>
      <c r="CT879" s="261"/>
      <c r="CU879" s="261"/>
      <c r="CV879" s="261"/>
      <c r="CW879" s="255"/>
      <c r="CX879" s="261"/>
      <c r="CY879" s="255"/>
    </row>
    <row r="880" spans="1:103" ht="10.25" customHeight="1">
      <c r="A880" s="270"/>
      <c r="D880" s="372"/>
      <c r="E880" s="372"/>
      <c r="F880" s="272"/>
      <c r="G880" s="272"/>
      <c r="H880" s="272"/>
      <c r="I880" s="273"/>
      <c r="J880" s="273"/>
      <c r="K880" s="273"/>
      <c r="L880" s="275"/>
      <c r="M880" s="269"/>
      <c r="N880" s="269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3"/>
      <c r="AG880" s="63"/>
      <c r="AH880" s="63"/>
      <c r="AI880" s="63"/>
      <c r="AJ880" s="63"/>
      <c r="AK880" s="63"/>
      <c r="AL880" s="63"/>
      <c r="AM880" s="63"/>
      <c r="AN880" s="63"/>
      <c r="AO880" s="63"/>
      <c r="AP880" s="63"/>
      <c r="AQ880" s="63"/>
      <c r="CA880" s="256"/>
      <c r="CB880" s="261"/>
      <c r="CC880" s="255"/>
      <c r="CD880" s="261"/>
      <c r="CE880" s="261"/>
      <c r="CF880" s="261"/>
      <c r="CG880" s="255"/>
      <c r="CH880" s="255"/>
      <c r="CI880" s="261"/>
      <c r="CJ880" s="261"/>
      <c r="CK880" s="261"/>
      <c r="CL880" s="255"/>
      <c r="CN880" s="256"/>
      <c r="CO880" s="256"/>
      <c r="CP880" s="261"/>
      <c r="CQ880" s="261"/>
      <c r="CR880" s="255"/>
      <c r="CS880" s="261"/>
      <c r="CT880" s="261"/>
      <c r="CU880" s="261"/>
      <c r="CV880" s="255"/>
      <c r="CW880" s="261"/>
      <c r="CX880" s="261"/>
      <c r="CY880" s="255"/>
    </row>
    <row r="881" spans="1:103" ht="10.25" customHeight="1">
      <c r="A881" s="270"/>
      <c r="D881" s="372"/>
      <c r="E881" s="372"/>
      <c r="F881" s="272"/>
      <c r="G881" s="272"/>
      <c r="H881" s="272"/>
      <c r="I881" s="273"/>
      <c r="J881" s="273"/>
      <c r="K881" s="273"/>
      <c r="L881" s="275"/>
      <c r="M881" s="269"/>
      <c r="N881" s="269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  <c r="AF881" s="63"/>
      <c r="AG881" s="63"/>
      <c r="AH881" s="63"/>
      <c r="AI881" s="63"/>
      <c r="AJ881" s="63"/>
      <c r="AK881" s="63"/>
      <c r="AL881" s="63"/>
      <c r="AM881" s="63"/>
      <c r="AN881" s="63"/>
      <c r="AO881" s="63"/>
      <c r="AP881" s="63"/>
      <c r="AQ881" s="63"/>
      <c r="CA881" s="256"/>
      <c r="CB881" s="261"/>
      <c r="CC881" s="255"/>
      <c r="CD881" s="261"/>
      <c r="CE881" s="261"/>
      <c r="CF881" s="261"/>
      <c r="CG881" s="255"/>
      <c r="CH881" s="255"/>
      <c r="CI881" s="261"/>
      <c r="CJ881" s="261"/>
      <c r="CK881" s="261"/>
      <c r="CL881" s="255"/>
      <c r="CN881" s="256"/>
      <c r="CO881" s="256"/>
      <c r="CP881" s="261"/>
      <c r="CQ881" s="261"/>
      <c r="CR881" s="255"/>
      <c r="CS881" s="261"/>
      <c r="CT881" s="261"/>
      <c r="CU881" s="261"/>
      <c r="CV881" s="255"/>
      <c r="CW881" s="261"/>
      <c r="CX881" s="261"/>
      <c r="CY881" s="255"/>
    </row>
    <row r="882" spans="1:103" ht="10.25" customHeight="1">
      <c r="A882" s="270"/>
      <c r="D882" s="372"/>
      <c r="E882" s="372"/>
      <c r="F882" s="272"/>
      <c r="G882" s="272"/>
      <c r="H882" s="272"/>
      <c r="I882" s="375"/>
      <c r="J882" s="375"/>
      <c r="K882" s="375"/>
      <c r="L882" s="375"/>
      <c r="M882" s="269"/>
      <c r="N882" s="269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  <c r="AF882" s="63"/>
      <c r="AG882" s="63"/>
      <c r="AH882" s="63"/>
      <c r="AI882" s="63"/>
      <c r="AJ882" s="63"/>
      <c r="AK882" s="63"/>
      <c r="AL882" s="63"/>
      <c r="AM882" s="63"/>
      <c r="AN882" s="63"/>
      <c r="AO882" s="63"/>
      <c r="AP882" s="63"/>
      <c r="AQ882" s="63"/>
      <c r="CA882" s="256"/>
      <c r="CB882" s="261"/>
      <c r="CC882" s="255"/>
      <c r="CD882" s="261"/>
      <c r="CE882" s="261"/>
      <c r="CF882" s="261"/>
      <c r="CG882" s="261"/>
      <c r="CH882" s="261"/>
      <c r="CI882" s="261"/>
      <c r="CJ882" s="261"/>
      <c r="CK882" s="261"/>
      <c r="CL882" s="255"/>
      <c r="CN882" s="256"/>
      <c r="CO882" s="256"/>
      <c r="CP882" s="261"/>
      <c r="CQ882" s="261"/>
      <c r="CR882" s="255"/>
      <c r="CS882" s="261"/>
      <c r="CT882" s="261"/>
      <c r="CU882" s="261"/>
      <c r="CV882" s="261"/>
      <c r="CW882" s="261"/>
      <c r="CX882" s="261"/>
      <c r="CY882" s="255"/>
    </row>
    <row r="883" spans="1:103" ht="10.25" customHeight="1">
      <c r="A883" s="270"/>
      <c r="D883" s="372"/>
      <c r="E883" s="372"/>
      <c r="H883" s="209"/>
      <c r="I883" s="213"/>
      <c r="J883" s="213"/>
      <c r="K883" s="213"/>
      <c r="L883" s="213"/>
      <c r="M883" s="213"/>
      <c r="N883" s="213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CA883" s="256"/>
      <c r="CB883" s="261"/>
      <c r="CC883" s="255"/>
      <c r="CD883" s="261"/>
      <c r="CE883" s="261"/>
      <c r="CF883" s="261"/>
      <c r="CG883" s="261"/>
      <c r="CH883" s="261"/>
      <c r="CI883" s="261"/>
      <c r="CJ883" s="261"/>
      <c r="CK883" s="261"/>
      <c r="CL883" s="255"/>
      <c r="CN883" s="256"/>
      <c r="CO883" s="256"/>
      <c r="CP883" s="261"/>
      <c r="CQ883" s="261"/>
      <c r="CR883" s="255"/>
      <c r="CS883" s="261"/>
      <c r="CT883" s="261"/>
      <c r="CU883" s="261"/>
      <c r="CV883" s="261"/>
      <c r="CW883" s="261"/>
      <c r="CX883" s="261"/>
      <c r="CY883" s="255"/>
    </row>
    <row r="884" spans="1:103" ht="10.25" customHeight="1">
      <c r="A884" s="270"/>
      <c r="C884" s="269"/>
      <c r="D884" s="275"/>
      <c r="E884" s="275"/>
      <c r="F884" s="209"/>
      <c r="G884" s="209"/>
      <c r="H884" s="209"/>
      <c r="I884" s="209"/>
      <c r="J884" s="209"/>
      <c r="K884" s="209"/>
      <c r="L884" s="376"/>
      <c r="M884" s="376"/>
      <c r="N884" s="279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  <c r="AE884" s="51"/>
      <c r="AF884" s="51"/>
      <c r="AG884" s="51"/>
      <c r="AH884" s="51"/>
      <c r="AI884" s="51"/>
      <c r="AJ884" s="51"/>
      <c r="AK884" s="51"/>
      <c r="AL884" s="51"/>
      <c r="AM884" s="51"/>
      <c r="AN884" s="51"/>
      <c r="AO884" s="51"/>
      <c r="AP884" s="51"/>
      <c r="AQ884" s="51"/>
      <c r="CA884" s="256"/>
      <c r="CB884" s="261"/>
      <c r="CC884" s="255"/>
      <c r="CD884" s="261"/>
      <c r="CE884" s="261"/>
      <c r="CF884" s="261"/>
      <c r="CG884" s="261"/>
      <c r="CH884" s="261"/>
      <c r="CI884" s="261"/>
      <c r="CJ884" s="261"/>
      <c r="CK884" s="261"/>
      <c r="CL884" s="255"/>
      <c r="CN884" s="256"/>
      <c r="CO884" s="256"/>
      <c r="CP884" s="261"/>
      <c r="CQ884" s="261"/>
      <c r="CR884" s="255"/>
      <c r="CS884" s="261"/>
      <c r="CT884" s="261"/>
      <c r="CU884" s="261"/>
      <c r="CV884" s="261"/>
      <c r="CW884" s="261"/>
      <c r="CX884" s="261"/>
      <c r="CY884" s="255"/>
    </row>
    <row r="885" spans="1:103" ht="10.25" customHeight="1">
      <c r="A885" s="270"/>
      <c r="C885" s="269"/>
      <c r="D885" s="269"/>
      <c r="F885" s="209"/>
      <c r="G885" s="209"/>
      <c r="H885" s="276"/>
      <c r="I885" s="276"/>
      <c r="J885" s="276"/>
      <c r="K885" s="276"/>
      <c r="L885" s="374"/>
      <c r="M885" s="374"/>
      <c r="N885" s="213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CA885" s="256"/>
      <c r="CB885" s="261"/>
      <c r="CC885" s="255"/>
      <c r="CD885" s="261"/>
      <c r="CE885" s="261"/>
      <c r="CF885" s="261"/>
      <c r="CG885" s="261"/>
      <c r="CH885" s="261"/>
      <c r="CI885" s="261"/>
      <c r="CJ885" s="261"/>
      <c r="CK885" s="261"/>
      <c r="CL885" s="255"/>
      <c r="CN885" s="256"/>
      <c r="CO885" s="256"/>
      <c r="CP885" s="261"/>
      <c r="CQ885" s="261"/>
      <c r="CR885" s="255"/>
      <c r="CS885" s="261"/>
      <c r="CT885" s="261"/>
      <c r="CU885" s="261"/>
      <c r="CV885" s="261"/>
      <c r="CW885" s="261"/>
      <c r="CX885" s="261"/>
      <c r="CY885" s="255"/>
    </row>
    <row r="886" spans="1:103" ht="10.25" customHeight="1">
      <c r="A886" s="270"/>
      <c r="D886" s="269"/>
      <c r="F886" s="208"/>
      <c r="G886" s="208"/>
      <c r="H886" s="277"/>
      <c r="I886" s="277"/>
      <c r="J886" s="277"/>
      <c r="K886" s="277"/>
      <c r="L886" s="372"/>
      <c r="M886" s="372"/>
      <c r="N886" s="214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CA886" s="256"/>
      <c r="CB886" s="261"/>
      <c r="CC886" s="255"/>
      <c r="CD886" s="261"/>
      <c r="CE886" s="261"/>
      <c r="CF886" s="261"/>
      <c r="CG886" s="261"/>
      <c r="CH886" s="261"/>
      <c r="CI886" s="261"/>
      <c r="CJ886" s="261"/>
      <c r="CK886" s="261"/>
      <c r="CL886" s="255"/>
      <c r="CN886" s="256"/>
      <c r="CO886" s="256"/>
      <c r="CP886" s="261"/>
      <c r="CQ886" s="261"/>
      <c r="CR886" s="255"/>
      <c r="CS886" s="261"/>
      <c r="CT886" s="261"/>
      <c r="CU886" s="261"/>
      <c r="CV886" s="261"/>
      <c r="CW886" s="261"/>
      <c r="CX886" s="261"/>
      <c r="CY886" s="255"/>
    </row>
    <row r="887" spans="1:103" ht="10.25" customHeight="1">
      <c r="CA887" s="256"/>
      <c r="CB887" s="261"/>
      <c r="CC887" s="255"/>
      <c r="CD887" s="261"/>
      <c r="CE887" s="261"/>
      <c r="CF887" s="255"/>
      <c r="CG887" s="261"/>
      <c r="CH887" s="261"/>
      <c r="CI887" s="261"/>
      <c r="CJ887" s="261"/>
      <c r="CK887" s="261"/>
      <c r="CL887" s="255"/>
      <c r="CN887" s="256"/>
      <c r="CO887" s="256"/>
      <c r="CP887" s="261"/>
      <c r="CQ887" s="261"/>
      <c r="CR887" s="255"/>
      <c r="CS887" s="261"/>
      <c r="CT887" s="261"/>
      <c r="CU887" s="255"/>
      <c r="CV887" s="261"/>
      <c r="CW887" s="261"/>
      <c r="CX887" s="261"/>
      <c r="CY887" s="255"/>
    </row>
    <row r="888" spans="1:103" ht="10.25" customHeight="1">
      <c r="C888" s="278"/>
      <c r="CA888" s="256"/>
      <c r="CB888" s="261"/>
      <c r="CC888" s="255"/>
      <c r="CD888" s="261"/>
      <c r="CE888" s="261"/>
      <c r="CF888" s="255"/>
      <c r="CG888" s="261"/>
      <c r="CH888" s="261"/>
      <c r="CI888" s="261"/>
      <c r="CJ888" s="261"/>
      <c r="CK888" s="261"/>
      <c r="CL888" s="255"/>
      <c r="CN888" s="256"/>
      <c r="CO888" s="256"/>
      <c r="CP888" s="261"/>
      <c r="CQ888" s="261"/>
      <c r="CR888" s="255"/>
      <c r="CS888" s="261"/>
      <c r="CT888" s="261"/>
      <c r="CU888" s="255"/>
      <c r="CV888" s="261"/>
      <c r="CW888" s="261"/>
      <c r="CX888" s="261"/>
      <c r="CY888" s="255"/>
    </row>
    <row r="889" spans="1:103" ht="10.25" customHeight="1">
      <c r="C889" s="278"/>
      <c r="F889" s="377"/>
      <c r="G889" s="377"/>
      <c r="H889" s="377"/>
      <c r="I889" s="377"/>
      <c r="J889" s="377"/>
      <c r="K889" s="377"/>
      <c r="L889" s="377"/>
      <c r="M889" s="377"/>
      <c r="N889" s="269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  <c r="AF889" s="63"/>
      <c r="AG889" s="63"/>
      <c r="AH889" s="63"/>
      <c r="AI889" s="63"/>
      <c r="AJ889" s="63"/>
      <c r="AK889" s="63"/>
      <c r="AL889" s="63"/>
      <c r="AM889" s="63"/>
      <c r="AN889" s="63"/>
      <c r="AO889" s="63"/>
      <c r="AP889" s="63"/>
      <c r="AQ889" s="63"/>
      <c r="CA889" s="256"/>
      <c r="CB889" s="261"/>
      <c r="CC889" s="255"/>
      <c r="CD889" s="261"/>
      <c r="CE889" s="261"/>
      <c r="CF889" s="255"/>
      <c r="CG889" s="261"/>
      <c r="CH889" s="261"/>
      <c r="CI889" s="261"/>
      <c r="CJ889" s="261"/>
      <c r="CK889" s="261"/>
      <c r="CL889" s="255"/>
      <c r="CN889" s="256"/>
      <c r="CO889" s="256"/>
      <c r="CP889" s="261"/>
      <c r="CQ889" s="261"/>
      <c r="CR889" s="255"/>
      <c r="CS889" s="261"/>
      <c r="CT889" s="261"/>
      <c r="CU889" s="255"/>
      <c r="CV889" s="261"/>
      <c r="CW889" s="261"/>
      <c r="CX889" s="261"/>
      <c r="CY889" s="255"/>
    </row>
    <row r="890" spans="1:103" ht="10.4" customHeight="1">
      <c r="C890" s="278"/>
      <c r="F890" s="377"/>
      <c r="G890" s="377"/>
      <c r="H890" s="377"/>
      <c r="I890" s="377"/>
      <c r="J890" s="377"/>
      <c r="K890" s="377"/>
      <c r="L890" s="377"/>
      <c r="M890" s="377"/>
      <c r="N890" s="269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  <c r="AF890" s="63"/>
      <c r="AG890" s="63"/>
      <c r="AH890" s="63"/>
      <c r="AI890" s="63"/>
      <c r="AJ890" s="63"/>
      <c r="AK890" s="63"/>
      <c r="AL890" s="63"/>
      <c r="AM890" s="63"/>
      <c r="AN890" s="63"/>
      <c r="AO890" s="63"/>
      <c r="AP890" s="63"/>
      <c r="AQ890" s="63"/>
      <c r="AS890" s="236"/>
      <c r="BE890" s="63"/>
      <c r="BF890" s="63"/>
      <c r="BG890" s="63"/>
      <c r="BK890" s="317"/>
      <c r="BL890" s="5"/>
      <c r="BM890" s="5"/>
      <c r="BN890" s="5"/>
      <c r="BO890" s="5"/>
      <c r="BP890" s="5"/>
      <c r="BQ890" s="5"/>
      <c r="BR890" s="5"/>
      <c r="BS890" s="5"/>
      <c r="BT890" s="5"/>
      <c r="BV890" s="317"/>
      <c r="CF890" s="5"/>
      <c r="CG890" s="5"/>
      <c r="CH890" s="5"/>
      <c r="CI890" s="5"/>
      <c r="CJ890" s="5"/>
      <c r="CK890" s="5"/>
      <c r="CL890" s="5"/>
    </row>
    <row r="891" spans="1:103" ht="10.25" customHeight="1">
      <c r="A891" s="377"/>
      <c r="B891" s="377"/>
      <c r="C891" s="377"/>
      <c r="D891" s="377"/>
      <c r="E891" s="377"/>
      <c r="F891" s="377"/>
      <c r="G891" s="377"/>
      <c r="H891" s="377"/>
      <c r="I891" s="377"/>
      <c r="J891" s="377"/>
      <c r="K891" s="377"/>
      <c r="L891" s="377"/>
      <c r="M891" s="377"/>
      <c r="N891" s="269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  <c r="AF891" s="63"/>
      <c r="AG891" s="63"/>
      <c r="AH891" s="63"/>
      <c r="AI891" s="63"/>
      <c r="AJ891" s="63"/>
      <c r="AK891" s="63"/>
      <c r="AL891" s="63"/>
      <c r="AM891" s="63"/>
      <c r="AN891" s="63"/>
      <c r="AO891" s="63"/>
      <c r="AP891" s="63"/>
      <c r="AQ891" s="63"/>
      <c r="BE891" s="63"/>
      <c r="BF891" s="63"/>
      <c r="BG891" s="63"/>
      <c r="BK891" s="317"/>
      <c r="BL891" s="5"/>
      <c r="BM891" s="5"/>
      <c r="BN891" s="5"/>
      <c r="BO891" s="5"/>
      <c r="BP891" s="5"/>
      <c r="BQ891" s="5"/>
      <c r="BR891" s="5"/>
      <c r="BS891" s="5"/>
      <c r="BT891" s="5"/>
      <c r="BV891" s="317"/>
      <c r="CF891" s="5"/>
      <c r="CG891" s="5"/>
      <c r="CH891" s="5"/>
      <c r="CI891" s="5"/>
      <c r="CJ891" s="5"/>
      <c r="CK891" s="5"/>
      <c r="CL891" s="5"/>
    </row>
    <row r="892" spans="1:103" ht="10.25" customHeight="1">
      <c r="A892" s="376"/>
      <c r="B892" s="376"/>
      <c r="C892" s="376"/>
      <c r="D892" s="376"/>
      <c r="E892" s="376"/>
      <c r="F892" s="376"/>
      <c r="G892" s="376"/>
      <c r="H892" s="376"/>
      <c r="I892" s="376"/>
      <c r="J892" s="376"/>
      <c r="K892" s="376"/>
      <c r="L892" s="376"/>
      <c r="M892" s="376"/>
      <c r="N892" s="279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  <c r="AE892" s="51"/>
      <c r="AF892" s="51"/>
      <c r="AG892" s="51"/>
      <c r="AH892" s="51"/>
      <c r="AI892" s="51"/>
      <c r="AJ892" s="51"/>
      <c r="AK892" s="51"/>
      <c r="AL892" s="51"/>
      <c r="AM892" s="51"/>
      <c r="AN892" s="51"/>
      <c r="AO892" s="51"/>
      <c r="AP892" s="51"/>
      <c r="AQ892" s="51"/>
      <c r="BE892" s="63"/>
      <c r="BF892" s="63"/>
      <c r="BG892" s="63"/>
      <c r="BK892" s="317"/>
      <c r="BL892" s="5"/>
      <c r="BM892" s="5"/>
      <c r="BN892" s="5"/>
      <c r="BO892" s="5"/>
      <c r="BP892" s="5"/>
      <c r="BQ892" s="5"/>
      <c r="BR892" s="5"/>
      <c r="BS892" s="5"/>
      <c r="BT892" s="5"/>
      <c r="BV892" s="317"/>
      <c r="CF892" s="5"/>
      <c r="CG892" s="5"/>
      <c r="CH892" s="5"/>
      <c r="CI892" s="5"/>
      <c r="CJ892" s="5"/>
      <c r="CK892" s="5"/>
      <c r="CL892" s="5"/>
    </row>
    <row r="893" spans="1:103" ht="10.25" customHeight="1">
      <c r="A893" s="374"/>
      <c r="B893" s="374"/>
      <c r="C893" s="374"/>
      <c r="D893" s="374"/>
      <c r="E893" s="374"/>
      <c r="F893" s="374"/>
      <c r="G893" s="374"/>
      <c r="H893" s="374"/>
      <c r="I893" s="374"/>
      <c r="J893" s="374"/>
      <c r="K893" s="374"/>
      <c r="L893" s="374"/>
      <c r="M893" s="374"/>
      <c r="N893" s="213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BE893" s="63"/>
      <c r="BF893" s="63"/>
      <c r="BG893" s="63"/>
      <c r="BK893" s="317"/>
      <c r="BL893" s="5"/>
      <c r="BM893" s="5"/>
      <c r="BN893" s="5"/>
      <c r="BO893" s="5"/>
      <c r="BP893" s="5"/>
      <c r="BQ893" s="5"/>
      <c r="BR893" s="5"/>
      <c r="BS893" s="5"/>
      <c r="BT893" s="5"/>
      <c r="BV893" s="317"/>
      <c r="CF893" s="5"/>
      <c r="CG893" s="5"/>
      <c r="CH893" s="5"/>
      <c r="CI893" s="5"/>
      <c r="CJ893" s="5"/>
      <c r="CK893" s="5"/>
      <c r="CL893" s="5"/>
    </row>
    <row r="894" spans="1:103" ht="6" customHeight="1">
      <c r="A894" s="208"/>
      <c r="B894" s="209"/>
      <c r="C894" s="209"/>
      <c r="D894" s="209"/>
      <c r="E894" s="209"/>
      <c r="F894" s="280"/>
      <c r="G894" s="280"/>
      <c r="H894" s="280"/>
      <c r="I894" s="280"/>
      <c r="J894" s="280"/>
      <c r="K894" s="280"/>
      <c r="L894" s="280"/>
      <c r="M894" s="280"/>
      <c r="N894" s="280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  <c r="AI894" s="42"/>
      <c r="AJ894" s="42"/>
      <c r="AK894" s="42"/>
      <c r="AL894" s="42"/>
      <c r="AM894" s="42"/>
      <c r="AN894" s="42"/>
      <c r="AO894" s="42"/>
      <c r="AP894" s="42"/>
      <c r="AQ894" s="42"/>
      <c r="BK894" s="317"/>
      <c r="BL894" s="5"/>
      <c r="BM894" s="5"/>
      <c r="BN894" s="5"/>
      <c r="BO894" s="5"/>
      <c r="BP894" s="5"/>
      <c r="BQ894" s="5"/>
      <c r="BR894" s="5"/>
      <c r="BS894" s="5"/>
      <c r="BT894" s="5"/>
      <c r="BV894" s="317"/>
      <c r="CF894" s="5"/>
      <c r="CG894" s="5"/>
      <c r="CH894" s="5"/>
      <c r="CI894" s="5"/>
      <c r="CJ894" s="5"/>
      <c r="CK894" s="5"/>
      <c r="CL894" s="5"/>
    </row>
    <row r="895" spans="1:103" ht="10.25" customHeight="1">
      <c r="A895" s="208"/>
      <c r="B895" s="209"/>
      <c r="C895" s="209"/>
      <c r="D895" s="210"/>
      <c r="E895" s="211"/>
      <c r="F895" s="369"/>
      <c r="G895" s="369"/>
      <c r="H895" s="369"/>
      <c r="I895" s="369"/>
      <c r="J895" s="369"/>
      <c r="K895" s="369"/>
      <c r="L895" s="369"/>
      <c r="M895" s="230"/>
      <c r="N895" s="230"/>
      <c r="O895" s="235"/>
      <c r="P895" s="235"/>
      <c r="Q895" s="235"/>
      <c r="R895" s="235"/>
      <c r="S895" s="235"/>
      <c r="T895" s="235"/>
      <c r="U895" s="235"/>
      <c r="V895" s="235"/>
      <c r="W895" s="235"/>
      <c r="X895" s="235"/>
      <c r="Y895" s="235"/>
      <c r="Z895" s="235"/>
      <c r="AA895" s="235"/>
      <c r="AB895" s="235"/>
      <c r="AC895" s="235"/>
      <c r="AD895" s="235"/>
      <c r="AE895" s="235"/>
      <c r="AF895" s="235"/>
      <c r="AG895" s="235"/>
      <c r="AH895" s="235"/>
      <c r="AI895" s="235"/>
      <c r="AJ895" s="235"/>
      <c r="AK895" s="235"/>
      <c r="AL895" s="235"/>
      <c r="AM895" s="235"/>
      <c r="AN895" s="235"/>
      <c r="AO895" s="235"/>
      <c r="AP895" s="235"/>
      <c r="AQ895" s="235"/>
      <c r="BK895" s="317"/>
      <c r="BL895" s="5"/>
      <c r="BM895" s="5"/>
      <c r="BN895" s="5"/>
      <c r="BO895" s="5"/>
      <c r="BP895" s="5"/>
      <c r="BQ895" s="5"/>
      <c r="BR895" s="5"/>
      <c r="BS895" s="5"/>
      <c r="BT895" s="5"/>
      <c r="BV895" s="317"/>
      <c r="CF895" s="5"/>
      <c r="CG895" s="5"/>
      <c r="CH895" s="5"/>
      <c r="CI895" s="5"/>
      <c r="CJ895" s="5"/>
      <c r="CK895" s="5"/>
      <c r="CL895" s="5"/>
    </row>
    <row r="896" spans="1:103" ht="2" customHeight="1">
      <c r="A896" s="209"/>
      <c r="B896" s="209"/>
      <c r="C896" s="212"/>
      <c r="D896" s="213"/>
      <c r="E896" s="209"/>
      <c r="F896" s="209"/>
      <c r="G896" s="209"/>
      <c r="H896" s="209"/>
      <c r="I896" s="209"/>
      <c r="J896" s="209"/>
      <c r="K896" s="209"/>
      <c r="L896" s="209"/>
      <c r="M896" s="209"/>
      <c r="N896" s="209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BK896" s="317"/>
      <c r="BL896" s="5"/>
      <c r="BM896" s="5"/>
      <c r="BN896" s="5"/>
      <c r="BO896" s="5"/>
      <c r="BP896" s="5"/>
      <c r="BQ896" s="5"/>
      <c r="BR896" s="5"/>
      <c r="BS896" s="5"/>
      <c r="BT896" s="5"/>
      <c r="BV896" s="317"/>
      <c r="CF896" s="5"/>
      <c r="CG896" s="5"/>
      <c r="CH896" s="5"/>
      <c r="CI896" s="5"/>
      <c r="CJ896" s="5"/>
      <c r="CK896" s="5"/>
      <c r="CL896" s="5"/>
    </row>
    <row r="897" spans="1:103" ht="26.4" customHeight="1">
      <c r="A897" s="374"/>
      <c r="B897" s="374"/>
      <c r="C897" s="374"/>
      <c r="D897" s="372"/>
      <c r="E897" s="373"/>
      <c r="F897" s="370"/>
      <c r="G897" s="215"/>
      <c r="H897" s="373"/>
      <c r="I897" s="370"/>
      <c r="J897" s="370"/>
      <c r="K897" s="370"/>
      <c r="L897" s="373"/>
      <c r="M897" s="374"/>
      <c r="N897" s="213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BK897" s="317"/>
      <c r="BL897" s="5"/>
      <c r="BM897" s="5"/>
      <c r="BN897" s="5"/>
      <c r="BO897" s="5"/>
      <c r="BP897" s="5"/>
      <c r="BQ897" s="5"/>
      <c r="BR897" s="5"/>
      <c r="BS897" s="5"/>
      <c r="BT897" s="5"/>
      <c r="BV897" s="317"/>
      <c r="CF897" s="5"/>
      <c r="CG897" s="5"/>
      <c r="CH897" s="5"/>
      <c r="CI897" s="5"/>
      <c r="CJ897" s="5"/>
      <c r="CK897" s="5"/>
      <c r="CL897" s="5"/>
    </row>
    <row r="898" spans="1:103" ht="9.65" customHeight="1">
      <c r="A898" s="374"/>
      <c r="B898" s="374"/>
      <c r="C898" s="374"/>
      <c r="D898" s="372"/>
      <c r="E898" s="373"/>
      <c r="F898" s="370"/>
      <c r="G898" s="215"/>
      <c r="H898" s="373"/>
      <c r="I898" s="233"/>
      <c r="J898" s="233"/>
      <c r="K898" s="233"/>
      <c r="L898" s="373"/>
      <c r="M898" s="374"/>
      <c r="N898" s="213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BK898" s="317"/>
      <c r="BL898" s="5"/>
      <c r="BM898" s="5"/>
      <c r="BN898" s="5"/>
      <c r="BO898" s="5"/>
      <c r="BP898" s="5"/>
      <c r="BQ898" s="5"/>
      <c r="BR898" s="5"/>
      <c r="BS898" s="5"/>
      <c r="BT898" s="5"/>
      <c r="BV898" s="317"/>
      <c r="CF898" s="5"/>
      <c r="CG898" s="5"/>
      <c r="CH898" s="5"/>
      <c r="CI898" s="5"/>
      <c r="CJ898" s="5"/>
      <c r="CK898" s="5"/>
      <c r="CL898" s="5"/>
    </row>
    <row r="899" spans="1:103" ht="10.25" customHeight="1">
      <c r="A899" s="216"/>
      <c r="B899" s="217"/>
      <c r="C899" s="218"/>
      <c r="D899" s="219"/>
      <c r="E899" s="217"/>
      <c r="F899" s="217"/>
      <c r="G899" s="217"/>
      <c r="H899" s="220"/>
      <c r="I899" s="217"/>
      <c r="J899" s="217"/>
      <c r="K899" s="217"/>
      <c r="L899" s="217"/>
      <c r="M899" s="217"/>
      <c r="N899" s="217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BA899" s="5"/>
      <c r="BB899" s="5"/>
      <c r="BC899" s="5"/>
      <c r="BD899" s="5"/>
      <c r="BE899" s="63"/>
      <c r="BF899" s="63"/>
      <c r="BG899" s="63"/>
      <c r="BK899" s="317"/>
      <c r="BL899" s="5"/>
      <c r="BM899" s="5"/>
      <c r="BN899" s="5"/>
      <c r="BO899" s="5"/>
      <c r="BP899" s="5"/>
      <c r="BQ899" s="5"/>
      <c r="BR899" s="5"/>
      <c r="BS899" s="5"/>
      <c r="BT899" s="5"/>
      <c r="BV899" s="317"/>
      <c r="CF899" s="5"/>
      <c r="CG899" s="53"/>
      <c r="CH899" s="53"/>
      <c r="CI899" s="53"/>
      <c r="CJ899" s="53"/>
      <c r="CK899" s="53"/>
      <c r="CL899" s="53"/>
      <c r="CN899" s="53"/>
      <c r="CO899" s="53"/>
      <c r="CP899" s="53"/>
      <c r="CQ899" s="53"/>
      <c r="CR899" s="53"/>
      <c r="CS899" s="53"/>
    </row>
    <row r="900" spans="1:103" ht="10.25" customHeight="1">
      <c r="A900" s="216"/>
      <c r="B900" s="217"/>
      <c r="C900" s="218"/>
      <c r="D900" s="219"/>
      <c r="E900" s="217"/>
      <c r="F900" s="217"/>
      <c r="G900" s="217"/>
      <c r="H900" s="220"/>
      <c r="I900" s="217"/>
      <c r="J900" s="217"/>
      <c r="K900" s="217"/>
      <c r="L900" s="217"/>
      <c r="M900" s="217"/>
      <c r="N900" s="217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  <c r="AJ900" s="44"/>
      <c r="AK900" s="44"/>
      <c r="AL900" s="44"/>
      <c r="AM900" s="44"/>
      <c r="AN900" s="44"/>
      <c r="AO900" s="44"/>
      <c r="AP900" s="44"/>
      <c r="AQ900" s="44"/>
      <c r="BA900" s="5"/>
      <c r="BB900" s="5"/>
      <c r="BC900" s="5"/>
      <c r="BD900" s="5"/>
      <c r="BE900" s="63"/>
      <c r="BF900" s="63"/>
      <c r="BG900" s="63"/>
      <c r="BK900" s="317"/>
      <c r="BL900" s="5"/>
      <c r="BM900" s="5"/>
      <c r="BN900" s="5"/>
      <c r="BO900" s="5"/>
      <c r="BP900" s="5"/>
      <c r="BQ900" s="5"/>
      <c r="BR900" s="5"/>
      <c r="BS900" s="5"/>
      <c r="BT900" s="5"/>
      <c r="BV900" s="317"/>
      <c r="CF900" s="5"/>
      <c r="CG900" s="53"/>
      <c r="CH900" s="53"/>
      <c r="CI900" s="53"/>
      <c r="CJ900" s="53"/>
      <c r="CK900" s="53"/>
      <c r="CL900" s="53"/>
      <c r="CN900" s="53"/>
      <c r="CO900" s="53"/>
      <c r="CP900" s="53"/>
      <c r="CQ900" s="53"/>
      <c r="CR900" s="53"/>
      <c r="CS900" s="53"/>
    </row>
    <row r="901" spans="1:103" ht="10.25" customHeight="1">
      <c r="A901" s="216"/>
      <c r="B901" s="217"/>
      <c r="C901" s="218"/>
      <c r="D901" s="219"/>
      <c r="E901" s="217"/>
      <c r="F901" s="217"/>
      <c r="G901" s="217"/>
      <c r="H901" s="220"/>
      <c r="I901" s="217"/>
      <c r="J901" s="217"/>
      <c r="K901" s="217"/>
      <c r="L901" s="217"/>
      <c r="M901" s="217"/>
      <c r="N901" s="217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4"/>
      <c r="AM901" s="44"/>
      <c r="AN901" s="44"/>
      <c r="AO901" s="44"/>
      <c r="AP901" s="44"/>
      <c r="AQ901" s="44"/>
      <c r="BA901" s="5"/>
      <c r="BB901" s="5"/>
      <c r="BC901" s="5"/>
      <c r="BD901" s="5"/>
      <c r="BE901" s="63"/>
      <c r="BF901" s="63"/>
      <c r="BG901" s="63"/>
      <c r="BK901" s="317"/>
      <c r="BL901" s="5"/>
      <c r="BM901" s="5"/>
      <c r="BN901" s="5"/>
      <c r="BO901" s="5"/>
      <c r="BP901" s="5"/>
      <c r="BQ901" s="5"/>
      <c r="BR901" s="5"/>
      <c r="BS901" s="5"/>
      <c r="BT901" s="5"/>
      <c r="BV901" s="317"/>
      <c r="CF901" s="5"/>
      <c r="CG901" s="53"/>
      <c r="CH901" s="53"/>
      <c r="CI901" s="53"/>
      <c r="CJ901" s="53"/>
      <c r="CK901" s="53"/>
      <c r="CL901" s="53"/>
      <c r="CN901" s="53"/>
      <c r="CO901" s="53"/>
      <c r="CP901" s="53"/>
      <c r="CQ901" s="53"/>
      <c r="CR901" s="53"/>
      <c r="CS901" s="53"/>
    </row>
    <row r="902" spans="1:103" ht="10.25" customHeight="1">
      <c r="A902" s="216"/>
      <c r="B902" s="217"/>
      <c r="C902" s="218"/>
      <c r="D902" s="219"/>
      <c r="E902" s="217"/>
      <c r="F902" s="217"/>
      <c r="G902" s="217"/>
      <c r="H902" s="220"/>
      <c r="I902" s="217"/>
      <c r="J902" s="217"/>
      <c r="K902" s="217"/>
      <c r="L902" s="217"/>
      <c r="M902" s="217"/>
      <c r="N902" s="217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  <c r="AJ902" s="44"/>
      <c r="AK902" s="44"/>
      <c r="AL902" s="44"/>
      <c r="AM902" s="44"/>
      <c r="AN902" s="44"/>
      <c r="AO902" s="44"/>
      <c r="AP902" s="44"/>
      <c r="AQ902" s="44"/>
      <c r="BA902" s="5"/>
      <c r="BB902" s="5"/>
      <c r="BC902" s="5"/>
      <c r="BD902" s="5"/>
      <c r="BE902" s="63"/>
      <c r="BF902" s="63"/>
      <c r="BG902" s="63"/>
      <c r="BK902" s="317"/>
      <c r="BL902" s="5"/>
      <c r="BM902" s="5"/>
      <c r="BN902" s="5"/>
      <c r="BO902" s="5"/>
      <c r="BP902" s="5"/>
      <c r="BQ902" s="5"/>
      <c r="BR902" s="5"/>
      <c r="BS902" s="5"/>
      <c r="BT902" s="5"/>
      <c r="BV902" s="317"/>
      <c r="CF902" s="5"/>
      <c r="CG902" s="53"/>
      <c r="CH902" s="53"/>
      <c r="CI902" s="53"/>
      <c r="CJ902" s="53"/>
      <c r="CK902" s="53"/>
      <c r="CL902" s="53"/>
      <c r="CN902" s="53"/>
      <c r="CO902" s="53"/>
      <c r="CP902" s="53"/>
      <c r="CQ902" s="53"/>
      <c r="CR902" s="53"/>
      <c r="CS902" s="53"/>
    </row>
    <row r="903" spans="1:103" ht="10.25" customHeight="1">
      <c r="A903" s="216"/>
      <c r="B903" s="217"/>
      <c r="C903" s="218"/>
      <c r="D903" s="219"/>
      <c r="E903" s="217"/>
      <c r="F903" s="217"/>
      <c r="G903" s="217"/>
      <c r="H903" s="220"/>
      <c r="I903" s="217"/>
      <c r="J903" s="217"/>
      <c r="K903" s="217"/>
      <c r="L903" s="217"/>
      <c r="M903" s="217"/>
      <c r="N903" s="217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  <c r="AK903" s="44"/>
      <c r="AL903" s="44"/>
      <c r="AM903" s="44"/>
      <c r="AN903" s="44"/>
      <c r="AO903" s="44"/>
      <c r="AP903" s="44"/>
      <c r="AQ903" s="44"/>
      <c r="BA903" s="5"/>
      <c r="BB903" s="5"/>
      <c r="BC903" s="5"/>
      <c r="BD903" s="5"/>
      <c r="BE903" s="63"/>
      <c r="BF903" s="63"/>
      <c r="BG903" s="63"/>
      <c r="BK903" s="317"/>
      <c r="BL903" s="5"/>
      <c r="BM903" s="5"/>
      <c r="BN903" s="5"/>
      <c r="BO903" s="5"/>
      <c r="BP903" s="5"/>
      <c r="BQ903" s="5"/>
      <c r="BR903" s="5"/>
      <c r="BS903" s="5"/>
      <c r="BT903" s="5"/>
      <c r="BV903" s="317"/>
      <c r="CF903" s="5"/>
      <c r="CG903" s="53"/>
      <c r="CH903" s="53"/>
      <c r="CI903" s="53"/>
      <c r="CJ903" s="53"/>
      <c r="CK903" s="53"/>
      <c r="CL903" s="53"/>
      <c r="CN903" s="53"/>
      <c r="CO903" s="53"/>
      <c r="CP903" s="53"/>
      <c r="CQ903" s="53"/>
      <c r="CR903" s="53"/>
      <c r="CS903" s="53"/>
    </row>
    <row r="904" spans="1:103" ht="10.25" customHeight="1">
      <c r="A904" s="216"/>
      <c r="B904" s="217"/>
      <c r="C904" s="218"/>
      <c r="D904" s="219"/>
      <c r="E904" s="217"/>
      <c r="F904" s="217"/>
      <c r="G904" s="217"/>
      <c r="H904" s="220"/>
      <c r="I904" s="217"/>
      <c r="J904" s="217"/>
      <c r="K904" s="217"/>
      <c r="L904" s="217"/>
      <c r="M904" s="217"/>
      <c r="N904" s="217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  <c r="AJ904" s="44"/>
      <c r="AK904" s="44"/>
      <c r="AL904" s="44"/>
      <c r="AM904" s="44"/>
      <c r="AN904" s="44"/>
      <c r="AO904" s="44"/>
      <c r="AP904" s="44"/>
      <c r="AQ904" s="44"/>
      <c r="BA904" s="5"/>
      <c r="BB904" s="5"/>
      <c r="BC904" s="5"/>
      <c r="BD904" s="5"/>
      <c r="BE904" s="63"/>
      <c r="BF904" s="63"/>
      <c r="BG904" s="63"/>
      <c r="BK904" s="317"/>
      <c r="BL904" s="5"/>
      <c r="BM904" s="5"/>
      <c r="BN904" s="5"/>
      <c r="BO904" s="5"/>
      <c r="BP904" s="5"/>
      <c r="BQ904" s="5"/>
      <c r="BR904" s="5"/>
      <c r="BS904" s="5"/>
      <c r="BT904" s="5"/>
      <c r="BV904" s="317"/>
      <c r="CF904" s="5"/>
      <c r="CG904" s="53"/>
      <c r="CH904" s="53"/>
      <c r="CI904" s="53"/>
      <c r="CJ904" s="53"/>
      <c r="CK904" s="53"/>
      <c r="CL904" s="53"/>
      <c r="CN904" s="53"/>
      <c r="CO904" s="53"/>
      <c r="CP904" s="53"/>
      <c r="CQ904" s="53"/>
      <c r="CR904" s="53"/>
      <c r="CS904" s="53"/>
    </row>
    <row r="905" spans="1:103" ht="10.25" customHeight="1">
      <c r="A905" s="216"/>
      <c r="B905" s="217"/>
      <c r="C905" s="218"/>
      <c r="D905" s="219"/>
      <c r="E905" s="217"/>
      <c r="F905" s="217"/>
      <c r="G905" s="217"/>
      <c r="H905" s="220"/>
      <c r="I905" s="217"/>
      <c r="J905" s="217"/>
      <c r="K905" s="217"/>
      <c r="L905" s="217"/>
      <c r="M905" s="217"/>
      <c r="N905" s="217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  <c r="AJ905" s="44"/>
      <c r="AK905" s="44"/>
      <c r="AL905" s="44"/>
      <c r="AM905" s="44"/>
      <c r="AN905" s="44"/>
      <c r="AO905" s="44"/>
      <c r="AP905" s="44"/>
      <c r="AQ905" s="44"/>
      <c r="BA905" s="5"/>
      <c r="BB905" s="5"/>
      <c r="BC905" s="5"/>
      <c r="BD905" s="5"/>
      <c r="BE905" s="63"/>
      <c r="BF905" s="63"/>
      <c r="BG905" s="63"/>
      <c r="BK905" s="317"/>
      <c r="BL905" s="5"/>
      <c r="BM905" s="5"/>
      <c r="BN905" s="5"/>
      <c r="BO905" s="5"/>
      <c r="BP905" s="5"/>
      <c r="BQ905" s="5"/>
      <c r="BR905" s="5"/>
      <c r="BS905" s="5"/>
      <c r="BT905" s="5"/>
      <c r="BV905" s="317"/>
      <c r="CF905" s="5"/>
      <c r="CG905" s="53"/>
      <c r="CH905" s="53"/>
      <c r="CI905" s="53"/>
      <c r="CJ905" s="53"/>
      <c r="CK905" s="53"/>
      <c r="CL905" s="53"/>
      <c r="CN905" s="53"/>
      <c r="CO905" s="53"/>
      <c r="CP905" s="53"/>
      <c r="CQ905" s="53"/>
      <c r="CR905" s="53"/>
      <c r="CS905" s="53"/>
    </row>
    <row r="906" spans="1:103" ht="10.25" customHeight="1">
      <c r="A906" s="216"/>
      <c r="B906" s="217"/>
      <c r="C906" s="218"/>
      <c r="D906" s="219"/>
      <c r="E906" s="217"/>
      <c r="F906" s="217"/>
      <c r="G906" s="217"/>
      <c r="H906" s="220"/>
      <c r="I906" s="217"/>
      <c r="J906" s="217"/>
      <c r="K906" s="217"/>
      <c r="L906" s="217"/>
      <c r="M906" s="217"/>
      <c r="N906" s="217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  <c r="AK906" s="44"/>
      <c r="AL906" s="44"/>
      <c r="AM906" s="44"/>
      <c r="AN906" s="44"/>
      <c r="AO906" s="44"/>
      <c r="AP906" s="44"/>
      <c r="AQ906" s="44"/>
      <c r="AW906" s="63"/>
      <c r="AX906" s="63"/>
      <c r="AY906" s="63"/>
      <c r="AZ906" s="63"/>
      <c r="BA906" s="5"/>
      <c r="BB906" s="5"/>
      <c r="BC906" s="5"/>
      <c r="BD906" s="5"/>
      <c r="BE906" s="63"/>
      <c r="BF906" s="63"/>
      <c r="BG906" s="63"/>
      <c r="BV906" s="317"/>
      <c r="CF906" s="5"/>
      <c r="CG906" s="53"/>
      <c r="CH906" s="53"/>
      <c r="CI906" s="53"/>
      <c r="CJ906" s="53"/>
      <c r="CK906" s="53"/>
      <c r="CL906" s="53"/>
      <c r="CN906" s="53"/>
      <c r="CO906" s="53"/>
      <c r="CP906" s="53"/>
      <c r="CQ906" s="53"/>
      <c r="CR906" s="53"/>
      <c r="CS906" s="53"/>
    </row>
    <row r="907" spans="1:103" ht="10.25" customHeight="1">
      <c r="A907" s="216"/>
      <c r="B907" s="217"/>
      <c r="C907" s="218"/>
      <c r="D907" s="219"/>
      <c r="E907" s="217"/>
      <c r="F907" s="217"/>
      <c r="G907" s="217"/>
      <c r="H907" s="220"/>
      <c r="I907" s="217"/>
      <c r="J907" s="217"/>
      <c r="K907" s="217"/>
      <c r="L907" s="217"/>
      <c r="M907" s="217"/>
      <c r="N907" s="217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  <c r="AJ907" s="44"/>
      <c r="AK907" s="44"/>
      <c r="AL907" s="44"/>
      <c r="AM907" s="44"/>
      <c r="AN907" s="44"/>
      <c r="AO907" s="44"/>
      <c r="AP907" s="44"/>
      <c r="AQ907" s="44"/>
      <c r="AW907" s="63"/>
      <c r="AX907" s="63"/>
      <c r="AY907" s="63"/>
      <c r="AZ907" s="63"/>
      <c r="BA907" s="5"/>
      <c r="BB907" s="5"/>
      <c r="BC907" s="5"/>
      <c r="BD907" s="5"/>
      <c r="BE907" s="63"/>
      <c r="BF907" s="63"/>
      <c r="BG907" s="63"/>
      <c r="BV907" s="317"/>
      <c r="CF907" s="5"/>
      <c r="CG907" s="53"/>
      <c r="CH907" s="53"/>
      <c r="CI907" s="53"/>
      <c r="CJ907" s="53"/>
      <c r="CK907" s="53"/>
      <c r="CL907" s="53"/>
      <c r="CN907" s="53"/>
      <c r="CO907" s="53"/>
      <c r="CP907" s="53"/>
      <c r="CQ907" s="53"/>
      <c r="CR907" s="53"/>
      <c r="CS907" s="53"/>
    </row>
    <row r="908" spans="1:103" ht="10.25" customHeight="1">
      <c r="A908" s="216"/>
      <c r="B908" s="217"/>
      <c r="C908" s="218"/>
      <c r="D908" s="219"/>
      <c r="E908" s="217"/>
      <c r="F908" s="217"/>
      <c r="G908" s="217"/>
      <c r="H908" s="220"/>
      <c r="I908" s="217"/>
      <c r="J908" s="217"/>
      <c r="K908" s="217"/>
      <c r="L908" s="217"/>
      <c r="M908" s="217"/>
      <c r="N908" s="217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  <c r="AJ908" s="44"/>
      <c r="AK908" s="44"/>
      <c r="AL908" s="44"/>
      <c r="AM908" s="44"/>
      <c r="AN908" s="44"/>
      <c r="AO908" s="44"/>
      <c r="AP908" s="44"/>
      <c r="AQ908" s="44"/>
      <c r="AW908" s="63"/>
      <c r="AX908" s="63"/>
      <c r="AY908" s="63"/>
      <c r="AZ908" s="63"/>
      <c r="BA908" s="5"/>
      <c r="BB908" s="5"/>
      <c r="BC908" s="5"/>
      <c r="BD908" s="5"/>
      <c r="BE908" s="63"/>
      <c r="BF908" s="63"/>
      <c r="BG908" s="63"/>
      <c r="BV908" s="317"/>
      <c r="CF908" s="5"/>
      <c r="CG908" s="53"/>
      <c r="CH908" s="53"/>
      <c r="CI908" s="53"/>
      <c r="CJ908" s="53"/>
      <c r="CK908" s="53"/>
      <c r="CL908" s="53"/>
      <c r="CN908" s="53"/>
      <c r="CO908" s="53"/>
      <c r="CP908" s="53"/>
      <c r="CQ908" s="53"/>
      <c r="CR908" s="53"/>
      <c r="CS908" s="53"/>
      <c r="CT908" s="5"/>
      <c r="CU908" s="5"/>
      <c r="CV908" s="5"/>
      <c r="CW908" s="5"/>
      <c r="CX908" s="5"/>
      <c r="CY908" s="5"/>
    </row>
    <row r="909" spans="1:103" ht="10.25" customHeight="1">
      <c r="A909" s="216"/>
      <c r="B909" s="217"/>
      <c r="C909" s="218"/>
      <c r="D909" s="219"/>
      <c r="E909" s="217"/>
      <c r="F909" s="217"/>
      <c r="G909" s="217"/>
      <c r="H909" s="220"/>
      <c r="I909" s="217"/>
      <c r="J909" s="217"/>
      <c r="K909" s="217"/>
      <c r="L909" s="217"/>
      <c r="M909" s="217"/>
      <c r="N909" s="217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  <c r="AJ909" s="44"/>
      <c r="AK909" s="44"/>
      <c r="AL909" s="44"/>
      <c r="AM909" s="44"/>
      <c r="AN909" s="44"/>
      <c r="AO909" s="44"/>
      <c r="AP909" s="44"/>
      <c r="AQ909" s="44"/>
      <c r="AW909" s="63"/>
      <c r="AX909" s="63"/>
      <c r="AY909" s="63"/>
      <c r="AZ909" s="63"/>
      <c r="BA909" s="5"/>
      <c r="BB909" s="5"/>
      <c r="BC909" s="5"/>
      <c r="BD909" s="5"/>
      <c r="BE909" s="63"/>
      <c r="BF909" s="63"/>
      <c r="BG909" s="63"/>
      <c r="BV909" s="317"/>
      <c r="CF909" s="5"/>
      <c r="CG909" s="53"/>
      <c r="CH909" s="53"/>
      <c r="CI909" s="53"/>
      <c r="CJ909" s="53"/>
      <c r="CK909" s="53"/>
      <c r="CL909" s="53"/>
      <c r="CN909" s="53"/>
      <c r="CO909" s="53"/>
      <c r="CP909" s="53"/>
      <c r="CQ909" s="53"/>
      <c r="CR909" s="53"/>
      <c r="CS909" s="53"/>
      <c r="CT909" s="5"/>
      <c r="CU909" s="5"/>
      <c r="CV909" s="5"/>
      <c r="CW909" s="5"/>
      <c r="CX909" s="5"/>
      <c r="CY909" s="5"/>
    </row>
    <row r="910" spans="1:103" ht="10.25" customHeight="1">
      <c r="A910" s="216"/>
      <c r="B910" s="217"/>
      <c r="C910" s="218"/>
      <c r="D910" s="219"/>
      <c r="E910" s="217"/>
      <c r="F910" s="217"/>
      <c r="G910" s="217"/>
      <c r="H910" s="220"/>
      <c r="I910" s="217"/>
      <c r="J910" s="217"/>
      <c r="K910" s="217"/>
      <c r="L910" s="217"/>
      <c r="M910" s="217"/>
      <c r="N910" s="217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  <c r="AK910" s="44"/>
      <c r="AL910" s="44"/>
      <c r="AM910" s="44"/>
      <c r="AN910" s="44"/>
      <c r="AO910" s="44"/>
      <c r="AP910" s="44"/>
      <c r="AQ910" s="44"/>
      <c r="AW910" s="63"/>
      <c r="AX910" s="63"/>
      <c r="AY910" s="63"/>
      <c r="AZ910" s="63"/>
      <c r="BA910" s="5"/>
      <c r="BB910" s="5"/>
      <c r="BC910" s="5"/>
      <c r="BD910" s="5"/>
      <c r="BE910" s="63"/>
      <c r="BF910" s="63"/>
      <c r="BG910" s="63"/>
      <c r="BV910" s="317"/>
      <c r="CF910" s="5"/>
      <c r="CG910" s="53"/>
      <c r="CH910" s="53"/>
      <c r="CI910" s="53"/>
      <c r="CJ910" s="53"/>
      <c r="CK910" s="53"/>
      <c r="CL910" s="53"/>
      <c r="CN910" s="53"/>
      <c r="CO910" s="53"/>
      <c r="CP910" s="53"/>
      <c r="CQ910" s="53"/>
      <c r="CR910" s="53"/>
      <c r="CS910" s="53"/>
      <c r="CT910" s="5"/>
      <c r="CU910" s="5"/>
      <c r="CV910" s="5"/>
      <c r="CW910" s="5"/>
      <c r="CX910" s="5"/>
      <c r="CY910" s="5"/>
    </row>
    <row r="911" spans="1:103" ht="10.25" customHeight="1">
      <c r="A911" s="216"/>
      <c r="B911" s="217"/>
      <c r="C911" s="218"/>
      <c r="D911" s="219"/>
      <c r="E911" s="217"/>
      <c r="F911" s="217"/>
      <c r="G911" s="217"/>
      <c r="H911" s="220"/>
      <c r="I911" s="217"/>
      <c r="J911" s="217"/>
      <c r="K911" s="217"/>
      <c r="L911" s="217"/>
      <c r="M911" s="217"/>
      <c r="N911" s="217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  <c r="AJ911" s="44"/>
      <c r="AK911" s="44"/>
      <c r="AL911" s="44"/>
      <c r="AM911" s="44"/>
      <c r="AN911" s="44"/>
      <c r="AO911" s="44"/>
      <c r="AP911" s="44"/>
      <c r="AQ911" s="44"/>
      <c r="BA911" s="5"/>
      <c r="BB911" s="5"/>
      <c r="BC911" s="5"/>
      <c r="BD911" s="5"/>
      <c r="BE911" s="63"/>
      <c r="BF911" s="63"/>
      <c r="BG911" s="63"/>
      <c r="BV911" s="317"/>
      <c r="CF911" s="5"/>
      <c r="CG911" s="53"/>
      <c r="CH911" s="53"/>
      <c r="CI911" s="53"/>
      <c r="CJ911" s="53"/>
      <c r="CK911" s="53"/>
      <c r="CL911" s="53"/>
      <c r="CN911" s="53"/>
      <c r="CO911" s="53"/>
      <c r="CP911" s="53"/>
      <c r="CQ911" s="53"/>
      <c r="CR911" s="53"/>
      <c r="CS911" s="53"/>
      <c r="CT911" s="5"/>
      <c r="CU911" s="5"/>
      <c r="CV911" s="5"/>
      <c r="CW911" s="5"/>
      <c r="CX911" s="5"/>
      <c r="CY911" s="5"/>
    </row>
    <row r="912" spans="1:103" ht="10.25" customHeight="1">
      <c r="A912" s="216"/>
      <c r="B912" s="217"/>
      <c r="C912" s="218"/>
      <c r="D912" s="219"/>
      <c r="E912" s="217"/>
      <c r="F912" s="217"/>
      <c r="G912" s="217"/>
      <c r="H912" s="220"/>
      <c r="I912" s="217"/>
      <c r="J912" s="217"/>
      <c r="K912" s="217"/>
      <c r="L912" s="217"/>
      <c r="M912" s="217"/>
      <c r="N912" s="217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  <c r="AK912" s="44"/>
      <c r="AL912" s="44"/>
      <c r="AM912" s="44"/>
      <c r="AN912" s="44"/>
      <c r="AO912" s="44"/>
      <c r="AP912" s="44"/>
      <c r="AQ912" s="44"/>
      <c r="BA912" s="5"/>
      <c r="BB912" s="5"/>
      <c r="BC912" s="5"/>
      <c r="BD912" s="5"/>
      <c r="BE912" s="63"/>
      <c r="BF912" s="63"/>
      <c r="BG912" s="63"/>
      <c r="BV912" s="317"/>
      <c r="CF912" s="5"/>
      <c r="CG912" s="53"/>
      <c r="CH912" s="53"/>
      <c r="CI912" s="53"/>
      <c r="CJ912" s="53"/>
      <c r="CK912" s="53"/>
      <c r="CL912" s="53"/>
      <c r="CN912" s="53"/>
      <c r="CO912" s="53"/>
      <c r="CP912" s="53"/>
      <c r="CQ912" s="53"/>
      <c r="CR912" s="53"/>
      <c r="CS912" s="53"/>
      <c r="CT912" s="5"/>
      <c r="CU912" s="5"/>
      <c r="CV912" s="5"/>
      <c r="CW912" s="5"/>
      <c r="CX912" s="5"/>
      <c r="CY912" s="5"/>
    </row>
    <row r="913" spans="1:103" ht="10.25" customHeight="1">
      <c r="A913" s="216"/>
      <c r="B913" s="217"/>
      <c r="C913" s="218"/>
      <c r="D913" s="219"/>
      <c r="E913" s="217"/>
      <c r="F913" s="217"/>
      <c r="G913" s="217"/>
      <c r="H913" s="220"/>
      <c r="I913" s="217"/>
      <c r="J913" s="217"/>
      <c r="K913" s="217"/>
      <c r="L913" s="217"/>
      <c r="M913" s="217"/>
      <c r="N913" s="217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/>
      <c r="AJ913" s="44"/>
      <c r="AK913" s="44"/>
      <c r="AL913" s="44"/>
      <c r="AM913" s="44"/>
      <c r="AN913" s="44"/>
      <c r="AO913" s="44"/>
      <c r="AP913" s="44"/>
      <c r="AQ913" s="44"/>
      <c r="BA913" s="5"/>
      <c r="BB913" s="5"/>
      <c r="BC913" s="5"/>
      <c r="BD913" s="5"/>
      <c r="BE913" s="63"/>
      <c r="BF913" s="63"/>
      <c r="BG913" s="63"/>
      <c r="CA913" s="317"/>
      <c r="CF913" s="5"/>
      <c r="CG913" s="53"/>
      <c r="CH913" s="53"/>
      <c r="CI913" s="53"/>
      <c r="CJ913" s="53"/>
      <c r="CK913" s="53"/>
      <c r="CL913" s="53"/>
      <c r="CN913" s="53"/>
      <c r="CO913" s="53"/>
      <c r="CP913" s="53"/>
      <c r="CQ913" s="53"/>
      <c r="CR913" s="53"/>
      <c r="CS913" s="53"/>
      <c r="CT913" s="5"/>
      <c r="CU913" s="5"/>
      <c r="CV913" s="5"/>
      <c r="CW913" s="5"/>
      <c r="CX913" s="5"/>
      <c r="CY913" s="5"/>
    </row>
    <row r="914" spans="1:103" ht="10.25" customHeight="1">
      <c r="A914" s="216"/>
      <c r="B914" s="217"/>
      <c r="C914" s="218"/>
      <c r="D914" s="219"/>
      <c r="E914" s="217"/>
      <c r="F914" s="217"/>
      <c r="G914" s="217"/>
      <c r="H914" s="220"/>
      <c r="I914" s="217"/>
      <c r="J914" s="217"/>
      <c r="K914" s="217"/>
      <c r="L914" s="217"/>
      <c r="M914" s="217"/>
      <c r="N914" s="217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  <c r="AJ914" s="44"/>
      <c r="AK914" s="44"/>
      <c r="AL914" s="44"/>
      <c r="AM914" s="44"/>
      <c r="AN914" s="44"/>
      <c r="AO914" s="44"/>
      <c r="AP914" s="44"/>
      <c r="AQ914" s="44"/>
      <c r="BA914" s="5"/>
      <c r="BB914" s="5"/>
      <c r="BC914" s="5"/>
      <c r="BD914" s="5"/>
      <c r="BE914" s="63"/>
      <c r="BF914" s="63"/>
      <c r="BG914" s="63"/>
      <c r="CA914" s="317"/>
      <c r="CF914" s="5"/>
      <c r="CG914" s="53"/>
      <c r="CH914" s="53"/>
      <c r="CI914" s="53"/>
      <c r="CJ914" s="53"/>
      <c r="CK914" s="53"/>
      <c r="CL914" s="53"/>
      <c r="CN914" s="53"/>
      <c r="CO914" s="53"/>
      <c r="CP914" s="53"/>
      <c r="CQ914" s="53"/>
      <c r="CR914" s="53"/>
      <c r="CS914" s="53"/>
      <c r="CT914" s="5"/>
      <c r="CU914" s="5"/>
      <c r="CV914" s="5"/>
      <c r="CW914" s="5"/>
      <c r="CX914" s="5"/>
      <c r="CY914" s="5"/>
    </row>
    <row r="915" spans="1:103" ht="10.25" customHeight="1">
      <c r="A915" s="216"/>
      <c r="B915" s="217"/>
      <c r="C915" s="218"/>
      <c r="D915" s="219"/>
      <c r="E915" s="217"/>
      <c r="F915" s="217"/>
      <c r="G915" s="217"/>
      <c r="H915" s="220"/>
      <c r="I915" s="217"/>
      <c r="J915" s="217"/>
      <c r="K915" s="217"/>
      <c r="L915" s="217"/>
      <c r="M915" s="217"/>
      <c r="N915" s="217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  <c r="AJ915" s="44"/>
      <c r="AK915" s="44"/>
      <c r="AL915" s="44"/>
      <c r="AM915" s="44"/>
      <c r="AN915" s="44"/>
      <c r="AO915" s="44"/>
      <c r="AP915" s="44"/>
      <c r="AQ915" s="44"/>
      <c r="BA915" s="5"/>
      <c r="BB915" s="5"/>
      <c r="BC915" s="5"/>
      <c r="BD915" s="5"/>
      <c r="BE915" s="63"/>
      <c r="BF915" s="63"/>
      <c r="BG915" s="63"/>
      <c r="CA915" s="317"/>
      <c r="CF915" s="5"/>
      <c r="CG915" s="53"/>
      <c r="CH915" s="53"/>
      <c r="CI915" s="53"/>
      <c r="CJ915" s="53"/>
      <c r="CK915" s="53"/>
      <c r="CL915" s="53"/>
      <c r="CN915" s="53"/>
      <c r="CO915" s="53"/>
      <c r="CP915" s="53"/>
      <c r="CQ915" s="53"/>
      <c r="CR915" s="53"/>
      <c r="CS915" s="53"/>
      <c r="CT915" s="5"/>
      <c r="CU915" s="5"/>
      <c r="CV915" s="5"/>
      <c r="CW915" s="5"/>
      <c r="CX915" s="5"/>
      <c r="CY915" s="5"/>
    </row>
    <row r="916" spans="1:103" ht="10.25" customHeight="1">
      <c r="A916" s="216"/>
      <c r="B916" s="217"/>
      <c r="C916" s="218"/>
      <c r="D916" s="219"/>
      <c r="E916" s="217"/>
      <c r="F916" s="217"/>
      <c r="G916" s="217"/>
      <c r="H916" s="220"/>
      <c r="I916" s="217"/>
      <c r="J916" s="217"/>
      <c r="K916" s="217"/>
      <c r="L916" s="217"/>
      <c r="M916" s="217"/>
      <c r="N916" s="217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/>
      <c r="AJ916" s="44"/>
      <c r="AK916" s="44"/>
      <c r="AL916" s="44"/>
      <c r="AM916" s="44"/>
      <c r="AN916" s="44"/>
      <c r="AO916" s="44"/>
      <c r="AP916" s="44"/>
      <c r="AQ916" s="44"/>
      <c r="BA916" s="5"/>
      <c r="BB916" s="5"/>
      <c r="BC916" s="5"/>
      <c r="BD916" s="5"/>
      <c r="BE916" s="63"/>
      <c r="BF916" s="63"/>
      <c r="BG916" s="63"/>
      <c r="CA916" s="317"/>
      <c r="CF916" s="5"/>
      <c r="CG916" s="53"/>
      <c r="CH916" s="53"/>
      <c r="CI916" s="53"/>
      <c r="CJ916" s="53"/>
      <c r="CK916" s="53"/>
      <c r="CL916" s="53"/>
      <c r="CN916" s="53"/>
      <c r="CO916" s="53"/>
      <c r="CP916" s="53"/>
      <c r="CQ916" s="53"/>
      <c r="CR916" s="53"/>
      <c r="CS916" s="53"/>
      <c r="CT916" s="5"/>
      <c r="CU916" s="5"/>
      <c r="CV916" s="5"/>
      <c r="CW916" s="5"/>
      <c r="CX916" s="5"/>
      <c r="CY916" s="5"/>
    </row>
    <row r="917" spans="1:103" ht="10.25" customHeight="1">
      <c r="A917" s="216"/>
      <c r="B917" s="217"/>
      <c r="C917" s="218"/>
      <c r="D917" s="219"/>
      <c r="E917" s="217"/>
      <c r="F917" s="217"/>
      <c r="G917" s="217"/>
      <c r="H917" s="220"/>
      <c r="I917" s="217"/>
      <c r="J917" s="217"/>
      <c r="K917" s="217"/>
      <c r="L917" s="217"/>
      <c r="M917" s="217"/>
      <c r="N917" s="217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  <c r="AJ917" s="44"/>
      <c r="AK917" s="44"/>
      <c r="AL917" s="44"/>
      <c r="AM917" s="44"/>
      <c r="AN917" s="44"/>
      <c r="AO917" s="44"/>
      <c r="AP917" s="44"/>
      <c r="AQ917" s="44"/>
      <c r="BA917" s="5"/>
      <c r="BB917" s="5"/>
      <c r="BC917" s="5"/>
      <c r="BD917" s="5"/>
      <c r="BE917" s="63"/>
      <c r="BF917" s="63"/>
      <c r="BG917" s="63"/>
      <c r="CA917" s="317"/>
      <c r="CF917" s="5"/>
      <c r="CG917" s="53"/>
      <c r="CH917" s="53"/>
      <c r="CI917" s="53"/>
      <c r="CJ917" s="53"/>
      <c r="CK917" s="53"/>
      <c r="CL917" s="53"/>
      <c r="CN917" s="53"/>
      <c r="CO917" s="53"/>
      <c r="CP917" s="53"/>
      <c r="CQ917" s="53"/>
      <c r="CR917" s="53"/>
      <c r="CS917" s="53"/>
      <c r="CT917" s="5"/>
      <c r="CU917" s="5"/>
      <c r="CV917" s="5"/>
      <c r="CW917" s="5"/>
      <c r="CX917" s="5"/>
      <c r="CY917" s="5"/>
    </row>
    <row r="918" spans="1:103" ht="10.25" customHeight="1">
      <c r="A918" s="216"/>
      <c r="B918" s="217"/>
      <c r="C918" s="218"/>
      <c r="D918" s="219"/>
      <c r="E918" s="217"/>
      <c r="F918" s="217"/>
      <c r="G918" s="217"/>
      <c r="H918" s="220"/>
      <c r="I918" s="217"/>
      <c r="J918" s="217"/>
      <c r="K918" s="217"/>
      <c r="L918" s="217"/>
      <c r="M918" s="217"/>
      <c r="N918" s="217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  <c r="AP918" s="44"/>
      <c r="AQ918" s="44"/>
      <c r="BA918" s="5"/>
      <c r="BB918" s="5"/>
      <c r="BC918" s="5"/>
      <c r="BD918" s="5"/>
      <c r="BE918" s="63"/>
      <c r="BF918" s="63"/>
      <c r="BG918" s="63"/>
      <c r="CA918" s="317"/>
      <c r="CF918" s="5"/>
      <c r="CG918" s="53"/>
      <c r="CH918" s="53"/>
      <c r="CI918" s="53"/>
      <c r="CJ918" s="53"/>
      <c r="CK918" s="53"/>
      <c r="CL918" s="53"/>
      <c r="CN918" s="53"/>
      <c r="CO918" s="53"/>
      <c r="CP918" s="53"/>
      <c r="CQ918" s="53"/>
      <c r="CR918" s="53"/>
      <c r="CS918" s="53"/>
      <c r="CT918" s="5"/>
      <c r="CU918" s="5"/>
      <c r="CV918" s="5"/>
      <c r="CW918" s="5"/>
      <c r="CX918" s="5"/>
      <c r="CY918" s="5"/>
    </row>
    <row r="919" spans="1:103" ht="10.25" customHeight="1">
      <c r="A919" s="216"/>
      <c r="B919" s="217"/>
      <c r="C919" s="218"/>
      <c r="D919" s="219"/>
      <c r="E919" s="217"/>
      <c r="F919" s="217"/>
      <c r="G919" s="217"/>
      <c r="H919" s="220"/>
      <c r="I919" s="217"/>
      <c r="J919" s="217"/>
      <c r="K919" s="217"/>
      <c r="L919" s="217"/>
      <c r="M919" s="217"/>
      <c r="N919" s="217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4"/>
      <c r="AQ919" s="44"/>
      <c r="BA919" s="5"/>
      <c r="BB919" s="5"/>
      <c r="BC919" s="5"/>
      <c r="BD919" s="5"/>
      <c r="BE919" s="63"/>
      <c r="BF919" s="63"/>
      <c r="BG919" s="63"/>
      <c r="CA919" s="317"/>
      <c r="CF919" s="5"/>
      <c r="CG919" s="53"/>
      <c r="CH919" s="53"/>
      <c r="CI919" s="53"/>
      <c r="CJ919" s="53"/>
      <c r="CK919" s="53"/>
      <c r="CL919" s="53"/>
      <c r="CN919" s="53"/>
      <c r="CO919" s="53"/>
      <c r="CP919" s="53"/>
      <c r="CQ919" s="53"/>
      <c r="CR919" s="53"/>
      <c r="CS919" s="53"/>
      <c r="CT919" s="5"/>
      <c r="CU919" s="5"/>
      <c r="CV919" s="5"/>
      <c r="CW919" s="5"/>
      <c r="CX919" s="5"/>
      <c r="CY919" s="5"/>
    </row>
    <row r="920" spans="1:103" ht="10.25" customHeight="1">
      <c r="A920" s="216"/>
      <c r="B920" s="217"/>
      <c r="C920" s="218"/>
      <c r="D920" s="219"/>
      <c r="E920" s="217"/>
      <c r="F920" s="217"/>
      <c r="G920" s="217"/>
      <c r="H920" s="220"/>
      <c r="I920" s="217"/>
      <c r="J920" s="217"/>
      <c r="K920" s="217"/>
      <c r="L920" s="217"/>
      <c r="M920" s="217"/>
      <c r="N920" s="217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  <c r="AJ920" s="44"/>
      <c r="AK920" s="44"/>
      <c r="AL920" s="44"/>
      <c r="AM920" s="44"/>
      <c r="AN920" s="44"/>
      <c r="AO920" s="44"/>
      <c r="AP920" s="44"/>
      <c r="AQ920" s="44"/>
      <c r="BA920" s="5"/>
      <c r="BB920" s="5"/>
      <c r="BC920" s="5"/>
      <c r="BD920" s="5"/>
      <c r="BE920" s="63"/>
      <c r="BF920" s="63"/>
      <c r="BG920" s="63"/>
      <c r="CA920" s="317"/>
      <c r="CF920" s="5"/>
      <c r="CG920" s="53"/>
      <c r="CH920" s="53"/>
      <c r="CI920" s="53"/>
      <c r="CJ920" s="53"/>
      <c r="CK920" s="53"/>
      <c r="CL920" s="53"/>
      <c r="CN920" s="53"/>
      <c r="CO920" s="53"/>
      <c r="CP920" s="53"/>
      <c r="CQ920" s="53"/>
      <c r="CR920" s="53"/>
      <c r="CS920" s="53"/>
      <c r="CT920" s="5"/>
      <c r="CU920" s="5"/>
      <c r="CV920" s="5"/>
      <c r="CW920" s="5"/>
      <c r="CX920" s="5"/>
      <c r="CY920" s="5"/>
    </row>
    <row r="921" spans="1:103" ht="10.25" customHeight="1">
      <c r="A921" s="216"/>
      <c r="B921" s="217"/>
      <c r="C921" s="218"/>
      <c r="D921" s="219"/>
      <c r="E921" s="217"/>
      <c r="F921" s="217"/>
      <c r="G921" s="217"/>
      <c r="H921" s="220"/>
      <c r="I921" s="217"/>
      <c r="J921" s="217"/>
      <c r="K921" s="217"/>
      <c r="L921" s="217"/>
      <c r="M921" s="217"/>
      <c r="N921" s="217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44"/>
      <c r="AL921" s="44"/>
      <c r="AM921" s="44"/>
      <c r="AN921" s="44"/>
      <c r="AO921" s="44"/>
      <c r="AP921" s="44"/>
      <c r="AQ921" s="44"/>
      <c r="BA921" s="5"/>
      <c r="BB921" s="5"/>
      <c r="BC921" s="5"/>
      <c r="BD921" s="5"/>
      <c r="BE921" s="63"/>
      <c r="BF921" s="63"/>
      <c r="BG921" s="63"/>
      <c r="CA921" s="317"/>
      <c r="CF921" s="5"/>
      <c r="CG921" s="53"/>
      <c r="CH921" s="53"/>
      <c r="CI921" s="53"/>
      <c r="CJ921" s="53"/>
      <c r="CK921" s="53"/>
      <c r="CL921" s="53"/>
      <c r="CN921" s="53"/>
      <c r="CO921" s="53"/>
      <c r="CP921" s="53"/>
      <c r="CQ921" s="53"/>
      <c r="CR921" s="53"/>
      <c r="CS921" s="53"/>
      <c r="CT921" s="5"/>
      <c r="CU921" s="5"/>
      <c r="CV921" s="5"/>
      <c r="CW921" s="5"/>
      <c r="CX921" s="5"/>
      <c r="CY921" s="5"/>
    </row>
    <row r="922" spans="1:103" ht="10.25" customHeight="1">
      <c r="A922" s="216"/>
      <c r="B922" s="217"/>
      <c r="C922" s="218"/>
      <c r="D922" s="219"/>
      <c r="E922" s="217"/>
      <c r="F922" s="217"/>
      <c r="G922" s="217"/>
      <c r="H922" s="220"/>
      <c r="I922" s="217"/>
      <c r="J922" s="217"/>
      <c r="K922" s="217"/>
      <c r="L922" s="217"/>
      <c r="M922" s="217"/>
      <c r="N922" s="217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  <c r="AQ922" s="44"/>
      <c r="BA922" s="5"/>
      <c r="BB922" s="5"/>
      <c r="BC922" s="5"/>
      <c r="BD922" s="5"/>
      <c r="BE922" s="63"/>
      <c r="BF922" s="63"/>
      <c r="BG922" s="63"/>
      <c r="CA922" s="317"/>
      <c r="CF922" s="5"/>
      <c r="CG922" s="53"/>
      <c r="CH922" s="53"/>
      <c r="CI922" s="53"/>
      <c r="CJ922" s="53"/>
      <c r="CK922" s="53"/>
      <c r="CL922" s="53"/>
      <c r="CN922" s="53"/>
      <c r="CO922" s="53"/>
      <c r="CP922" s="53"/>
      <c r="CQ922" s="53"/>
      <c r="CR922" s="53"/>
      <c r="CS922" s="53"/>
      <c r="CT922" s="5"/>
      <c r="CU922" s="5"/>
      <c r="CV922" s="5"/>
      <c r="CW922" s="5"/>
      <c r="CX922" s="5"/>
      <c r="CY922" s="5"/>
    </row>
    <row r="923" spans="1:103" ht="10.25" customHeight="1">
      <c r="A923" s="216"/>
      <c r="B923" s="217"/>
      <c r="C923" s="218"/>
      <c r="D923" s="219"/>
      <c r="E923" s="217"/>
      <c r="F923" s="217"/>
      <c r="G923" s="217"/>
      <c r="H923" s="220"/>
      <c r="I923" s="217"/>
      <c r="J923" s="217"/>
      <c r="K923" s="217"/>
      <c r="L923" s="217"/>
      <c r="M923" s="217"/>
      <c r="N923" s="217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  <c r="AQ923" s="44"/>
      <c r="BA923" s="5"/>
      <c r="BB923" s="5"/>
      <c r="BC923" s="5"/>
      <c r="BD923" s="5"/>
      <c r="BE923" s="63"/>
      <c r="BF923" s="63"/>
      <c r="BG923" s="63"/>
      <c r="CA923" s="317"/>
      <c r="CF923" s="5"/>
      <c r="CG923" s="53"/>
      <c r="CH923" s="53"/>
      <c r="CI923" s="53"/>
      <c r="CJ923" s="53"/>
      <c r="CK923" s="53"/>
      <c r="CL923" s="53"/>
      <c r="CN923" s="53"/>
      <c r="CO923" s="53"/>
      <c r="CP923" s="53"/>
      <c r="CQ923" s="53"/>
      <c r="CR923" s="53"/>
      <c r="CS923" s="53"/>
      <c r="CT923" s="5"/>
      <c r="CU923" s="5"/>
      <c r="CV923" s="5"/>
      <c r="CW923" s="5"/>
      <c r="CX923" s="5"/>
      <c r="CY923" s="5"/>
    </row>
    <row r="924" spans="1:103" ht="10.25" customHeight="1">
      <c r="A924" s="216"/>
      <c r="B924" s="217"/>
      <c r="C924" s="218"/>
      <c r="D924" s="219"/>
      <c r="E924" s="217"/>
      <c r="F924" s="217"/>
      <c r="G924" s="217"/>
      <c r="H924" s="220"/>
      <c r="I924" s="217"/>
      <c r="J924" s="217"/>
      <c r="K924" s="217"/>
      <c r="L924" s="217"/>
      <c r="M924" s="217"/>
      <c r="N924" s="217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  <c r="AQ924" s="44"/>
      <c r="BA924" s="5"/>
      <c r="BB924" s="5"/>
      <c r="BC924" s="5"/>
      <c r="BD924" s="5"/>
      <c r="BE924" s="63"/>
      <c r="BF924" s="63"/>
      <c r="BG924" s="63"/>
      <c r="CA924" s="317"/>
      <c r="CF924" s="5"/>
      <c r="CG924" s="53"/>
      <c r="CH924" s="53"/>
      <c r="CI924" s="53"/>
      <c r="CJ924" s="53"/>
      <c r="CK924" s="53"/>
      <c r="CL924" s="53"/>
      <c r="CN924" s="53"/>
      <c r="CO924" s="53"/>
      <c r="CP924" s="53"/>
      <c r="CQ924" s="53"/>
      <c r="CR924" s="53"/>
      <c r="CS924" s="53"/>
      <c r="CT924" s="5"/>
      <c r="CU924" s="5"/>
      <c r="CV924" s="5"/>
      <c r="CW924" s="5"/>
      <c r="CX924" s="5"/>
      <c r="CY924" s="5"/>
    </row>
    <row r="925" spans="1:103" ht="10.25" customHeight="1">
      <c r="A925" s="216"/>
      <c r="B925" s="217"/>
      <c r="C925" s="218"/>
      <c r="D925" s="219"/>
      <c r="E925" s="217"/>
      <c r="F925" s="217"/>
      <c r="G925" s="217"/>
      <c r="H925" s="220"/>
      <c r="I925" s="217"/>
      <c r="J925" s="217"/>
      <c r="K925" s="217"/>
      <c r="L925" s="217"/>
      <c r="M925" s="217"/>
      <c r="N925" s="217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  <c r="AQ925" s="44"/>
      <c r="BA925" s="5"/>
      <c r="BB925" s="5"/>
      <c r="BC925" s="5"/>
      <c r="BD925" s="5"/>
      <c r="BE925" s="63"/>
      <c r="BF925" s="63"/>
      <c r="BG925" s="63"/>
      <c r="CA925" s="256"/>
      <c r="CB925" s="261"/>
      <c r="CC925" s="261"/>
      <c r="CD925" s="261"/>
      <c r="CE925" s="261"/>
      <c r="CF925" s="255"/>
      <c r="CG925" s="53"/>
      <c r="CH925" s="53"/>
      <c r="CI925" s="53"/>
      <c r="CJ925" s="53"/>
      <c r="CK925" s="53"/>
      <c r="CL925" s="53"/>
      <c r="CN925" s="53"/>
      <c r="CO925" s="53"/>
      <c r="CP925" s="53"/>
      <c r="CQ925" s="53"/>
      <c r="CR925" s="53"/>
      <c r="CS925" s="53"/>
      <c r="CT925" s="261"/>
      <c r="CU925" s="255"/>
      <c r="CV925" s="261"/>
      <c r="CW925" s="261"/>
      <c r="CX925" s="261"/>
      <c r="CY925" s="255"/>
    </row>
    <row r="926" spans="1:103" ht="10.25" customHeight="1">
      <c r="A926" s="216"/>
      <c r="B926" s="217"/>
      <c r="C926" s="218"/>
      <c r="D926" s="219"/>
      <c r="E926" s="217"/>
      <c r="F926" s="217"/>
      <c r="G926" s="217"/>
      <c r="H926" s="220"/>
      <c r="I926" s="217"/>
      <c r="J926" s="217"/>
      <c r="K926" s="217"/>
      <c r="L926" s="217"/>
      <c r="M926" s="217"/>
      <c r="N926" s="217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BA926" s="5"/>
      <c r="BB926" s="5"/>
      <c r="BC926" s="5"/>
      <c r="BD926" s="5"/>
      <c r="BE926" s="63"/>
      <c r="BF926" s="63"/>
      <c r="BG926" s="63"/>
      <c r="CA926" s="256"/>
      <c r="CB926" s="261"/>
      <c r="CC926" s="261"/>
      <c r="CD926" s="261"/>
      <c r="CE926" s="261"/>
      <c r="CF926" s="255"/>
      <c r="CG926" s="53"/>
      <c r="CH926" s="53"/>
      <c r="CI926" s="53"/>
      <c r="CJ926" s="53"/>
      <c r="CK926" s="53"/>
      <c r="CL926" s="53"/>
      <c r="CN926" s="53"/>
      <c r="CO926" s="53"/>
      <c r="CP926" s="53"/>
      <c r="CQ926" s="53"/>
      <c r="CR926" s="53"/>
      <c r="CS926" s="53"/>
      <c r="CT926" s="261"/>
      <c r="CU926" s="255"/>
      <c r="CV926" s="261"/>
      <c r="CW926" s="261"/>
      <c r="CX926" s="261"/>
      <c r="CY926" s="255"/>
    </row>
    <row r="927" spans="1:103" ht="10.25" customHeight="1">
      <c r="A927" s="216"/>
      <c r="B927" s="217"/>
      <c r="C927" s="218"/>
      <c r="D927" s="219"/>
      <c r="E927" s="217"/>
      <c r="F927" s="217"/>
      <c r="G927" s="217"/>
      <c r="H927" s="220"/>
      <c r="I927" s="217"/>
      <c r="J927" s="217"/>
      <c r="K927" s="217"/>
      <c r="L927" s="217"/>
      <c r="M927" s="217"/>
      <c r="N927" s="217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BA927" s="5"/>
      <c r="BB927" s="5"/>
      <c r="BC927" s="5"/>
      <c r="BD927" s="5"/>
      <c r="BE927" s="63"/>
      <c r="BF927" s="63"/>
      <c r="BG927" s="63"/>
      <c r="CA927" s="256"/>
      <c r="CB927" s="261"/>
      <c r="CC927" s="261"/>
      <c r="CD927" s="261"/>
      <c r="CE927" s="261"/>
      <c r="CF927" s="255"/>
      <c r="CG927" s="53"/>
      <c r="CH927" s="53"/>
      <c r="CI927" s="53"/>
      <c r="CJ927" s="53"/>
      <c r="CK927" s="53"/>
      <c r="CL927" s="53"/>
      <c r="CN927" s="53"/>
      <c r="CO927" s="53"/>
      <c r="CP927" s="53"/>
      <c r="CQ927" s="53"/>
      <c r="CR927" s="53"/>
      <c r="CS927" s="53"/>
      <c r="CT927" s="261"/>
      <c r="CU927" s="255"/>
      <c r="CV927" s="261"/>
      <c r="CW927" s="255"/>
      <c r="CX927" s="261"/>
      <c r="CY927" s="255"/>
    </row>
    <row r="928" spans="1:103" ht="10.25" customHeight="1">
      <c r="A928" s="216"/>
      <c r="B928" s="217"/>
      <c r="C928" s="218"/>
      <c r="D928" s="219"/>
      <c r="E928" s="217"/>
      <c r="F928" s="217"/>
      <c r="G928" s="217"/>
      <c r="H928" s="220"/>
      <c r="I928" s="217"/>
      <c r="J928" s="217"/>
      <c r="K928" s="217"/>
      <c r="L928" s="217"/>
      <c r="M928" s="217"/>
      <c r="N928" s="217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  <c r="AP928" s="44"/>
      <c r="AQ928" s="44"/>
      <c r="BA928" s="5"/>
      <c r="BB928" s="5"/>
      <c r="BC928" s="5"/>
      <c r="BD928" s="5"/>
      <c r="BE928" s="63"/>
      <c r="BF928" s="63"/>
      <c r="BG928" s="63"/>
      <c r="CA928" s="256"/>
      <c r="CB928" s="261"/>
      <c r="CC928" s="261"/>
      <c r="CD928" s="261"/>
      <c r="CE928" s="261"/>
      <c r="CF928" s="255"/>
      <c r="CG928" s="53"/>
      <c r="CH928" s="53"/>
      <c r="CI928" s="53"/>
      <c r="CJ928" s="53"/>
      <c r="CK928" s="53"/>
      <c r="CL928" s="53"/>
      <c r="CN928" s="53"/>
      <c r="CO928" s="53"/>
      <c r="CP928" s="53"/>
      <c r="CQ928" s="53"/>
      <c r="CR928" s="53"/>
      <c r="CS928" s="53"/>
      <c r="CT928" s="261"/>
      <c r="CU928" s="255"/>
      <c r="CV928" s="255"/>
      <c r="CW928" s="261"/>
      <c r="CX928" s="261"/>
      <c r="CY928" s="255"/>
    </row>
    <row r="929" spans="1:103" ht="10.25" customHeight="1">
      <c r="A929" s="216"/>
      <c r="B929" s="217"/>
      <c r="C929" s="218"/>
      <c r="D929" s="219"/>
      <c r="E929" s="217"/>
      <c r="F929" s="217"/>
      <c r="G929" s="217"/>
      <c r="H929" s="220"/>
      <c r="I929" s="217"/>
      <c r="J929" s="217"/>
      <c r="K929" s="217"/>
      <c r="L929" s="217"/>
      <c r="M929" s="217"/>
      <c r="N929" s="217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BA929" s="5"/>
      <c r="BB929" s="5"/>
      <c r="BC929" s="5"/>
      <c r="BD929" s="5"/>
      <c r="BE929" s="63"/>
      <c r="BF929" s="63"/>
      <c r="BG929" s="63"/>
      <c r="CA929" s="256"/>
      <c r="CB929" s="261"/>
      <c r="CC929" s="261"/>
      <c r="CD929" s="261"/>
      <c r="CE929" s="261"/>
      <c r="CF929" s="255"/>
      <c r="CG929" s="53"/>
      <c r="CH929" s="53"/>
      <c r="CI929" s="53"/>
      <c r="CJ929" s="53"/>
      <c r="CK929" s="53"/>
      <c r="CL929" s="53"/>
      <c r="CN929" s="53"/>
      <c r="CO929" s="53"/>
      <c r="CP929" s="53"/>
      <c r="CQ929" s="53"/>
      <c r="CR929" s="53"/>
      <c r="CS929" s="53"/>
      <c r="CT929" s="261"/>
      <c r="CU929" s="255"/>
      <c r="CV929" s="261"/>
      <c r="CW929" s="255"/>
      <c r="CX929" s="261"/>
      <c r="CY929" s="255"/>
    </row>
    <row r="930" spans="1:103" ht="10.25" customHeight="1">
      <c r="A930" s="216"/>
      <c r="B930" s="217"/>
      <c r="C930" s="218"/>
      <c r="D930" s="219"/>
      <c r="E930" s="217"/>
      <c r="F930" s="217"/>
      <c r="G930" s="217"/>
      <c r="H930" s="220"/>
      <c r="I930" s="217"/>
      <c r="J930" s="217"/>
      <c r="K930" s="217"/>
      <c r="L930" s="217"/>
      <c r="M930" s="217"/>
      <c r="N930" s="217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BA930" s="5"/>
      <c r="BB930" s="5"/>
      <c r="BC930" s="5"/>
      <c r="BD930" s="5"/>
      <c r="BE930" s="63"/>
      <c r="BF930" s="63"/>
      <c r="BG930" s="63"/>
      <c r="CA930" s="256"/>
      <c r="CB930" s="261"/>
      <c r="CC930" s="261"/>
      <c r="CD930" s="261"/>
      <c r="CE930" s="255"/>
      <c r="CF930" s="261"/>
      <c r="CG930" s="53"/>
      <c r="CH930" s="53"/>
      <c r="CI930" s="53"/>
      <c r="CJ930" s="53"/>
      <c r="CK930" s="53"/>
      <c r="CL930" s="53"/>
      <c r="CN930" s="53"/>
      <c r="CO930" s="53"/>
      <c r="CP930" s="53"/>
      <c r="CQ930" s="53"/>
      <c r="CR930" s="53"/>
      <c r="CS930" s="53"/>
      <c r="CT930" s="255"/>
      <c r="CU930" s="261"/>
      <c r="CV930" s="255"/>
      <c r="CW930" s="261"/>
      <c r="CX930" s="261"/>
      <c r="CY930" s="255"/>
    </row>
    <row r="931" spans="1:103" ht="10.25" customHeight="1">
      <c r="A931" s="216"/>
      <c r="B931" s="217"/>
      <c r="C931" s="218"/>
      <c r="D931" s="219"/>
      <c r="E931" s="217"/>
      <c r="F931" s="217"/>
      <c r="G931" s="217"/>
      <c r="H931" s="220"/>
      <c r="I931" s="217"/>
      <c r="J931" s="217"/>
      <c r="K931" s="217"/>
      <c r="L931" s="217"/>
      <c r="M931" s="217"/>
      <c r="N931" s="217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BA931" s="5"/>
      <c r="BB931" s="5"/>
      <c r="BC931" s="5"/>
      <c r="BD931" s="5"/>
      <c r="BE931" s="63"/>
      <c r="BF931" s="63"/>
      <c r="BG931" s="63"/>
      <c r="CA931" s="256"/>
      <c r="CB931" s="261"/>
      <c r="CC931" s="261"/>
      <c r="CD931" s="261"/>
      <c r="CE931" s="255"/>
      <c r="CF931" s="261"/>
      <c r="CG931" s="53"/>
      <c r="CH931" s="53"/>
      <c r="CI931" s="53"/>
      <c r="CJ931" s="53"/>
      <c r="CK931" s="53"/>
      <c r="CL931" s="53"/>
      <c r="CN931" s="53"/>
      <c r="CO931" s="53"/>
      <c r="CP931" s="53"/>
      <c r="CQ931" s="53"/>
      <c r="CR931" s="53"/>
      <c r="CS931" s="53"/>
      <c r="CT931" s="255"/>
      <c r="CU931" s="261"/>
      <c r="CV931" s="261"/>
      <c r="CW931" s="255"/>
      <c r="CX931" s="261"/>
      <c r="CY931" s="255"/>
    </row>
    <row r="932" spans="1:103" ht="10.25" customHeight="1">
      <c r="A932" s="216"/>
      <c r="B932" s="217"/>
      <c r="C932" s="218"/>
      <c r="D932" s="219"/>
      <c r="E932" s="217"/>
      <c r="F932" s="217"/>
      <c r="G932" s="217"/>
      <c r="H932" s="220"/>
      <c r="I932" s="217"/>
      <c r="J932" s="217"/>
      <c r="K932" s="217"/>
      <c r="L932" s="217"/>
      <c r="M932" s="217"/>
      <c r="N932" s="217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BA932" s="5"/>
      <c r="BB932" s="5"/>
      <c r="BC932" s="5"/>
      <c r="BD932" s="5"/>
      <c r="BE932" s="63"/>
      <c r="BF932" s="63"/>
      <c r="BG932" s="63"/>
      <c r="CA932" s="256"/>
      <c r="CB932" s="261"/>
      <c r="CC932" s="261"/>
      <c r="CD932" s="255"/>
      <c r="CE932" s="261"/>
      <c r="CF932" s="261"/>
      <c r="CG932" s="53"/>
      <c r="CH932" s="53"/>
      <c r="CI932" s="53"/>
      <c r="CJ932" s="53"/>
      <c r="CK932" s="53"/>
      <c r="CL932" s="53"/>
      <c r="CN932" s="53"/>
      <c r="CO932" s="53"/>
      <c r="CP932" s="53"/>
      <c r="CQ932" s="53"/>
      <c r="CR932" s="53"/>
      <c r="CS932" s="53"/>
      <c r="CT932" s="261"/>
      <c r="CU932" s="261"/>
      <c r="CV932" s="255"/>
      <c r="CW932" s="261"/>
      <c r="CX932" s="261"/>
      <c r="CY932" s="255"/>
    </row>
    <row r="933" spans="1:103" ht="10.25" customHeight="1">
      <c r="A933" s="216"/>
      <c r="B933" s="217"/>
      <c r="C933" s="218"/>
      <c r="D933" s="219"/>
      <c r="E933" s="217"/>
      <c r="F933" s="217"/>
      <c r="G933" s="217"/>
      <c r="H933" s="220"/>
      <c r="I933" s="217"/>
      <c r="J933" s="217"/>
      <c r="K933" s="217"/>
      <c r="L933" s="217"/>
      <c r="M933" s="217"/>
      <c r="N933" s="217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BA933" s="5"/>
      <c r="BB933" s="5"/>
      <c r="BC933" s="5"/>
      <c r="BD933" s="5"/>
      <c r="BE933" s="63"/>
      <c r="BF933" s="63"/>
      <c r="BG933" s="63"/>
      <c r="CA933" s="256"/>
      <c r="CB933" s="261"/>
      <c r="CC933" s="261"/>
      <c r="CD933" s="255"/>
      <c r="CE933" s="261"/>
      <c r="CF933" s="261"/>
      <c r="CG933" s="53"/>
      <c r="CH933" s="53"/>
      <c r="CI933" s="53"/>
      <c r="CJ933" s="53"/>
      <c r="CK933" s="53"/>
      <c r="CL933" s="53"/>
      <c r="CN933" s="53"/>
      <c r="CO933" s="53"/>
      <c r="CP933" s="53"/>
      <c r="CQ933" s="53"/>
      <c r="CR933" s="53"/>
      <c r="CS933" s="53"/>
      <c r="CT933" s="261"/>
      <c r="CU933" s="261"/>
      <c r="CV933" s="261"/>
      <c r="CW933" s="255"/>
      <c r="CX933" s="261"/>
      <c r="CY933" s="255"/>
    </row>
    <row r="934" spans="1:103" ht="10.25" customHeight="1">
      <c r="A934" s="216"/>
      <c r="B934" s="217"/>
      <c r="C934" s="218"/>
      <c r="D934" s="219"/>
      <c r="E934" s="217"/>
      <c r="F934" s="217"/>
      <c r="G934" s="217"/>
      <c r="H934" s="220"/>
      <c r="I934" s="217"/>
      <c r="J934" s="217"/>
      <c r="K934" s="217"/>
      <c r="L934" s="217"/>
      <c r="M934" s="217"/>
      <c r="N934" s="217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BA934" s="5"/>
      <c r="BB934" s="5"/>
      <c r="BC934" s="5"/>
      <c r="BD934" s="5"/>
      <c r="BE934" s="63"/>
      <c r="BF934" s="63"/>
      <c r="BG934" s="63"/>
      <c r="CA934" s="256"/>
      <c r="CB934" s="261"/>
      <c r="CC934" s="261"/>
      <c r="CD934" s="255"/>
      <c r="CE934" s="261"/>
      <c r="CF934" s="261"/>
      <c r="CG934" s="53"/>
      <c r="CH934" s="53"/>
      <c r="CI934" s="53"/>
      <c r="CJ934" s="53"/>
      <c r="CK934" s="53"/>
      <c r="CL934" s="53"/>
      <c r="CN934" s="53"/>
      <c r="CO934" s="53"/>
      <c r="CP934" s="53"/>
      <c r="CQ934" s="53"/>
      <c r="CR934" s="53"/>
      <c r="CS934" s="53"/>
      <c r="CT934" s="261"/>
      <c r="CU934" s="261"/>
      <c r="CV934" s="261"/>
      <c r="CW934" s="261"/>
      <c r="CX934" s="261"/>
      <c r="CY934" s="255"/>
    </row>
    <row r="935" spans="1:103" ht="10.25" customHeight="1">
      <c r="A935" s="216"/>
      <c r="B935" s="217"/>
      <c r="C935" s="218"/>
      <c r="D935" s="219"/>
      <c r="E935" s="217"/>
      <c r="F935" s="217"/>
      <c r="G935" s="217"/>
      <c r="H935" s="220"/>
      <c r="I935" s="217"/>
      <c r="J935" s="217"/>
      <c r="K935" s="217"/>
      <c r="L935" s="217"/>
      <c r="M935" s="217"/>
      <c r="N935" s="217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BA935" s="5"/>
      <c r="BB935" s="5"/>
      <c r="BC935" s="5"/>
      <c r="BD935" s="5"/>
      <c r="BE935" s="63"/>
      <c r="BF935" s="63"/>
      <c r="BG935" s="63"/>
      <c r="CA935" s="256"/>
      <c r="CB935" s="261"/>
      <c r="CC935" s="261"/>
      <c r="CD935" s="261"/>
      <c r="CE935" s="261"/>
      <c r="CF935" s="261"/>
      <c r="CG935" s="53"/>
      <c r="CH935" s="53"/>
      <c r="CI935" s="53"/>
      <c r="CJ935" s="53"/>
      <c r="CK935" s="53"/>
      <c r="CL935" s="53"/>
      <c r="CN935" s="53"/>
      <c r="CO935" s="53"/>
      <c r="CP935" s="53"/>
      <c r="CQ935" s="53"/>
      <c r="CR935" s="53"/>
      <c r="CS935" s="53"/>
      <c r="CT935" s="261"/>
      <c r="CU935" s="261"/>
      <c r="CV935" s="255"/>
      <c r="CW935" s="255"/>
      <c r="CX935" s="261"/>
      <c r="CY935" s="255"/>
    </row>
    <row r="936" spans="1:103" ht="10.25" customHeight="1">
      <c r="A936" s="216"/>
      <c r="B936" s="217"/>
      <c r="C936" s="218"/>
      <c r="D936" s="219"/>
      <c r="E936" s="217"/>
      <c r="F936" s="217"/>
      <c r="G936" s="217"/>
      <c r="H936" s="220"/>
      <c r="I936" s="217"/>
      <c r="J936" s="217"/>
      <c r="K936" s="217"/>
      <c r="L936" s="217"/>
      <c r="M936" s="217"/>
      <c r="N936" s="217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BA936" s="5"/>
      <c r="BB936" s="5"/>
      <c r="BC936" s="5"/>
      <c r="BD936" s="5"/>
      <c r="BE936" s="63"/>
      <c r="BF936" s="63"/>
      <c r="BG936" s="63"/>
      <c r="CA936" s="256"/>
      <c r="CB936" s="261"/>
      <c r="CC936" s="261"/>
      <c r="CD936" s="261"/>
      <c r="CE936" s="261"/>
      <c r="CF936" s="261"/>
      <c r="CG936" s="53"/>
      <c r="CH936" s="53"/>
      <c r="CI936" s="53"/>
      <c r="CJ936" s="53"/>
      <c r="CK936" s="53"/>
      <c r="CL936" s="53"/>
      <c r="CN936" s="53"/>
      <c r="CO936" s="53"/>
      <c r="CP936" s="53"/>
      <c r="CQ936" s="53"/>
      <c r="CR936" s="53"/>
      <c r="CS936" s="53"/>
      <c r="CT936" s="261"/>
      <c r="CU936" s="261"/>
      <c r="CV936" s="261"/>
      <c r="CW936" s="261"/>
      <c r="CX936" s="261"/>
      <c r="CY936" s="255"/>
    </row>
    <row r="937" spans="1:103" ht="10.25" customHeight="1">
      <c r="A937" s="216"/>
      <c r="B937" s="217"/>
      <c r="C937" s="218"/>
      <c r="D937" s="219"/>
      <c r="E937" s="217"/>
      <c r="F937" s="217"/>
      <c r="G937" s="217"/>
      <c r="H937" s="220"/>
      <c r="I937" s="217"/>
      <c r="J937" s="217"/>
      <c r="K937" s="217"/>
      <c r="L937" s="217"/>
      <c r="M937" s="217"/>
      <c r="N937" s="217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BA937" s="5"/>
      <c r="BB937" s="5"/>
      <c r="BC937" s="5"/>
      <c r="BD937" s="5"/>
      <c r="BE937" s="63"/>
      <c r="BF937" s="63"/>
      <c r="BG937" s="63"/>
      <c r="CA937" s="256"/>
      <c r="CB937" s="261"/>
      <c r="CC937" s="261"/>
      <c r="CD937" s="261"/>
      <c r="CE937" s="261"/>
      <c r="CF937" s="261"/>
      <c r="CG937" s="53"/>
      <c r="CH937" s="53"/>
      <c r="CI937" s="53"/>
      <c r="CJ937" s="53"/>
      <c r="CK937" s="53"/>
      <c r="CL937" s="53"/>
      <c r="CN937" s="53"/>
      <c r="CO937" s="53"/>
      <c r="CP937" s="53"/>
      <c r="CQ937" s="53"/>
      <c r="CR937" s="53"/>
      <c r="CS937" s="53"/>
      <c r="CT937" s="261"/>
      <c r="CU937" s="261"/>
      <c r="CV937" s="255"/>
      <c r="CW937" s="255"/>
      <c r="CX937" s="261"/>
      <c r="CY937" s="255"/>
    </row>
    <row r="938" spans="1:103" ht="10.25" customHeight="1">
      <c r="A938" s="216"/>
      <c r="B938" s="217"/>
      <c r="C938" s="218"/>
      <c r="D938" s="219"/>
      <c r="E938" s="217"/>
      <c r="F938" s="217"/>
      <c r="G938" s="217"/>
      <c r="H938" s="220"/>
      <c r="I938" s="217"/>
      <c r="J938" s="217"/>
      <c r="K938" s="217"/>
      <c r="L938" s="217"/>
      <c r="M938" s="217"/>
      <c r="N938" s="217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BA938" s="5"/>
      <c r="BB938" s="5"/>
      <c r="BC938" s="5"/>
      <c r="BD938" s="5"/>
      <c r="BE938" s="63"/>
      <c r="BF938" s="63"/>
      <c r="BG938" s="63"/>
      <c r="CA938" s="256"/>
      <c r="CB938" s="261"/>
      <c r="CC938" s="261"/>
      <c r="CD938" s="261"/>
      <c r="CE938" s="261"/>
      <c r="CF938" s="261"/>
      <c r="CG938" s="53"/>
      <c r="CH938" s="53"/>
      <c r="CI938" s="53"/>
      <c r="CJ938" s="53"/>
      <c r="CK938" s="53"/>
      <c r="CL938" s="53"/>
      <c r="CN938" s="53"/>
      <c r="CO938" s="53"/>
      <c r="CP938" s="53"/>
      <c r="CQ938" s="53"/>
      <c r="CR938" s="53"/>
      <c r="CS938" s="53"/>
      <c r="CT938" s="261"/>
      <c r="CU938" s="261"/>
      <c r="CV938" s="261"/>
      <c r="CW938" s="261"/>
      <c r="CX938" s="255"/>
      <c r="CY938" s="255"/>
    </row>
    <row r="939" spans="1:103" ht="10.25" customHeight="1">
      <c r="A939" s="216"/>
      <c r="B939" s="217"/>
      <c r="C939" s="218"/>
      <c r="D939" s="219"/>
      <c r="E939" s="217"/>
      <c r="F939" s="217"/>
      <c r="G939" s="217"/>
      <c r="H939" s="220"/>
      <c r="I939" s="217"/>
      <c r="J939" s="217"/>
      <c r="K939" s="217"/>
      <c r="L939" s="217"/>
      <c r="M939" s="217"/>
      <c r="N939" s="217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BA939" s="5"/>
      <c r="BB939" s="5"/>
      <c r="BC939" s="5"/>
      <c r="BD939" s="5"/>
      <c r="BE939" s="63"/>
      <c r="BF939" s="63"/>
      <c r="BG939" s="63"/>
      <c r="CA939" s="256"/>
      <c r="CB939" s="261"/>
      <c r="CC939" s="261"/>
      <c r="CD939" s="261"/>
      <c r="CE939" s="261"/>
      <c r="CF939" s="261"/>
      <c r="CG939" s="53"/>
      <c r="CH939" s="53"/>
      <c r="CI939" s="53"/>
      <c r="CJ939" s="53"/>
      <c r="CK939" s="53"/>
      <c r="CL939" s="53"/>
      <c r="CN939" s="53"/>
      <c r="CO939" s="53"/>
      <c r="CP939" s="53"/>
      <c r="CQ939" s="53"/>
      <c r="CR939" s="53"/>
      <c r="CS939" s="53"/>
      <c r="CT939" s="261"/>
      <c r="CU939" s="261"/>
      <c r="CV939" s="255"/>
      <c r="CW939" s="255"/>
      <c r="CX939" s="261"/>
      <c r="CY939" s="255"/>
    </row>
    <row r="940" spans="1:103" ht="10.25" customHeight="1">
      <c r="A940" s="216"/>
      <c r="B940" s="217"/>
      <c r="C940" s="218"/>
      <c r="D940" s="219"/>
      <c r="E940" s="217"/>
      <c r="F940" s="217"/>
      <c r="G940" s="217"/>
      <c r="H940" s="220"/>
      <c r="I940" s="217"/>
      <c r="J940" s="217"/>
      <c r="K940" s="217"/>
      <c r="L940" s="217"/>
      <c r="M940" s="217"/>
      <c r="N940" s="217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  <c r="AK940" s="44"/>
      <c r="AL940" s="44"/>
      <c r="AM940" s="44"/>
      <c r="AN940" s="44"/>
      <c r="AO940" s="44"/>
      <c r="AP940" s="44"/>
      <c r="AQ940" s="44"/>
      <c r="BA940" s="5"/>
      <c r="BB940" s="5"/>
      <c r="BC940" s="5"/>
      <c r="BD940" s="5"/>
      <c r="BE940" s="63"/>
      <c r="BF940" s="63"/>
      <c r="BG940" s="63"/>
      <c r="CA940" s="256"/>
      <c r="CB940" s="261"/>
      <c r="CC940" s="261"/>
      <c r="CD940" s="261"/>
      <c r="CE940" s="261"/>
      <c r="CF940" s="261"/>
      <c r="CG940" s="53"/>
      <c r="CH940" s="53"/>
      <c r="CI940" s="53"/>
      <c r="CJ940" s="53"/>
      <c r="CK940" s="53"/>
      <c r="CL940" s="53"/>
      <c r="CN940" s="53"/>
      <c r="CO940" s="53"/>
      <c r="CP940" s="53"/>
      <c r="CQ940" s="53"/>
      <c r="CR940" s="53"/>
      <c r="CS940" s="53"/>
      <c r="CT940" s="261"/>
      <c r="CU940" s="261"/>
      <c r="CV940" s="261"/>
      <c r="CW940" s="261"/>
      <c r="CX940" s="261"/>
      <c r="CY940" s="255"/>
    </row>
    <row r="941" spans="1:103" ht="10.25" customHeight="1">
      <c r="A941" s="216"/>
      <c r="B941" s="217"/>
      <c r="C941" s="218"/>
      <c r="D941" s="219"/>
      <c r="E941" s="217"/>
      <c r="F941" s="217"/>
      <c r="G941" s="217"/>
      <c r="H941" s="220"/>
      <c r="I941" s="217"/>
      <c r="J941" s="217"/>
      <c r="K941" s="217"/>
      <c r="L941" s="217"/>
      <c r="M941" s="217"/>
      <c r="N941" s="217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  <c r="AJ941" s="44"/>
      <c r="AK941" s="44"/>
      <c r="AL941" s="44"/>
      <c r="AM941" s="44"/>
      <c r="AN941" s="44"/>
      <c r="AO941" s="44"/>
      <c r="AP941" s="44"/>
      <c r="AQ941" s="44"/>
      <c r="BA941" s="5"/>
      <c r="BB941" s="5"/>
      <c r="BC941" s="5"/>
      <c r="BD941" s="5"/>
      <c r="BE941" s="63"/>
      <c r="BF941" s="63"/>
      <c r="BG941" s="63"/>
      <c r="CA941" s="256"/>
      <c r="CB941" s="261"/>
      <c r="CC941" s="261"/>
      <c r="CD941" s="261"/>
      <c r="CE941" s="261"/>
      <c r="CF941" s="261"/>
      <c r="CG941" s="53"/>
      <c r="CH941" s="53"/>
      <c r="CI941" s="53"/>
      <c r="CJ941" s="53"/>
      <c r="CK941" s="53"/>
      <c r="CL941" s="53"/>
      <c r="CN941" s="53"/>
      <c r="CO941" s="53"/>
      <c r="CP941" s="53"/>
      <c r="CQ941" s="53"/>
      <c r="CR941" s="53"/>
      <c r="CS941" s="53"/>
      <c r="CT941" s="261"/>
      <c r="CU941" s="261"/>
      <c r="CV941" s="261"/>
      <c r="CW941" s="255"/>
      <c r="CX941" s="261"/>
      <c r="CY941" s="255"/>
    </row>
    <row r="942" spans="1:103" ht="10.25" customHeight="1">
      <c r="A942" s="216"/>
      <c r="B942" s="217"/>
      <c r="C942" s="218"/>
      <c r="D942" s="219"/>
      <c r="E942" s="217"/>
      <c r="F942" s="217"/>
      <c r="G942" s="217"/>
      <c r="H942" s="220"/>
      <c r="I942" s="217"/>
      <c r="J942" s="217"/>
      <c r="K942" s="217"/>
      <c r="L942" s="217"/>
      <c r="M942" s="217"/>
      <c r="N942" s="217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  <c r="AK942" s="44"/>
      <c r="AL942" s="44"/>
      <c r="AM942" s="44"/>
      <c r="AN942" s="44"/>
      <c r="AO942" s="44"/>
      <c r="AP942" s="44"/>
      <c r="AQ942" s="44"/>
      <c r="BA942" s="5"/>
      <c r="BB942" s="5"/>
      <c r="BC942" s="5"/>
      <c r="BD942" s="5"/>
      <c r="BE942" s="63"/>
      <c r="BF942" s="63"/>
      <c r="BG942" s="63"/>
      <c r="CA942" s="256"/>
      <c r="CB942" s="261"/>
      <c r="CC942" s="261"/>
      <c r="CD942" s="261"/>
      <c r="CE942" s="261"/>
      <c r="CF942" s="261"/>
      <c r="CG942" s="53"/>
      <c r="CH942" s="53"/>
      <c r="CI942" s="53"/>
      <c r="CJ942" s="53"/>
      <c r="CK942" s="53"/>
      <c r="CL942" s="53"/>
      <c r="CN942" s="53"/>
      <c r="CO942" s="53"/>
      <c r="CP942" s="53"/>
      <c r="CQ942" s="53"/>
      <c r="CR942" s="53"/>
      <c r="CS942" s="53"/>
      <c r="CT942" s="261"/>
      <c r="CU942" s="261"/>
      <c r="CV942" s="261"/>
      <c r="CW942" s="261"/>
      <c r="CX942" s="261"/>
      <c r="CY942" s="255"/>
    </row>
    <row r="943" spans="1:103" ht="10.25" customHeight="1">
      <c r="A943" s="216"/>
      <c r="B943" s="217"/>
      <c r="C943" s="218"/>
      <c r="D943" s="219"/>
      <c r="E943" s="217"/>
      <c r="F943" s="217"/>
      <c r="G943" s="217"/>
      <c r="H943" s="220"/>
      <c r="I943" s="217"/>
      <c r="J943" s="217"/>
      <c r="K943" s="217"/>
      <c r="L943" s="217"/>
      <c r="M943" s="217"/>
      <c r="N943" s="217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  <c r="AJ943" s="44"/>
      <c r="AK943" s="44"/>
      <c r="AL943" s="44"/>
      <c r="AM943" s="44"/>
      <c r="AN943" s="44"/>
      <c r="AO943" s="44"/>
      <c r="AP943" s="44"/>
      <c r="AQ943" s="44"/>
      <c r="BA943" s="5"/>
      <c r="BB943" s="5"/>
      <c r="BC943" s="5"/>
      <c r="BD943" s="5"/>
      <c r="BE943" s="63"/>
      <c r="BF943" s="63"/>
      <c r="BG943" s="63"/>
      <c r="CA943" s="256"/>
      <c r="CB943" s="261"/>
      <c r="CC943" s="261"/>
      <c r="CD943" s="261"/>
      <c r="CE943" s="261"/>
      <c r="CF943" s="261"/>
      <c r="CG943" s="53"/>
      <c r="CH943" s="53"/>
      <c r="CI943" s="53"/>
      <c r="CJ943" s="53"/>
      <c r="CK943" s="53"/>
      <c r="CL943" s="53"/>
      <c r="CN943" s="53"/>
      <c r="CO943" s="53"/>
      <c r="CP943" s="53"/>
      <c r="CQ943" s="53"/>
      <c r="CR943" s="53"/>
      <c r="CS943" s="53"/>
      <c r="CT943" s="261"/>
      <c r="CU943" s="261"/>
      <c r="CV943" s="255"/>
      <c r="CW943" s="255"/>
      <c r="CX943" s="261"/>
      <c r="CY943" s="255"/>
    </row>
    <row r="944" spans="1:103" ht="10.25" customHeight="1">
      <c r="A944" s="216"/>
      <c r="B944" s="217"/>
      <c r="C944" s="218"/>
      <c r="D944" s="219"/>
      <c r="E944" s="217"/>
      <c r="F944" s="217"/>
      <c r="G944" s="217"/>
      <c r="H944" s="220"/>
      <c r="I944" s="217"/>
      <c r="J944" s="217"/>
      <c r="K944" s="217"/>
      <c r="L944" s="217"/>
      <c r="M944" s="217"/>
      <c r="N944" s="217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  <c r="AJ944" s="44"/>
      <c r="AK944" s="44"/>
      <c r="AL944" s="44"/>
      <c r="AM944" s="44"/>
      <c r="AN944" s="44"/>
      <c r="AO944" s="44"/>
      <c r="AP944" s="44"/>
      <c r="AQ944" s="44"/>
      <c r="BA944" s="5"/>
      <c r="BB944" s="5"/>
      <c r="BC944" s="5"/>
      <c r="BD944" s="5"/>
      <c r="BE944" s="63"/>
      <c r="BF944" s="63"/>
      <c r="BG944" s="63"/>
      <c r="CA944" s="256"/>
      <c r="CB944" s="261"/>
      <c r="CC944" s="261"/>
      <c r="CD944" s="261"/>
      <c r="CE944" s="261"/>
      <c r="CF944" s="261"/>
      <c r="CG944" s="53"/>
      <c r="CH944" s="53"/>
      <c r="CI944" s="53"/>
      <c r="CJ944" s="53"/>
      <c r="CK944" s="53"/>
      <c r="CL944" s="53"/>
      <c r="CN944" s="53"/>
      <c r="CO944" s="53"/>
      <c r="CP944" s="53"/>
      <c r="CQ944" s="53"/>
      <c r="CR944" s="53"/>
      <c r="CS944" s="53"/>
      <c r="CT944" s="261"/>
      <c r="CU944" s="261"/>
      <c r="CV944" s="261"/>
      <c r="CW944" s="261"/>
      <c r="CX944" s="261"/>
      <c r="CY944" s="255"/>
    </row>
    <row r="945" spans="1:103" ht="10.25" customHeight="1">
      <c r="A945" s="216"/>
      <c r="B945" s="217"/>
      <c r="C945" s="218"/>
      <c r="D945" s="219"/>
      <c r="E945" s="217"/>
      <c r="F945" s="217"/>
      <c r="G945" s="217"/>
      <c r="H945" s="220"/>
      <c r="I945" s="217"/>
      <c r="J945" s="217"/>
      <c r="K945" s="217"/>
      <c r="L945" s="217"/>
      <c r="M945" s="217"/>
      <c r="N945" s="217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  <c r="AJ945" s="44"/>
      <c r="AK945" s="44"/>
      <c r="AL945" s="44"/>
      <c r="AM945" s="44"/>
      <c r="AN945" s="44"/>
      <c r="AO945" s="44"/>
      <c r="AP945" s="44"/>
      <c r="AQ945" s="44"/>
      <c r="BA945" s="5"/>
      <c r="BB945" s="5"/>
      <c r="BC945" s="5"/>
      <c r="BD945" s="5"/>
      <c r="BE945" s="63"/>
      <c r="BF945" s="63"/>
      <c r="BG945" s="63"/>
      <c r="CA945" s="256"/>
      <c r="CB945" s="261"/>
      <c r="CC945" s="261"/>
      <c r="CD945" s="261"/>
      <c r="CE945" s="261"/>
      <c r="CF945" s="261"/>
      <c r="CG945" s="53"/>
      <c r="CH945" s="53"/>
      <c r="CI945" s="53"/>
      <c r="CJ945" s="53"/>
      <c r="CK945" s="53"/>
      <c r="CL945" s="53"/>
      <c r="CN945" s="53"/>
      <c r="CO945" s="53"/>
      <c r="CP945" s="53"/>
      <c r="CQ945" s="53"/>
      <c r="CR945" s="53"/>
      <c r="CS945" s="53"/>
      <c r="CT945" s="261"/>
      <c r="CU945" s="261"/>
      <c r="CV945" s="255"/>
      <c r="CW945" s="255"/>
      <c r="CX945" s="255"/>
      <c r="CY945" s="255"/>
    </row>
    <row r="946" spans="1:103" ht="10.25" customHeight="1">
      <c r="A946" s="216"/>
      <c r="B946" s="217"/>
      <c r="C946" s="218"/>
      <c r="D946" s="219"/>
      <c r="E946" s="217"/>
      <c r="F946" s="217"/>
      <c r="G946" s="217"/>
      <c r="H946" s="220"/>
      <c r="I946" s="217"/>
      <c r="J946" s="217"/>
      <c r="K946" s="217"/>
      <c r="L946" s="217"/>
      <c r="M946" s="217"/>
      <c r="N946" s="217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  <c r="AK946" s="44"/>
      <c r="AL946" s="44"/>
      <c r="AM946" s="44"/>
      <c r="AN946" s="44"/>
      <c r="AO946" s="44"/>
      <c r="AP946" s="44"/>
      <c r="AQ946" s="44"/>
      <c r="BA946" s="5"/>
      <c r="BB946" s="5"/>
      <c r="BC946" s="5"/>
      <c r="BD946" s="5"/>
      <c r="BE946" s="63"/>
      <c r="BF946" s="63"/>
      <c r="BG946" s="63"/>
      <c r="CA946" s="256"/>
      <c r="CB946" s="261"/>
      <c r="CC946" s="261"/>
      <c r="CD946" s="261"/>
      <c r="CE946" s="261"/>
      <c r="CF946" s="261"/>
      <c r="CG946" s="53"/>
      <c r="CH946" s="53"/>
      <c r="CI946" s="53"/>
      <c r="CJ946" s="53"/>
      <c r="CK946" s="53"/>
      <c r="CL946" s="53"/>
      <c r="CN946" s="53"/>
      <c r="CO946" s="53"/>
      <c r="CP946" s="53"/>
      <c r="CQ946" s="53"/>
      <c r="CR946" s="53"/>
      <c r="CS946" s="53"/>
      <c r="CT946" s="261"/>
      <c r="CU946" s="261"/>
      <c r="CV946" s="261"/>
      <c r="CW946" s="255"/>
      <c r="CX946" s="261"/>
      <c r="CY946" s="255"/>
    </row>
    <row r="947" spans="1:103" ht="10.25" customHeight="1">
      <c r="A947" s="216"/>
      <c r="B947" s="217"/>
      <c r="C947" s="218"/>
      <c r="D947" s="219"/>
      <c r="E947" s="217"/>
      <c r="F947" s="217"/>
      <c r="G947" s="217"/>
      <c r="H947" s="220"/>
      <c r="I947" s="217"/>
      <c r="J947" s="217"/>
      <c r="K947" s="217"/>
      <c r="L947" s="217"/>
      <c r="M947" s="217"/>
      <c r="N947" s="217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  <c r="AJ947" s="44"/>
      <c r="AK947" s="44"/>
      <c r="AL947" s="44"/>
      <c r="AM947" s="44"/>
      <c r="AN947" s="44"/>
      <c r="AO947" s="44"/>
      <c r="AP947" s="44"/>
      <c r="AQ947" s="44"/>
      <c r="BA947" s="5"/>
      <c r="BB947" s="5"/>
      <c r="BC947" s="5"/>
      <c r="BD947" s="5"/>
      <c r="BE947" s="63"/>
      <c r="BF947" s="63"/>
      <c r="BG947" s="63"/>
      <c r="CA947" s="256"/>
      <c r="CB947" s="261"/>
      <c r="CC947" s="261"/>
      <c r="CD947" s="261"/>
      <c r="CE947" s="261"/>
      <c r="CF947" s="261"/>
      <c r="CG947" s="53"/>
      <c r="CH947" s="53"/>
      <c r="CI947" s="53"/>
      <c r="CJ947" s="53"/>
      <c r="CK947" s="53"/>
      <c r="CL947" s="53"/>
      <c r="CN947" s="53"/>
      <c r="CO947" s="53"/>
      <c r="CP947" s="53"/>
      <c r="CQ947" s="53"/>
      <c r="CR947" s="53"/>
      <c r="CS947" s="53"/>
      <c r="CT947" s="261"/>
      <c r="CU947" s="261"/>
      <c r="CV947" s="255"/>
      <c r="CW947" s="255"/>
      <c r="CX947" s="261"/>
      <c r="CY947" s="255"/>
    </row>
    <row r="948" spans="1:103" ht="10.25" customHeight="1">
      <c r="A948" s="216"/>
      <c r="B948" s="217"/>
      <c r="C948" s="218"/>
      <c r="D948" s="219"/>
      <c r="E948" s="217"/>
      <c r="F948" s="217"/>
      <c r="G948" s="217"/>
      <c r="H948" s="220"/>
      <c r="I948" s="217"/>
      <c r="J948" s="217"/>
      <c r="K948" s="217"/>
      <c r="L948" s="217"/>
      <c r="M948" s="217"/>
      <c r="N948" s="217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  <c r="AK948" s="44"/>
      <c r="AL948" s="44"/>
      <c r="AM948" s="44"/>
      <c r="AN948" s="44"/>
      <c r="AO948" s="44"/>
      <c r="AP948" s="44"/>
      <c r="AQ948" s="44"/>
      <c r="BA948" s="5"/>
      <c r="BB948" s="5"/>
      <c r="BC948" s="5"/>
      <c r="BD948" s="5"/>
      <c r="BE948" s="63"/>
      <c r="BF948" s="63"/>
      <c r="BG948" s="63"/>
      <c r="CA948" s="256"/>
      <c r="CB948" s="261"/>
      <c r="CC948" s="261"/>
      <c r="CD948" s="261"/>
      <c r="CE948" s="261"/>
      <c r="CF948" s="261"/>
      <c r="CG948" s="53"/>
      <c r="CH948" s="53"/>
      <c r="CI948" s="53"/>
      <c r="CJ948" s="53"/>
      <c r="CK948" s="53"/>
      <c r="CL948" s="53"/>
      <c r="CN948" s="53"/>
      <c r="CO948" s="53"/>
      <c r="CP948" s="53"/>
      <c r="CQ948" s="53"/>
      <c r="CR948" s="53"/>
      <c r="CS948" s="53"/>
      <c r="CT948" s="261"/>
      <c r="CU948" s="261"/>
      <c r="CV948" s="261"/>
      <c r="CW948" s="261"/>
      <c r="CX948" s="261"/>
      <c r="CY948" s="255"/>
    </row>
    <row r="949" spans="1:103" ht="10.25" customHeight="1">
      <c r="A949" s="216"/>
      <c r="B949" s="217"/>
      <c r="C949" s="218"/>
      <c r="D949" s="219"/>
      <c r="E949" s="217"/>
      <c r="F949" s="217"/>
      <c r="G949" s="217"/>
      <c r="H949" s="220"/>
      <c r="I949" s="217"/>
      <c r="J949" s="217"/>
      <c r="K949" s="217"/>
      <c r="L949" s="217"/>
      <c r="M949" s="217"/>
      <c r="N949" s="217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  <c r="AJ949" s="44"/>
      <c r="AK949" s="44"/>
      <c r="AL949" s="44"/>
      <c r="AM949" s="44"/>
      <c r="AN949" s="44"/>
      <c r="AO949" s="44"/>
      <c r="AP949" s="44"/>
      <c r="AQ949" s="44"/>
      <c r="BA949" s="5"/>
      <c r="BB949" s="5"/>
      <c r="BC949" s="5"/>
      <c r="BD949" s="5"/>
      <c r="BE949" s="63"/>
      <c r="BF949" s="63"/>
      <c r="BG949" s="63"/>
      <c r="CA949" s="256"/>
      <c r="CB949" s="261"/>
      <c r="CC949" s="261"/>
      <c r="CD949" s="261"/>
      <c r="CE949" s="261"/>
      <c r="CF949" s="261"/>
      <c r="CG949" s="53"/>
      <c r="CH949" s="53"/>
      <c r="CI949" s="53"/>
      <c r="CJ949" s="53"/>
      <c r="CK949" s="53"/>
      <c r="CL949" s="53"/>
      <c r="CN949" s="53"/>
      <c r="CO949" s="53"/>
      <c r="CP949" s="53"/>
      <c r="CQ949" s="53"/>
      <c r="CR949" s="53"/>
      <c r="CS949" s="53"/>
      <c r="CT949" s="261"/>
      <c r="CU949" s="261"/>
      <c r="CV949" s="255"/>
      <c r="CW949" s="255"/>
      <c r="CX949" s="261"/>
      <c r="CY949" s="255"/>
    </row>
    <row r="950" spans="1:103" ht="10.25" customHeight="1">
      <c r="A950" s="216"/>
      <c r="B950" s="217"/>
      <c r="C950" s="218"/>
      <c r="D950" s="219"/>
      <c r="E950" s="217"/>
      <c r="F950" s="217"/>
      <c r="G950" s="217"/>
      <c r="H950" s="220"/>
      <c r="I950" s="217"/>
      <c r="J950" s="217"/>
      <c r="K950" s="217"/>
      <c r="L950" s="217"/>
      <c r="M950" s="217"/>
      <c r="N950" s="217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  <c r="AK950" s="44"/>
      <c r="AL950" s="44"/>
      <c r="AM950" s="44"/>
      <c r="AN950" s="44"/>
      <c r="AO950" s="44"/>
      <c r="AP950" s="44"/>
      <c r="AQ950" s="44"/>
      <c r="BA950" s="5"/>
      <c r="BB950" s="5"/>
      <c r="BC950" s="5"/>
      <c r="BD950" s="5"/>
      <c r="BE950" s="63"/>
      <c r="BF950" s="63"/>
      <c r="BG950" s="63"/>
      <c r="CA950" s="256"/>
      <c r="CB950" s="261"/>
      <c r="CC950" s="261"/>
      <c r="CD950" s="261"/>
      <c r="CE950" s="261"/>
      <c r="CF950" s="255"/>
      <c r="CG950" s="53"/>
      <c r="CH950" s="53"/>
      <c r="CI950" s="53"/>
      <c r="CJ950" s="53"/>
      <c r="CK950" s="53"/>
      <c r="CL950" s="53"/>
      <c r="CN950" s="53"/>
      <c r="CO950" s="53"/>
      <c r="CP950" s="53"/>
      <c r="CQ950" s="53"/>
      <c r="CR950" s="53"/>
      <c r="CS950" s="53"/>
      <c r="CT950" s="261"/>
      <c r="CU950" s="255"/>
      <c r="CV950" s="261"/>
      <c r="CW950" s="261"/>
      <c r="CX950" s="261"/>
      <c r="CY950" s="255"/>
    </row>
    <row r="951" spans="1:103" ht="10.25" customHeight="1">
      <c r="A951" s="216"/>
      <c r="B951" s="217"/>
      <c r="C951" s="218"/>
      <c r="D951" s="219"/>
      <c r="E951" s="217"/>
      <c r="F951" s="217"/>
      <c r="G951" s="217"/>
      <c r="H951" s="220"/>
      <c r="I951" s="217"/>
      <c r="J951" s="217"/>
      <c r="K951" s="217"/>
      <c r="L951" s="217"/>
      <c r="M951" s="217"/>
      <c r="N951" s="217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  <c r="AJ951" s="44"/>
      <c r="AK951" s="44"/>
      <c r="AL951" s="44"/>
      <c r="AM951" s="44"/>
      <c r="AN951" s="44"/>
      <c r="AO951" s="44"/>
      <c r="AP951" s="44"/>
      <c r="AQ951" s="44"/>
      <c r="BA951" s="5"/>
      <c r="BB951" s="5"/>
      <c r="BC951" s="5"/>
      <c r="BD951" s="5"/>
      <c r="BE951" s="63"/>
      <c r="BF951" s="63"/>
      <c r="BG951" s="63"/>
      <c r="CA951" s="256"/>
      <c r="CB951" s="261"/>
      <c r="CC951" s="261"/>
      <c r="CD951" s="261"/>
      <c r="CE951" s="261"/>
      <c r="CF951" s="255"/>
      <c r="CG951" s="53"/>
      <c r="CH951" s="53"/>
      <c r="CI951" s="53"/>
      <c r="CJ951" s="53"/>
      <c r="CK951" s="53"/>
      <c r="CL951" s="53"/>
      <c r="CN951" s="53"/>
      <c r="CO951" s="53"/>
      <c r="CP951" s="53"/>
      <c r="CQ951" s="53"/>
      <c r="CR951" s="53"/>
      <c r="CS951" s="53"/>
      <c r="CT951" s="261"/>
      <c r="CU951" s="255"/>
      <c r="CV951" s="255"/>
      <c r="CW951" s="255"/>
      <c r="CX951" s="261"/>
      <c r="CY951" s="255"/>
    </row>
    <row r="952" spans="1:103" ht="10.25" customHeight="1">
      <c r="A952" s="216"/>
      <c r="B952" s="217"/>
      <c r="C952" s="218"/>
      <c r="D952" s="219"/>
      <c r="E952" s="217"/>
      <c r="F952" s="217"/>
      <c r="G952" s="217"/>
      <c r="H952" s="220"/>
      <c r="I952" s="217"/>
      <c r="J952" s="217"/>
      <c r="K952" s="217"/>
      <c r="L952" s="217"/>
      <c r="M952" s="217"/>
      <c r="N952" s="217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  <c r="AK952" s="44"/>
      <c r="AL952" s="44"/>
      <c r="AM952" s="44"/>
      <c r="AN952" s="44"/>
      <c r="AO952" s="44"/>
      <c r="AP952" s="44"/>
      <c r="AQ952" s="44"/>
      <c r="BA952" s="5"/>
      <c r="BB952" s="5"/>
      <c r="BC952" s="5"/>
      <c r="BD952" s="5"/>
      <c r="BE952" s="63"/>
      <c r="BF952" s="63"/>
      <c r="BG952" s="63"/>
      <c r="CA952" s="256"/>
      <c r="CB952" s="261"/>
      <c r="CC952" s="261"/>
      <c r="CD952" s="261"/>
      <c r="CE952" s="255"/>
      <c r="CF952" s="261"/>
      <c r="CG952" s="53"/>
      <c r="CH952" s="53"/>
      <c r="CI952" s="53"/>
      <c r="CJ952" s="53"/>
      <c r="CK952" s="53"/>
      <c r="CL952" s="53"/>
      <c r="CN952" s="53"/>
      <c r="CO952" s="53"/>
      <c r="CP952" s="53"/>
      <c r="CQ952" s="53"/>
      <c r="CR952" s="53"/>
      <c r="CS952" s="53"/>
      <c r="CT952" s="255"/>
      <c r="CU952" s="261"/>
      <c r="CV952" s="261"/>
      <c r="CW952" s="261"/>
      <c r="CX952" s="261"/>
      <c r="CY952" s="255"/>
    </row>
    <row r="953" spans="1:103" ht="10.25" customHeight="1">
      <c r="A953" s="216"/>
      <c r="B953" s="217"/>
      <c r="C953" s="218"/>
      <c r="D953" s="219"/>
      <c r="E953" s="217"/>
      <c r="F953" s="217"/>
      <c r="G953" s="217"/>
      <c r="H953" s="220"/>
      <c r="I953" s="217"/>
      <c r="J953" s="217"/>
      <c r="K953" s="217"/>
      <c r="L953" s="217"/>
      <c r="M953" s="217"/>
      <c r="N953" s="217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  <c r="AJ953" s="44"/>
      <c r="AK953" s="44"/>
      <c r="AL953" s="44"/>
      <c r="AM953" s="44"/>
      <c r="AN953" s="44"/>
      <c r="AO953" s="44"/>
      <c r="AP953" s="44"/>
      <c r="AQ953" s="44"/>
      <c r="BA953" s="5"/>
      <c r="BB953" s="5"/>
      <c r="BC953" s="5"/>
      <c r="BD953" s="5"/>
      <c r="BE953" s="63"/>
      <c r="BF953" s="63"/>
      <c r="BG953" s="63"/>
      <c r="CA953" s="256"/>
      <c r="CB953" s="261"/>
      <c r="CC953" s="261"/>
      <c r="CD953" s="261"/>
      <c r="CE953" s="255"/>
      <c r="CF953" s="261"/>
      <c r="CG953" s="53"/>
      <c r="CH953" s="53"/>
      <c r="CI953" s="53"/>
      <c r="CJ953" s="53"/>
      <c r="CK953" s="53"/>
      <c r="CL953" s="53"/>
      <c r="CN953" s="53"/>
      <c r="CO953" s="53"/>
      <c r="CP953" s="53"/>
      <c r="CQ953" s="53"/>
      <c r="CR953" s="53"/>
      <c r="CS953" s="53"/>
      <c r="CT953" s="255"/>
      <c r="CU953" s="261"/>
      <c r="CV953" s="255"/>
      <c r="CW953" s="255"/>
      <c r="CX953" s="261"/>
      <c r="CY953" s="255"/>
    </row>
    <row r="954" spans="1:103" ht="10.25" customHeight="1">
      <c r="A954" s="216"/>
      <c r="B954" s="217"/>
      <c r="C954" s="218"/>
      <c r="D954" s="219"/>
      <c r="E954" s="217"/>
      <c r="F954" s="217"/>
      <c r="G954" s="217"/>
      <c r="H954" s="220"/>
      <c r="I954" s="217"/>
      <c r="J954" s="217"/>
      <c r="K954" s="217"/>
      <c r="L954" s="217"/>
      <c r="M954" s="217"/>
      <c r="N954" s="217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  <c r="AK954" s="44"/>
      <c r="AL954" s="44"/>
      <c r="AM954" s="44"/>
      <c r="AN954" s="44"/>
      <c r="AO954" s="44"/>
      <c r="AP954" s="44"/>
      <c r="AQ954" s="44"/>
      <c r="BA954" s="5"/>
      <c r="BB954" s="5"/>
      <c r="BC954" s="5"/>
      <c r="BD954" s="5"/>
      <c r="BE954" s="63"/>
      <c r="BF954" s="63"/>
      <c r="BG954" s="63"/>
      <c r="CA954" s="256"/>
      <c r="CB954" s="261"/>
      <c r="CC954" s="261"/>
      <c r="CD954" s="261"/>
      <c r="CE954" s="261"/>
      <c r="CF954" s="261"/>
      <c r="CG954" s="53"/>
      <c r="CH954" s="53"/>
      <c r="CI954" s="53"/>
      <c r="CJ954" s="53"/>
      <c r="CK954" s="53"/>
      <c r="CL954" s="53"/>
      <c r="CN954" s="53"/>
      <c r="CO954" s="53"/>
      <c r="CP954" s="53"/>
      <c r="CQ954" s="53"/>
      <c r="CR954" s="53"/>
      <c r="CS954" s="53"/>
      <c r="CT954" s="261"/>
      <c r="CU954" s="261"/>
      <c r="CV954" s="261"/>
      <c r="CW954" s="261"/>
      <c r="CX954" s="255"/>
      <c r="CY954" s="255"/>
    </row>
    <row r="955" spans="1:103" ht="10.25" customHeight="1">
      <c r="A955" s="216"/>
      <c r="B955" s="217"/>
      <c r="C955" s="218"/>
      <c r="D955" s="219"/>
      <c r="E955" s="217"/>
      <c r="F955" s="217"/>
      <c r="G955" s="217"/>
      <c r="H955" s="220"/>
      <c r="I955" s="217"/>
      <c r="J955" s="217"/>
      <c r="K955" s="217"/>
      <c r="L955" s="217"/>
      <c r="M955" s="217"/>
      <c r="N955" s="217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  <c r="AJ955" s="44"/>
      <c r="AK955" s="44"/>
      <c r="AL955" s="44"/>
      <c r="AM955" s="44"/>
      <c r="AN955" s="44"/>
      <c r="AO955" s="44"/>
      <c r="AP955" s="44"/>
      <c r="AQ955" s="44"/>
      <c r="BA955" s="5"/>
      <c r="BB955" s="5"/>
      <c r="BC955" s="5"/>
      <c r="BD955" s="5"/>
      <c r="BE955" s="63"/>
      <c r="BF955" s="63"/>
      <c r="BG955" s="63"/>
      <c r="CA955" s="256"/>
      <c r="CB955" s="261"/>
      <c r="CC955" s="261"/>
      <c r="CD955" s="261"/>
      <c r="CE955" s="261"/>
      <c r="CF955" s="261"/>
      <c r="CG955" s="53"/>
      <c r="CH955" s="53"/>
      <c r="CI955" s="53"/>
      <c r="CJ955" s="53"/>
      <c r="CK955" s="53"/>
      <c r="CL955" s="53"/>
      <c r="CN955" s="53"/>
      <c r="CO955" s="53"/>
      <c r="CP955" s="53"/>
      <c r="CQ955" s="53"/>
      <c r="CR955" s="53"/>
      <c r="CS955" s="53"/>
      <c r="CT955" s="261"/>
      <c r="CU955" s="261"/>
      <c r="CV955" s="255"/>
      <c r="CW955" s="255"/>
      <c r="CX955" s="261"/>
      <c r="CY955" s="255"/>
    </row>
    <row r="956" spans="1:103" ht="10.25" customHeight="1">
      <c r="A956" s="216"/>
      <c r="B956" s="217"/>
      <c r="C956" s="218"/>
      <c r="D956" s="219"/>
      <c r="E956" s="217"/>
      <c r="F956" s="217"/>
      <c r="G956" s="217"/>
      <c r="H956" s="220"/>
      <c r="I956" s="217"/>
      <c r="J956" s="217"/>
      <c r="K956" s="217"/>
      <c r="L956" s="217"/>
      <c r="M956" s="217"/>
      <c r="N956" s="217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BA956" s="5"/>
      <c r="BB956" s="5"/>
      <c r="BC956" s="5"/>
      <c r="BD956" s="5"/>
      <c r="BE956" s="63"/>
      <c r="BF956" s="63"/>
      <c r="BG956" s="63"/>
      <c r="CA956" s="256"/>
      <c r="CB956" s="261"/>
      <c r="CC956" s="261"/>
      <c r="CD956" s="261"/>
      <c r="CE956" s="261"/>
      <c r="CF956" s="261"/>
      <c r="CG956" s="53"/>
      <c r="CH956" s="53"/>
      <c r="CI956" s="53"/>
      <c r="CJ956" s="53"/>
      <c r="CK956" s="53"/>
      <c r="CL956" s="53"/>
      <c r="CN956" s="53"/>
      <c r="CO956" s="53"/>
      <c r="CP956" s="53"/>
      <c r="CQ956" s="53"/>
      <c r="CR956" s="53"/>
      <c r="CS956" s="53"/>
      <c r="CT956" s="261"/>
      <c r="CU956" s="261"/>
      <c r="CV956" s="261"/>
      <c r="CW956" s="255"/>
      <c r="CX956" s="261"/>
      <c r="CY956" s="255"/>
    </row>
    <row r="957" spans="1:103" ht="10.25" customHeight="1">
      <c r="A957" s="216"/>
      <c r="B957" s="217"/>
      <c r="C957" s="218"/>
      <c r="D957" s="219"/>
      <c r="E957" s="217"/>
      <c r="F957" s="217"/>
      <c r="G957" s="217"/>
      <c r="H957" s="220"/>
      <c r="I957" s="217"/>
      <c r="J957" s="217"/>
      <c r="K957" s="217"/>
      <c r="L957" s="217"/>
      <c r="M957" s="217"/>
      <c r="N957" s="217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  <c r="AQ957" s="44"/>
      <c r="BA957" s="5"/>
      <c r="BB957" s="5"/>
      <c r="BC957" s="5"/>
      <c r="BD957" s="5"/>
      <c r="BE957" s="63"/>
      <c r="BF957" s="63"/>
      <c r="BG957" s="63"/>
      <c r="CA957" s="256"/>
      <c r="CB957" s="261"/>
      <c r="CC957" s="261"/>
      <c r="CD957" s="261"/>
      <c r="CE957" s="261"/>
      <c r="CF957" s="261"/>
      <c r="CG957" s="53"/>
      <c r="CH957" s="53"/>
      <c r="CI957" s="53"/>
      <c r="CJ957" s="53"/>
      <c r="CK957" s="53"/>
      <c r="CL957" s="53"/>
      <c r="CN957" s="53"/>
      <c r="CO957" s="53"/>
      <c r="CP957" s="53"/>
      <c r="CQ957" s="53"/>
      <c r="CR957" s="53"/>
      <c r="CS957" s="53"/>
      <c r="CT957" s="261"/>
      <c r="CU957" s="261"/>
      <c r="CV957" s="255"/>
      <c r="CW957" s="255"/>
      <c r="CX957" s="261"/>
      <c r="CY957" s="255"/>
    </row>
    <row r="958" spans="1:103" ht="10.25" customHeight="1">
      <c r="A958" s="216"/>
      <c r="B958" s="217"/>
      <c r="C958" s="218"/>
      <c r="D958" s="219"/>
      <c r="E958" s="217"/>
      <c r="F958" s="217"/>
      <c r="G958" s="217"/>
      <c r="H958" s="220"/>
      <c r="I958" s="217"/>
      <c r="J958" s="217"/>
      <c r="K958" s="217"/>
      <c r="L958" s="217"/>
      <c r="M958" s="217"/>
      <c r="N958" s="217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  <c r="AK958" s="44"/>
      <c r="AL958" s="44"/>
      <c r="AM958" s="44"/>
      <c r="AN958" s="44"/>
      <c r="AO958" s="44"/>
      <c r="AP958" s="44"/>
      <c r="AQ958" s="44"/>
      <c r="BA958" s="5"/>
      <c r="BB958" s="5"/>
      <c r="BC958" s="5"/>
      <c r="BD958" s="5"/>
      <c r="BE958" s="63"/>
      <c r="BF958" s="63"/>
      <c r="BG958" s="63"/>
      <c r="CA958" s="256"/>
      <c r="CB958" s="261"/>
      <c r="CC958" s="261"/>
      <c r="CD958" s="261"/>
      <c r="CE958" s="261"/>
      <c r="CF958" s="261"/>
      <c r="CG958" s="53"/>
      <c r="CH958" s="53"/>
      <c r="CI958" s="53"/>
      <c r="CJ958" s="53"/>
      <c r="CK958" s="53"/>
      <c r="CL958" s="53"/>
      <c r="CN958" s="53"/>
      <c r="CO958" s="53"/>
      <c r="CP958" s="53"/>
      <c r="CQ958" s="53"/>
      <c r="CR958" s="53"/>
      <c r="CS958" s="53"/>
      <c r="CT958" s="261"/>
      <c r="CU958" s="261"/>
      <c r="CV958" s="261"/>
      <c r="CW958" s="261"/>
      <c r="CX958" s="261"/>
      <c r="CY958" s="255"/>
    </row>
    <row r="959" spans="1:103" ht="10.25" customHeight="1">
      <c r="A959" s="216"/>
      <c r="B959" s="217"/>
      <c r="C959" s="218"/>
      <c r="D959" s="219"/>
      <c r="E959" s="217"/>
      <c r="F959" s="217"/>
      <c r="G959" s="217"/>
      <c r="H959" s="220"/>
      <c r="I959" s="217"/>
      <c r="J959" s="217"/>
      <c r="K959" s="217"/>
      <c r="L959" s="217"/>
      <c r="M959" s="217"/>
      <c r="N959" s="217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  <c r="AK959" s="44"/>
      <c r="AL959" s="44"/>
      <c r="AM959" s="44"/>
      <c r="AN959" s="44"/>
      <c r="AO959" s="44"/>
      <c r="AP959" s="44"/>
      <c r="AQ959" s="44"/>
      <c r="BA959" s="5"/>
      <c r="BB959" s="5"/>
      <c r="BC959" s="5"/>
      <c r="BD959" s="5"/>
      <c r="BE959" s="63"/>
      <c r="BF959" s="63"/>
      <c r="BG959" s="63"/>
      <c r="CA959" s="256"/>
      <c r="CB959" s="261"/>
      <c r="CC959" s="261"/>
      <c r="CD959" s="255"/>
      <c r="CE959" s="261"/>
      <c r="CF959" s="261"/>
      <c r="CG959" s="53"/>
      <c r="CH959" s="53"/>
      <c r="CI959" s="53"/>
      <c r="CJ959" s="53"/>
      <c r="CK959" s="53"/>
      <c r="CL959" s="53"/>
      <c r="CN959" s="53"/>
      <c r="CO959" s="53"/>
      <c r="CP959" s="53"/>
      <c r="CQ959" s="53"/>
      <c r="CR959" s="53"/>
      <c r="CS959" s="53"/>
      <c r="CT959" s="261"/>
      <c r="CU959" s="261"/>
      <c r="CV959" s="261"/>
      <c r="CW959" s="261"/>
      <c r="CX959" s="261"/>
      <c r="CY959" s="255"/>
    </row>
    <row r="960" spans="1:103" ht="10.25" customHeight="1">
      <c r="A960" s="216"/>
      <c r="B960" s="217"/>
      <c r="C960" s="218"/>
      <c r="D960" s="219"/>
      <c r="E960" s="217"/>
      <c r="F960" s="217"/>
      <c r="G960" s="217"/>
      <c r="H960" s="220"/>
      <c r="I960" s="217"/>
      <c r="J960" s="217"/>
      <c r="K960" s="217"/>
      <c r="L960" s="217"/>
      <c r="M960" s="217"/>
      <c r="N960" s="217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  <c r="AQ960" s="44"/>
      <c r="BA960" s="5"/>
      <c r="BB960" s="5"/>
      <c r="BC960" s="5"/>
      <c r="BD960" s="5"/>
      <c r="BE960" s="63"/>
      <c r="BF960" s="63"/>
      <c r="BG960" s="63"/>
      <c r="CA960" s="256"/>
      <c r="CB960" s="261"/>
      <c r="CC960" s="261"/>
      <c r="CD960" s="255"/>
      <c r="CE960" s="261"/>
      <c r="CF960" s="261"/>
      <c r="CG960" s="53"/>
      <c r="CH960" s="53"/>
      <c r="CI960" s="53"/>
      <c r="CJ960" s="53"/>
      <c r="CK960" s="53"/>
      <c r="CL960" s="53"/>
      <c r="CN960" s="53"/>
      <c r="CO960" s="53"/>
      <c r="CP960" s="53"/>
      <c r="CQ960" s="53"/>
      <c r="CR960" s="53"/>
      <c r="CS960" s="53"/>
      <c r="CT960" s="261"/>
      <c r="CU960" s="261"/>
      <c r="CV960" s="261"/>
      <c r="CW960" s="261"/>
      <c r="CX960" s="261"/>
      <c r="CY960" s="255"/>
    </row>
    <row r="961" spans="1:103" ht="10.25" customHeight="1">
      <c r="A961" s="216"/>
      <c r="B961" s="217"/>
      <c r="C961" s="218"/>
      <c r="D961" s="219"/>
      <c r="E961" s="217"/>
      <c r="F961" s="217"/>
      <c r="G961" s="217"/>
      <c r="H961" s="220"/>
      <c r="I961" s="217"/>
      <c r="J961" s="217"/>
      <c r="K961" s="217"/>
      <c r="L961" s="217"/>
      <c r="M961" s="217"/>
      <c r="N961" s="217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4"/>
      <c r="AQ961" s="44"/>
      <c r="BA961" s="5"/>
      <c r="BB961" s="5"/>
      <c r="BC961" s="5"/>
      <c r="BD961" s="5"/>
      <c r="BE961" s="63"/>
      <c r="BF961" s="63"/>
      <c r="BG961" s="63"/>
      <c r="CA961" s="256"/>
      <c r="CB961" s="261"/>
      <c r="CC961" s="261"/>
      <c r="CD961" s="255"/>
      <c r="CE961" s="261"/>
      <c r="CF961" s="261"/>
      <c r="CG961" s="53"/>
      <c r="CH961" s="53"/>
      <c r="CI961" s="53"/>
      <c r="CJ961" s="53"/>
      <c r="CK961" s="53"/>
      <c r="CL961" s="53"/>
      <c r="CN961" s="53"/>
      <c r="CO961" s="53"/>
      <c r="CP961" s="53"/>
      <c r="CQ961" s="53"/>
      <c r="CR961" s="53"/>
      <c r="CS961" s="53"/>
      <c r="CT961" s="261"/>
      <c r="CU961" s="261"/>
      <c r="CV961" s="261"/>
      <c r="CW961" s="261"/>
      <c r="CX961" s="261"/>
      <c r="CY961" s="255"/>
    </row>
    <row r="962" spans="1:103" ht="10.25" customHeight="1">
      <c r="A962" s="216"/>
      <c r="B962" s="217"/>
      <c r="C962" s="218"/>
      <c r="D962" s="219"/>
      <c r="E962" s="217"/>
      <c r="F962" s="217"/>
      <c r="G962" s="217"/>
      <c r="H962" s="220"/>
      <c r="I962" s="217"/>
      <c r="J962" s="217"/>
      <c r="K962" s="217"/>
      <c r="L962" s="217"/>
      <c r="M962" s="217"/>
      <c r="N962" s="217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  <c r="AQ962" s="44"/>
      <c r="BA962" s="5"/>
      <c r="BB962" s="5"/>
      <c r="BC962" s="5"/>
      <c r="BD962" s="5"/>
      <c r="BE962" s="63"/>
      <c r="BF962" s="63"/>
      <c r="BG962" s="63"/>
      <c r="CA962" s="256"/>
      <c r="CB962" s="261"/>
      <c r="CC962" s="255"/>
      <c r="CD962" s="261"/>
      <c r="CE962" s="261"/>
      <c r="CF962" s="261"/>
      <c r="CG962" s="53"/>
      <c r="CH962" s="53"/>
      <c r="CI962" s="53"/>
      <c r="CJ962" s="53"/>
      <c r="CK962" s="53"/>
      <c r="CL962" s="53"/>
      <c r="CN962" s="53"/>
      <c r="CO962" s="53"/>
      <c r="CP962" s="53"/>
      <c r="CQ962" s="53"/>
      <c r="CR962" s="53"/>
      <c r="CS962" s="53"/>
      <c r="CT962" s="261"/>
      <c r="CU962" s="261"/>
      <c r="CV962" s="261"/>
      <c r="CW962" s="261"/>
      <c r="CX962" s="261"/>
      <c r="CY962" s="255"/>
    </row>
    <row r="963" spans="1:103" ht="10.25" customHeight="1">
      <c r="A963" s="216"/>
      <c r="B963" s="217"/>
      <c r="C963" s="218"/>
      <c r="D963" s="219"/>
      <c r="E963" s="217"/>
      <c r="F963" s="217"/>
      <c r="G963" s="217"/>
      <c r="H963" s="220"/>
      <c r="I963" s="217"/>
      <c r="J963" s="217"/>
      <c r="K963" s="217"/>
      <c r="L963" s="217"/>
      <c r="M963" s="217"/>
      <c r="N963" s="217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  <c r="AQ963" s="44"/>
      <c r="BA963" s="5"/>
      <c r="BB963" s="5"/>
      <c r="BC963" s="5"/>
      <c r="BD963" s="5"/>
      <c r="BE963" s="63"/>
      <c r="BF963" s="63"/>
      <c r="BG963" s="63"/>
      <c r="CA963" s="256"/>
      <c r="CB963" s="261"/>
      <c r="CC963" s="255"/>
      <c r="CD963" s="261"/>
      <c r="CE963" s="261"/>
      <c r="CF963" s="261"/>
      <c r="CG963" s="53"/>
      <c r="CH963" s="53"/>
      <c r="CI963" s="53"/>
      <c r="CJ963" s="53"/>
      <c r="CK963" s="53"/>
      <c r="CL963" s="53"/>
      <c r="CN963" s="53"/>
      <c r="CO963" s="53"/>
      <c r="CP963" s="53"/>
      <c r="CQ963" s="53"/>
      <c r="CR963" s="53"/>
      <c r="CS963" s="53"/>
      <c r="CT963" s="261"/>
      <c r="CU963" s="261"/>
      <c r="CV963" s="261"/>
      <c r="CW963" s="261"/>
      <c r="CX963" s="261"/>
      <c r="CY963" s="255"/>
    </row>
    <row r="964" spans="1:103" ht="10.25" customHeight="1">
      <c r="A964" s="371"/>
      <c r="B964" s="371"/>
      <c r="C964" s="371"/>
      <c r="D964" s="269"/>
      <c r="L964" s="269"/>
      <c r="M964" s="269"/>
      <c r="N964" s="269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E964" s="63"/>
      <c r="AF964" s="63"/>
      <c r="AG964" s="63"/>
      <c r="AH964" s="63"/>
      <c r="AI964" s="63"/>
      <c r="AJ964" s="63"/>
      <c r="AK964" s="63"/>
      <c r="AL964" s="63"/>
      <c r="AM964" s="63"/>
      <c r="AN964" s="63"/>
      <c r="AO964" s="63"/>
      <c r="AP964" s="63"/>
      <c r="AQ964" s="63"/>
      <c r="CA964" s="256"/>
      <c r="CB964" s="261"/>
      <c r="CC964" s="255"/>
      <c r="CD964" s="261"/>
      <c r="CE964" s="261"/>
      <c r="CF964" s="261"/>
      <c r="CG964" s="261"/>
      <c r="CH964" s="261"/>
      <c r="CI964" s="261"/>
      <c r="CJ964" s="261"/>
      <c r="CK964" s="261"/>
      <c r="CL964" s="255"/>
      <c r="CN964" s="256"/>
      <c r="CO964" s="256"/>
      <c r="CP964" s="261"/>
      <c r="CQ964" s="261"/>
      <c r="CR964" s="255"/>
      <c r="CS964" s="261"/>
      <c r="CT964" s="261"/>
      <c r="CU964" s="261"/>
      <c r="CV964" s="261"/>
      <c r="CW964" s="261"/>
      <c r="CX964" s="261"/>
      <c r="CY964" s="255"/>
    </row>
    <row r="965" spans="1:103" ht="12.65" customHeight="1">
      <c r="A965" s="270"/>
      <c r="C965" s="271"/>
      <c r="D965" s="372"/>
      <c r="E965" s="372"/>
      <c r="F965" s="272"/>
      <c r="G965" s="272"/>
      <c r="H965" s="273"/>
      <c r="L965" s="269"/>
      <c r="M965" s="269"/>
      <c r="N965" s="269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  <c r="AC965" s="63"/>
      <c r="AD965" s="63"/>
      <c r="AE965" s="63"/>
      <c r="AF965" s="63"/>
      <c r="AG965" s="63"/>
      <c r="AH965" s="63"/>
      <c r="AI965" s="63"/>
      <c r="AJ965" s="63"/>
      <c r="AK965" s="63"/>
      <c r="AL965" s="63"/>
      <c r="AM965" s="63"/>
      <c r="AN965" s="63"/>
      <c r="AO965" s="63"/>
      <c r="AP965" s="63"/>
      <c r="AQ965" s="63"/>
      <c r="CA965" s="256"/>
      <c r="CB965" s="261"/>
      <c r="CC965" s="255"/>
      <c r="CD965" s="261"/>
      <c r="CE965" s="261"/>
      <c r="CF965" s="261"/>
      <c r="CG965" s="261"/>
      <c r="CH965" s="261"/>
      <c r="CI965" s="261"/>
      <c r="CJ965" s="261"/>
      <c r="CK965" s="255"/>
      <c r="CL965" s="255"/>
      <c r="CN965" s="256"/>
      <c r="CO965" s="256"/>
      <c r="CP965" s="261"/>
      <c r="CQ965" s="261"/>
      <c r="CR965" s="255"/>
      <c r="CS965" s="261"/>
      <c r="CT965" s="261"/>
      <c r="CU965" s="261"/>
      <c r="CV965" s="261"/>
      <c r="CW965" s="261"/>
      <c r="CX965" s="255"/>
      <c r="CY965" s="255"/>
    </row>
    <row r="966" spans="1:103" ht="10.25" customHeight="1">
      <c r="A966" s="270"/>
      <c r="D966" s="372"/>
      <c r="E966" s="372"/>
      <c r="F966" s="272"/>
      <c r="G966" s="272"/>
      <c r="H966" s="273"/>
      <c r="L966" s="269"/>
      <c r="M966" s="269"/>
      <c r="N966" s="269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  <c r="AC966" s="63"/>
      <c r="AD966" s="63"/>
      <c r="AE966" s="63"/>
      <c r="AF966" s="63"/>
      <c r="AG966" s="63"/>
      <c r="AH966" s="63"/>
      <c r="AI966" s="63"/>
      <c r="AJ966" s="63"/>
      <c r="AK966" s="63"/>
      <c r="AL966" s="63"/>
      <c r="AM966" s="63"/>
      <c r="AN966" s="63"/>
      <c r="AO966" s="63"/>
      <c r="AP966" s="63"/>
      <c r="AQ966" s="63"/>
      <c r="CA966" s="256"/>
      <c r="CB966" s="261"/>
      <c r="CC966" s="255"/>
      <c r="CD966" s="261"/>
      <c r="CE966" s="261"/>
      <c r="CF966" s="261"/>
      <c r="CG966" s="261"/>
      <c r="CH966" s="261"/>
      <c r="CI966" s="261"/>
      <c r="CJ966" s="261"/>
      <c r="CK966" s="261"/>
      <c r="CL966" s="255"/>
      <c r="CN966" s="256"/>
      <c r="CO966" s="256"/>
      <c r="CP966" s="261"/>
      <c r="CQ966" s="261"/>
      <c r="CR966" s="255"/>
      <c r="CS966" s="261"/>
      <c r="CT966" s="261"/>
      <c r="CU966" s="261"/>
      <c r="CV966" s="261"/>
      <c r="CW966" s="261"/>
      <c r="CX966" s="261"/>
      <c r="CY966" s="255"/>
    </row>
    <row r="967" spans="1:103" ht="10.25" customHeight="1">
      <c r="C967" s="270"/>
      <c r="D967" s="274"/>
      <c r="E967" s="214"/>
      <c r="F967" s="272"/>
      <c r="G967" s="272"/>
      <c r="H967" s="272"/>
      <c r="I967" s="273"/>
      <c r="J967" s="273"/>
      <c r="K967" s="273"/>
      <c r="L967" s="275"/>
      <c r="M967" s="269"/>
      <c r="N967" s="269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  <c r="AC967" s="63"/>
      <c r="AD967" s="63"/>
      <c r="AE967" s="63"/>
      <c r="AF967" s="63"/>
      <c r="AG967" s="63"/>
      <c r="AH967" s="63"/>
      <c r="AI967" s="63"/>
      <c r="AJ967" s="63"/>
      <c r="AK967" s="63"/>
      <c r="AL967" s="63"/>
      <c r="AM967" s="63"/>
      <c r="AN967" s="63"/>
      <c r="AO967" s="63"/>
      <c r="AP967" s="63"/>
      <c r="AQ967" s="63"/>
      <c r="CA967" s="256"/>
      <c r="CB967" s="261"/>
      <c r="CC967" s="255"/>
      <c r="CD967" s="261"/>
      <c r="CE967" s="261"/>
      <c r="CF967" s="261"/>
      <c r="CG967" s="261"/>
      <c r="CH967" s="261"/>
      <c r="CI967" s="261"/>
      <c r="CJ967" s="261"/>
      <c r="CK967" s="261"/>
      <c r="CL967" s="255"/>
      <c r="CN967" s="256"/>
      <c r="CO967" s="256"/>
      <c r="CP967" s="261"/>
      <c r="CQ967" s="261"/>
      <c r="CR967" s="255"/>
      <c r="CS967" s="261"/>
      <c r="CT967" s="261"/>
      <c r="CU967" s="261"/>
      <c r="CV967" s="261"/>
      <c r="CW967" s="261"/>
      <c r="CX967" s="261"/>
      <c r="CY967" s="255"/>
    </row>
    <row r="968" spans="1:103" ht="10.25" customHeight="1">
      <c r="A968" s="270"/>
      <c r="D968" s="372"/>
      <c r="E968" s="372"/>
      <c r="F968" s="272"/>
      <c r="G968" s="272"/>
      <c r="H968" s="272"/>
      <c r="I968" s="273"/>
      <c r="J968" s="273"/>
      <c r="K968" s="273"/>
      <c r="L968" s="275"/>
      <c r="M968" s="269"/>
      <c r="N968" s="269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  <c r="AC968" s="63"/>
      <c r="AD968" s="63"/>
      <c r="AE968" s="63"/>
      <c r="AF968" s="63"/>
      <c r="AG968" s="63"/>
      <c r="AH968" s="63"/>
      <c r="AI968" s="63"/>
      <c r="AJ968" s="63"/>
      <c r="AK968" s="63"/>
      <c r="AL968" s="63"/>
      <c r="AM968" s="63"/>
      <c r="AN968" s="63"/>
      <c r="AO968" s="63"/>
      <c r="AP968" s="63"/>
      <c r="AQ968" s="63"/>
      <c r="CA968" s="256"/>
      <c r="CB968" s="261"/>
      <c r="CC968" s="255"/>
      <c r="CD968" s="261"/>
      <c r="CE968" s="261"/>
      <c r="CF968" s="261"/>
      <c r="CG968" s="261"/>
      <c r="CH968" s="261"/>
      <c r="CI968" s="255"/>
      <c r="CJ968" s="255"/>
      <c r="CK968" s="261"/>
      <c r="CL968" s="255"/>
      <c r="CN968" s="256"/>
      <c r="CO968" s="256"/>
      <c r="CP968" s="261"/>
      <c r="CQ968" s="261"/>
      <c r="CR968" s="255"/>
      <c r="CS968" s="261"/>
      <c r="CT968" s="261"/>
      <c r="CU968" s="261"/>
      <c r="CV968" s="261"/>
      <c r="CW968" s="255"/>
      <c r="CX968" s="261"/>
      <c r="CY968" s="255"/>
    </row>
    <row r="969" spans="1:103" ht="10.25" customHeight="1">
      <c r="A969" s="270"/>
      <c r="D969" s="372"/>
      <c r="E969" s="372"/>
      <c r="F969" s="272"/>
      <c r="G969" s="272"/>
      <c r="H969" s="272"/>
      <c r="I969" s="273"/>
      <c r="J969" s="273"/>
      <c r="K969" s="273"/>
      <c r="L969" s="275"/>
      <c r="M969" s="269"/>
      <c r="N969" s="269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  <c r="AC969" s="63"/>
      <c r="AD969" s="63"/>
      <c r="AE969" s="63"/>
      <c r="AF969" s="63"/>
      <c r="AG969" s="63"/>
      <c r="AH969" s="63"/>
      <c r="AI969" s="63"/>
      <c r="AJ969" s="63"/>
      <c r="AK969" s="63"/>
      <c r="AL969" s="63"/>
      <c r="AM969" s="63"/>
      <c r="AN969" s="63"/>
      <c r="AO969" s="63"/>
      <c r="AP969" s="63"/>
      <c r="AQ969" s="63"/>
      <c r="CA969" s="256"/>
      <c r="CB969" s="261"/>
      <c r="CC969" s="255"/>
      <c r="CD969" s="261"/>
      <c r="CE969" s="261"/>
      <c r="CF969" s="261"/>
      <c r="CG969" s="255"/>
      <c r="CH969" s="255"/>
      <c r="CI969" s="261"/>
      <c r="CJ969" s="261"/>
      <c r="CK969" s="261"/>
      <c r="CL969" s="255"/>
      <c r="CN969" s="256"/>
      <c r="CO969" s="256"/>
      <c r="CP969" s="261"/>
      <c r="CQ969" s="261"/>
      <c r="CR969" s="255"/>
      <c r="CS969" s="261"/>
      <c r="CT969" s="261"/>
      <c r="CU969" s="261"/>
      <c r="CV969" s="255"/>
      <c r="CW969" s="261"/>
      <c r="CX969" s="261"/>
      <c r="CY969" s="255"/>
    </row>
    <row r="970" spans="1:103" ht="10.25" customHeight="1">
      <c r="A970" s="270"/>
      <c r="D970" s="372"/>
      <c r="E970" s="372"/>
      <c r="F970" s="272"/>
      <c r="G970" s="272"/>
      <c r="H970" s="272"/>
      <c r="I970" s="273"/>
      <c r="J970" s="273"/>
      <c r="K970" s="273"/>
      <c r="L970" s="275"/>
      <c r="M970" s="269"/>
      <c r="N970" s="269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  <c r="AC970" s="63"/>
      <c r="AD970" s="63"/>
      <c r="AE970" s="63"/>
      <c r="AF970" s="63"/>
      <c r="AG970" s="63"/>
      <c r="AH970" s="63"/>
      <c r="AI970" s="63"/>
      <c r="AJ970" s="63"/>
      <c r="AK970" s="63"/>
      <c r="AL970" s="63"/>
      <c r="AM970" s="63"/>
      <c r="AN970" s="63"/>
      <c r="AO970" s="63"/>
      <c r="AP970" s="63"/>
      <c r="AQ970" s="63"/>
      <c r="CA970" s="256"/>
      <c r="CB970" s="261"/>
      <c r="CC970" s="255"/>
      <c r="CD970" s="261"/>
      <c r="CE970" s="261"/>
      <c r="CF970" s="261"/>
      <c r="CG970" s="255"/>
      <c r="CH970" s="255"/>
      <c r="CI970" s="261"/>
      <c r="CJ970" s="261"/>
      <c r="CK970" s="261"/>
      <c r="CL970" s="255"/>
      <c r="CN970" s="256"/>
      <c r="CO970" s="256"/>
      <c r="CP970" s="261"/>
      <c r="CQ970" s="261"/>
      <c r="CR970" s="255"/>
      <c r="CS970" s="261"/>
      <c r="CT970" s="261"/>
      <c r="CU970" s="261"/>
      <c r="CV970" s="255"/>
      <c r="CW970" s="261"/>
      <c r="CX970" s="261"/>
      <c r="CY970" s="255"/>
    </row>
    <row r="971" spans="1:103" ht="10.25" customHeight="1">
      <c r="A971" s="270"/>
      <c r="D971" s="372"/>
      <c r="E971" s="372"/>
      <c r="F971" s="272"/>
      <c r="G971" s="272"/>
      <c r="H971" s="272"/>
      <c r="I971" s="375"/>
      <c r="J971" s="375"/>
      <c r="K971" s="375"/>
      <c r="L971" s="375"/>
      <c r="M971" s="269"/>
      <c r="N971" s="269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  <c r="AC971" s="63"/>
      <c r="AD971" s="63"/>
      <c r="AE971" s="63"/>
      <c r="AF971" s="63"/>
      <c r="AG971" s="63"/>
      <c r="AH971" s="63"/>
      <c r="AI971" s="63"/>
      <c r="AJ971" s="63"/>
      <c r="AK971" s="63"/>
      <c r="AL971" s="63"/>
      <c r="AM971" s="63"/>
      <c r="AN971" s="63"/>
      <c r="AO971" s="63"/>
      <c r="AP971" s="63"/>
      <c r="AQ971" s="63"/>
      <c r="CA971" s="256"/>
      <c r="CB971" s="261"/>
      <c r="CC971" s="255"/>
      <c r="CD971" s="261"/>
      <c r="CE971" s="261"/>
      <c r="CF971" s="261"/>
      <c r="CG971" s="261"/>
      <c r="CH971" s="261"/>
      <c r="CI971" s="261"/>
      <c r="CJ971" s="261"/>
      <c r="CK971" s="261"/>
      <c r="CL971" s="255"/>
      <c r="CN971" s="256"/>
      <c r="CO971" s="256"/>
      <c r="CP971" s="261"/>
      <c r="CQ971" s="261"/>
      <c r="CR971" s="255"/>
      <c r="CS971" s="261"/>
      <c r="CT971" s="261"/>
      <c r="CU971" s="261"/>
      <c r="CV971" s="261"/>
      <c r="CW971" s="261"/>
      <c r="CX971" s="261"/>
      <c r="CY971" s="255"/>
    </row>
    <row r="972" spans="1:103" ht="10.25" customHeight="1">
      <c r="A972" s="270"/>
      <c r="D972" s="372"/>
      <c r="E972" s="372"/>
      <c r="H972" s="209"/>
      <c r="I972" s="213"/>
      <c r="J972" s="213"/>
      <c r="K972" s="213"/>
      <c r="L972" s="213"/>
      <c r="M972" s="213"/>
      <c r="N972" s="213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CA972" s="256"/>
      <c r="CB972" s="261"/>
      <c r="CC972" s="255"/>
      <c r="CD972" s="261"/>
      <c r="CE972" s="261"/>
      <c r="CF972" s="261"/>
      <c r="CG972" s="261"/>
      <c r="CH972" s="261"/>
      <c r="CI972" s="261"/>
      <c r="CJ972" s="261"/>
      <c r="CK972" s="261"/>
      <c r="CL972" s="255"/>
      <c r="CN972" s="256"/>
      <c r="CO972" s="256"/>
      <c r="CP972" s="261"/>
      <c r="CQ972" s="261"/>
      <c r="CR972" s="255"/>
      <c r="CS972" s="261"/>
      <c r="CT972" s="261"/>
      <c r="CU972" s="261"/>
      <c r="CV972" s="261"/>
      <c r="CW972" s="261"/>
      <c r="CX972" s="261"/>
      <c r="CY972" s="255"/>
    </row>
    <row r="973" spans="1:103" ht="10.25" customHeight="1">
      <c r="A973" s="270"/>
      <c r="C973" s="269"/>
      <c r="D973" s="275"/>
      <c r="E973" s="275"/>
      <c r="F973" s="209"/>
      <c r="G973" s="209"/>
      <c r="H973" s="209"/>
      <c r="I973" s="209"/>
      <c r="J973" s="209"/>
      <c r="K973" s="209"/>
      <c r="L973" s="376"/>
      <c r="M973" s="376"/>
      <c r="N973" s="279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  <c r="AE973" s="51"/>
      <c r="AF973" s="51"/>
      <c r="AG973" s="51"/>
      <c r="AH973" s="51"/>
      <c r="AI973" s="51"/>
      <c r="AJ973" s="51"/>
      <c r="AK973" s="51"/>
      <c r="AL973" s="51"/>
      <c r="AM973" s="51"/>
      <c r="AN973" s="51"/>
      <c r="AO973" s="51"/>
      <c r="AP973" s="51"/>
      <c r="AQ973" s="51"/>
      <c r="CA973" s="256"/>
      <c r="CB973" s="261"/>
      <c r="CC973" s="255"/>
      <c r="CD973" s="261"/>
      <c r="CE973" s="261"/>
      <c r="CF973" s="261"/>
      <c r="CG973" s="261"/>
      <c r="CH973" s="261"/>
      <c r="CI973" s="261"/>
      <c r="CJ973" s="261"/>
      <c r="CK973" s="261"/>
      <c r="CL973" s="255"/>
      <c r="CN973" s="256"/>
      <c r="CO973" s="256"/>
      <c r="CP973" s="261"/>
      <c r="CQ973" s="261"/>
      <c r="CR973" s="255"/>
      <c r="CS973" s="261"/>
      <c r="CT973" s="261"/>
      <c r="CU973" s="261"/>
      <c r="CV973" s="261"/>
      <c r="CW973" s="261"/>
      <c r="CX973" s="261"/>
      <c r="CY973" s="255"/>
    </row>
    <row r="974" spans="1:103" ht="10.25" customHeight="1">
      <c r="A974" s="270"/>
      <c r="C974" s="269"/>
      <c r="D974" s="269"/>
      <c r="F974" s="209"/>
      <c r="G974" s="209"/>
      <c r="H974" s="276"/>
      <c r="I974" s="276"/>
      <c r="J974" s="276"/>
      <c r="K974" s="276"/>
      <c r="L974" s="374"/>
      <c r="M974" s="374"/>
      <c r="N974" s="213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CA974" s="256"/>
      <c r="CB974" s="261"/>
      <c r="CC974" s="255"/>
      <c r="CD974" s="261"/>
      <c r="CE974" s="261"/>
      <c r="CF974" s="261"/>
      <c r="CG974" s="261"/>
      <c r="CH974" s="261"/>
      <c r="CI974" s="261"/>
      <c r="CJ974" s="261"/>
      <c r="CK974" s="261"/>
      <c r="CL974" s="255"/>
      <c r="CN974" s="256"/>
      <c r="CO974" s="256"/>
      <c r="CP974" s="261"/>
      <c r="CQ974" s="261"/>
      <c r="CR974" s="255"/>
      <c r="CS974" s="261"/>
      <c r="CT974" s="261"/>
      <c r="CU974" s="261"/>
      <c r="CV974" s="261"/>
      <c r="CW974" s="261"/>
      <c r="CX974" s="261"/>
      <c r="CY974" s="255"/>
    </row>
    <row r="975" spans="1:103" ht="10.25" customHeight="1">
      <c r="A975" s="270"/>
      <c r="D975" s="269"/>
      <c r="F975" s="208"/>
      <c r="G975" s="208"/>
      <c r="H975" s="277"/>
      <c r="I975" s="277"/>
      <c r="J975" s="277"/>
      <c r="K975" s="277"/>
      <c r="L975" s="372"/>
      <c r="M975" s="372"/>
      <c r="N975" s="214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  <c r="AM975" s="41"/>
      <c r="AN975" s="41"/>
      <c r="AO975" s="41"/>
      <c r="AP975" s="41"/>
      <c r="AQ975" s="41"/>
      <c r="CA975" s="256"/>
      <c r="CB975" s="261"/>
      <c r="CC975" s="255"/>
      <c r="CD975" s="261"/>
      <c r="CE975" s="261"/>
      <c r="CF975" s="261"/>
      <c r="CG975" s="261"/>
      <c r="CH975" s="261"/>
      <c r="CI975" s="261"/>
      <c r="CJ975" s="261"/>
      <c r="CK975" s="261"/>
      <c r="CL975" s="255"/>
      <c r="CN975" s="256"/>
      <c r="CO975" s="256"/>
      <c r="CP975" s="261"/>
      <c r="CQ975" s="261"/>
      <c r="CR975" s="255"/>
      <c r="CS975" s="261"/>
      <c r="CT975" s="261"/>
      <c r="CU975" s="261"/>
      <c r="CV975" s="261"/>
      <c r="CW975" s="261"/>
      <c r="CX975" s="261"/>
      <c r="CY975" s="255"/>
    </row>
    <row r="976" spans="1:103" ht="10.25" customHeight="1">
      <c r="CA976" s="256"/>
      <c r="CB976" s="261"/>
      <c r="CC976" s="255"/>
      <c r="CD976" s="261"/>
      <c r="CE976" s="261"/>
      <c r="CF976" s="255"/>
      <c r="CG976" s="261"/>
      <c r="CH976" s="261"/>
      <c r="CI976" s="261"/>
      <c r="CJ976" s="261"/>
      <c r="CK976" s="261"/>
      <c r="CL976" s="255"/>
      <c r="CN976" s="256"/>
      <c r="CO976" s="256"/>
      <c r="CP976" s="261"/>
      <c r="CQ976" s="261"/>
      <c r="CR976" s="255"/>
      <c r="CS976" s="261"/>
      <c r="CT976" s="261"/>
      <c r="CU976" s="255"/>
      <c r="CV976" s="261"/>
      <c r="CW976" s="261"/>
      <c r="CX976" s="261"/>
      <c r="CY976" s="255"/>
    </row>
    <row r="977" spans="1:103" ht="10.25" customHeight="1">
      <c r="C977" s="278"/>
      <c r="CA977" s="256"/>
      <c r="CB977" s="261"/>
      <c r="CC977" s="255"/>
      <c r="CD977" s="261"/>
      <c r="CE977" s="261"/>
      <c r="CF977" s="255"/>
      <c r="CG977" s="261"/>
      <c r="CH977" s="261"/>
      <c r="CI977" s="261"/>
      <c r="CJ977" s="261"/>
      <c r="CK977" s="261"/>
      <c r="CL977" s="255"/>
      <c r="CN977" s="256"/>
      <c r="CO977" s="256"/>
      <c r="CP977" s="261"/>
      <c r="CQ977" s="261"/>
      <c r="CR977" s="255"/>
      <c r="CS977" s="261"/>
      <c r="CT977" s="261"/>
      <c r="CU977" s="255"/>
      <c r="CV977" s="261"/>
      <c r="CW977" s="261"/>
      <c r="CX977" s="261"/>
      <c r="CY977" s="255"/>
    </row>
    <row r="978" spans="1:103" ht="10.25" customHeight="1">
      <c r="C978" s="278"/>
      <c r="F978" s="377"/>
      <c r="G978" s="377"/>
      <c r="H978" s="377"/>
      <c r="I978" s="377"/>
      <c r="J978" s="377"/>
      <c r="K978" s="377"/>
      <c r="L978" s="377"/>
      <c r="M978" s="377"/>
      <c r="N978" s="269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  <c r="AA978" s="63"/>
      <c r="AB978" s="63"/>
      <c r="AC978" s="63"/>
      <c r="AD978" s="63"/>
      <c r="AE978" s="63"/>
      <c r="AF978" s="63"/>
      <c r="AG978" s="63"/>
      <c r="AH978" s="63"/>
      <c r="AI978" s="63"/>
      <c r="AJ978" s="63"/>
      <c r="AK978" s="63"/>
      <c r="AL978" s="63"/>
      <c r="AM978" s="63"/>
      <c r="AN978" s="63"/>
      <c r="AO978" s="63"/>
      <c r="AP978" s="63"/>
      <c r="AQ978" s="63"/>
      <c r="CA978" s="256"/>
      <c r="CB978" s="261"/>
      <c r="CC978" s="255"/>
      <c r="CD978" s="261"/>
      <c r="CE978" s="261"/>
      <c r="CF978" s="255"/>
      <c r="CG978" s="261"/>
      <c r="CH978" s="261"/>
      <c r="CI978" s="261"/>
      <c r="CJ978" s="261"/>
      <c r="CK978" s="261"/>
      <c r="CL978" s="255"/>
      <c r="CN978" s="256"/>
      <c r="CO978" s="256"/>
      <c r="CP978" s="261"/>
      <c r="CQ978" s="261"/>
      <c r="CR978" s="255"/>
      <c r="CS978" s="261"/>
      <c r="CT978" s="261"/>
      <c r="CU978" s="255"/>
      <c r="CV978" s="261"/>
      <c r="CW978" s="261"/>
      <c r="CX978" s="261"/>
      <c r="CY978" s="255"/>
    </row>
    <row r="979" spans="1:103" ht="10.4" customHeight="1">
      <c r="C979" s="278"/>
      <c r="F979" s="377"/>
      <c r="G979" s="377"/>
      <c r="H979" s="377"/>
      <c r="I979" s="377"/>
      <c r="J979" s="377"/>
      <c r="K979" s="377"/>
      <c r="L979" s="377"/>
      <c r="M979" s="377"/>
      <c r="N979" s="269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  <c r="AA979" s="63"/>
      <c r="AB979" s="63"/>
      <c r="AC979" s="63"/>
      <c r="AD979" s="63"/>
      <c r="AE979" s="63"/>
      <c r="AF979" s="63"/>
      <c r="AG979" s="63"/>
      <c r="AH979" s="63"/>
      <c r="AI979" s="63"/>
      <c r="AJ979" s="63"/>
      <c r="AK979" s="63"/>
      <c r="AL979" s="63"/>
      <c r="AM979" s="63"/>
      <c r="AN979" s="63"/>
      <c r="AO979" s="63"/>
      <c r="AP979" s="63"/>
      <c r="AQ979" s="63"/>
      <c r="AS979" s="236"/>
      <c r="BE979" s="63"/>
      <c r="BF979" s="63"/>
      <c r="BG979" s="63"/>
      <c r="BK979" s="317"/>
      <c r="BL979" s="5"/>
      <c r="BM979" s="5"/>
      <c r="BN979" s="5"/>
      <c r="BO979" s="5"/>
      <c r="BP979" s="5"/>
      <c r="BQ979" s="5"/>
      <c r="BR979" s="5"/>
      <c r="BS979" s="5"/>
      <c r="BT979" s="5"/>
      <c r="BV979" s="317"/>
      <c r="CF979" s="5"/>
      <c r="CG979" s="5"/>
      <c r="CH979" s="5"/>
      <c r="CI979" s="5"/>
      <c r="CJ979" s="5"/>
      <c r="CK979" s="5"/>
      <c r="CL979" s="5"/>
    </row>
    <row r="980" spans="1:103" ht="10.25" customHeight="1">
      <c r="A980" s="377"/>
      <c r="B980" s="377"/>
      <c r="C980" s="377"/>
      <c r="D980" s="377"/>
      <c r="E980" s="377"/>
      <c r="F980" s="377"/>
      <c r="G980" s="377"/>
      <c r="H980" s="377"/>
      <c r="I980" s="377"/>
      <c r="J980" s="377"/>
      <c r="K980" s="377"/>
      <c r="L980" s="377"/>
      <c r="M980" s="377"/>
      <c r="N980" s="269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  <c r="AA980" s="63"/>
      <c r="AB980" s="63"/>
      <c r="AC980" s="63"/>
      <c r="AD980" s="63"/>
      <c r="AE980" s="63"/>
      <c r="AF980" s="63"/>
      <c r="AG980" s="63"/>
      <c r="AH980" s="63"/>
      <c r="AI980" s="63"/>
      <c r="AJ980" s="63"/>
      <c r="AK980" s="63"/>
      <c r="AL980" s="63"/>
      <c r="AM980" s="63"/>
      <c r="AN980" s="63"/>
      <c r="AO980" s="63"/>
      <c r="AP980" s="63"/>
      <c r="AQ980" s="63"/>
      <c r="BE980" s="63"/>
      <c r="BF980" s="63"/>
      <c r="BG980" s="63"/>
      <c r="BK980" s="317"/>
      <c r="BL980" s="5"/>
      <c r="BM980" s="5"/>
      <c r="BN980" s="5"/>
      <c r="BO980" s="5"/>
      <c r="BP980" s="5"/>
      <c r="BQ980" s="5"/>
      <c r="BR980" s="5"/>
      <c r="BS980" s="5"/>
      <c r="BT980" s="5"/>
      <c r="BV980" s="317"/>
      <c r="CF980" s="5"/>
      <c r="CG980" s="5"/>
      <c r="CH980" s="5"/>
      <c r="CI980" s="5"/>
      <c r="CJ980" s="5"/>
      <c r="CK980" s="5"/>
      <c r="CL980" s="5"/>
    </row>
    <row r="981" spans="1:103" ht="10.25" customHeight="1">
      <c r="A981" s="376"/>
      <c r="B981" s="376"/>
      <c r="C981" s="376"/>
      <c r="D981" s="376"/>
      <c r="E981" s="376"/>
      <c r="F981" s="376"/>
      <c r="G981" s="376"/>
      <c r="H981" s="376"/>
      <c r="I981" s="376"/>
      <c r="J981" s="376"/>
      <c r="K981" s="376"/>
      <c r="L981" s="376"/>
      <c r="M981" s="376"/>
      <c r="N981" s="279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  <c r="AE981" s="51"/>
      <c r="AF981" s="51"/>
      <c r="AG981" s="51"/>
      <c r="AH981" s="51"/>
      <c r="AI981" s="51"/>
      <c r="AJ981" s="51"/>
      <c r="AK981" s="51"/>
      <c r="AL981" s="51"/>
      <c r="AM981" s="51"/>
      <c r="AN981" s="51"/>
      <c r="AO981" s="51"/>
      <c r="AP981" s="51"/>
      <c r="AQ981" s="51"/>
      <c r="BE981" s="63"/>
      <c r="BF981" s="63"/>
      <c r="BG981" s="63"/>
      <c r="BK981" s="317"/>
      <c r="BL981" s="5"/>
      <c r="BM981" s="5"/>
      <c r="BN981" s="5"/>
      <c r="BO981" s="5"/>
      <c r="BP981" s="5"/>
      <c r="BQ981" s="5"/>
      <c r="BR981" s="5"/>
      <c r="BS981" s="5"/>
      <c r="BT981" s="5"/>
      <c r="BV981" s="317"/>
      <c r="CF981" s="5"/>
      <c r="CG981" s="5"/>
      <c r="CH981" s="5"/>
      <c r="CI981" s="5"/>
      <c r="CJ981" s="5"/>
      <c r="CK981" s="5"/>
      <c r="CL981" s="5"/>
    </row>
    <row r="982" spans="1:103" ht="10.25" customHeight="1">
      <c r="A982" s="374"/>
      <c r="B982" s="374"/>
      <c r="C982" s="374"/>
      <c r="D982" s="374"/>
      <c r="E982" s="374"/>
      <c r="F982" s="374"/>
      <c r="G982" s="374"/>
      <c r="H982" s="374"/>
      <c r="I982" s="374"/>
      <c r="J982" s="374"/>
      <c r="K982" s="374"/>
      <c r="L982" s="374"/>
      <c r="M982" s="374"/>
      <c r="N982" s="213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BE982" s="63"/>
      <c r="BF982" s="63"/>
      <c r="BG982" s="63"/>
      <c r="BK982" s="317"/>
      <c r="BL982" s="5"/>
      <c r="BM982" s="5"/>
      <c r="BN982" s="5"/>
      <c r="BO982" s="5"/>
      <c r="BP982" s="5"/>
      <c r="BQ982" s="5"/>
      <c r="BR982" s="5"/>
      <c r="BS982" s="5"/>
      <c r="BT982" s="5"/>
      <c r="BV982" s="317"/>
      <c r="CF982" s="5"/>
      <c r="CG982" s="5"/>
      <c r="CH982" s="5"/>
      <c r="CI982" s="5"/>
      <c r="CJ982" s="5"/>
      <c r="CK982" s="5"/>
      <c r="CL982" s="5"/>
    </row>
    <row r="983" spans="1:103" ht="6" customHeight="1">
      <c r="A983" s="208"/>
      <c r="B983" s="209"/>
      <c r="C983" s="209"/>
      <c r="D983" s="209"/>
      <c r="E983" s="209"/>
      <c r="F983" s="280"/>
      <c r="G983" s="280"/>
      <c r="H983" s="280"/>
      <c r="I983" s="280"/>
      <c r="J983" s="280"/>
      <c r="K983" s="280"/>
      <c r="L983" s="280"/>
      <c r="M983" s="280"/>
      <c r="N983" s="280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  <c r="AC983" s="42"/>
      <c r="AD983" s="42"/>
      <c r="AE983" s="42"/>
      <c r="AF983" s="42"/>
      <c r="AG983" s="42"/>
      <c r="AH983" s="42"/>
      <c r="AI983" s="42"/>
      <c r="AJ983" s="42"/>
      <c r="AK983" s="42"/>
      <c r="AL983" s="42"/>
      <c r="AM983" s="42"/>
      <c r="AN983" s="42"/>
      <c r="AO983" s="42"/>
      <c r="AP983" s="42"/>
      <c r="AQ983" s="42"/>
      <c r="BK983" s="317"/>
      <c r="BL983" s="5"/>
      <c r="BM983" s="5"/>
      <c r="BN983" s="5"/>
      <c r="BO983" s="5"/>
      <c r="BP983" s="5"/>
      <c r="BQ983" s="5"/>
      <c r="BR983" s="5"/>
      <c r="BS983" s="5"/>
      <c r="BT983" s="5"/>
      <c r="BV983" s="317"/>
      <c r="CF983" s="5"/>
      <c r="CG983" s="5"/>
      <c r="CH983" s="5"/>
      <c r="CI983" s="5"/>
      <c r="CJ983" s="5"/>
      <c r="CK983" s="5"/>
      <c r="CL983" s="5"/>
    </row>
    <row r="984" spans="1:103" ht="10.25" customHeight="1">
      <c r="A984" s="208"/>
      <c r="B984" s="209"/>
      <c r="C984" s="209"/>
      <c r="D984" s="210"/>
      <c r="E984" s="211"/>
      <c r="F984" s="369"/>
      <c r="G984" s="369"/>
      <c r="H984" s="369"/>
      <c r="I984" s="369"/>
      <c r="J984" s="369"/>
      <c r="K984" s="369"/>
      <c r="L984" s="369"/>
      <c r="M984" s="230"/>
      <c r="N984" s="230"/>
      <c r="O984" s="235"/>
      <c r="P984" s="235"/>
      <c r="Q984" s="235"/>
      <c r="R984" s="235"/>
      <c r="S984" s="235"/>
      <c r="T984" s="235"/>
      <c r="U984" s="235"/>
      <c r="V984" s="235"/>
      <c r="W984" s="235"/>
      <c r="X984" s="235"/>
      <c r="Y984" s="235"/>
      <c r="Z984" s="235"/>
      <c r="AA984" s="235"/>
      <c r="AB984" s="235"/>
      <c r="AC984" s="235"/>
      <c r="AD984" s="235"/>
      <c r="AE984" s="235"/>
      <c r="AF984" s="235"/>
      <c r="AG984" s="235"/>
      <c r="AH984" s="235"/>
      <c r="AI984" s="235"/>
      <c r="AJ984" s="235"/>
      <c r="AK984" s="235"/>
      <c r="AL984" s="235"/>
      <c r="AM984" s="235"/>
      <c r="AN984" s="235"/>
      <c r="AO984" s="235"/>
      <c r="AP984" s="235"/>
      <c r="AQ984" s="235"/>
      <c r="BK984" s="317"/>
      <c r="BL984" s="5"/>
      <c r="BM984" s="5"/>
      <c r="BN984" s="5"/>
      <c r="BO984" s="5"/>
      <c r="BP984" s="5"/>
      <c r="BQ984" s="5"/>
      <c r="BR984" s="5"/>
      <c r="BS984" s="5"/>
      <c r="BT984" s="5"/>
      <c r="BV984" s="317"/>
      <c r="CF984" s="5"/>
      <c r="CG984" s="5"/>
      <c r="CH984" s="5"/>
      <c r="CI984" s="5"/>
      <c r="CJ984" s="5"/>
      <c r="CK984" s="5"/>
      <c r="CL984" s="5"/>
    </row>
    <row r="985" spans="1:103" ht="2" customHeight="1">
      <c r="A985" s="209"/>
      <c r="B985" s="209"/>
      <c r="C985" s="212"/>
      <c r="D985" s="213"/>
      <c r="E985" s="209"/>
      <c r="F985" s="209"/>
      <c r="G985" s="209"/>
      <c r="H985" s="209"/>
      <c r="I985" s="209"/>
      <c r="J985" s="209"/>
      <c r="K985" s="209"/>
      <c r="L985" s="209"/>
      <c r="M985" s="209"/>
      <c r="N985" s="209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  <c r="AQ985" s="46"/>
      <c r="BK985" s="317"/>
      <c r="BL985" s="5"/>
      <c r="BM985" s="5"/>
      <c r="BN985" s="5"/>
      <c r="BO985" s="5"/>
      <c r="BP985" s="5"/>
      <c r="BQ985" s="5"/>
      <c r="BR985" s="5"/>
      <c r="BS985" s="5"/>
      <c r="BT985" s="5"/>
      <c r="BV985" s="317"/>
      <c r="CF985" s="5"/>
      <c r="CG985" s="5"/>
      <c r="CH985" s="5"/>
      <c r="CI985" s="5"/>
      <c r="CJ985" s="5"/>
      <c r="CK985" s="5"/>
      <c r="CL985" s="5"/>
    </row>
    <row r="986" spans="1:103" ht="26.4" customHeight="1">
      <c r="A986" s="374"/>
      <c r="B986" s="374"/>
      <c r="C986" s="374"/>
      <c r="D986" s="372"/>
      <c r="E986" s="373"/>
      <c r="F986" s="370"/>
      <c r="G986" s="215"/>
      <c r="H986" s="373"/>
      <c r="I986" s="370"/>
      <c r="J986" s="370"/>
      <c r="K986" s="370"/>
      <c r="L986" s="373"/>
      <c r="M986" s="374"/>
      <c r="N986" s="213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BK986" s="317"/>
      <c r="BL986" s="5"/>
      <c r="BM986" s="5"/>
      <c r="BN986" s="5"/>
      <c r="BO986" s="5"/>
      <c r="BP986" s="5"/>
      <c r="BQ986" s="5"/>
      <c r="BR986" s="5"/>
      <c r="BS986" s="5"/>
      <c r="BT986" s="5"/>
      <c r="BV986" s="317"/>
      <c r="CF986" s="5"/>
      <c r="CG986" s="5"/>
      <c r="CH986" s="5"/>
      <c r="CI986" s="5"/>
      <c r="CJ986" s="5"/>
      <c r="CK986" s="5"/>
      <c r="CL986" s="5"/>
    </row>
    <row r="987" spans="1:103" ht="9.65" customHeight="1">
      <c r="A987" s="374"/>
      <c r="B987" s="374"/>
      <c r="C987" s="374"/>
      <c r="D987" s="372"/>
      <c r="E987" s="373"/>
      <c r="F987" s="370"/>
      <c r="G987" s="215"/>
      <c r="H987" s="373"/>
      <c r="I987" s="233"/>
      <c r="J987" s="233"/>
      <c r="K987" s="233"/>
      <c r="L987" s="373"/>
      <c r="M987" s="374"/>
      <c r="N987" s="213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BK987" s="317"/>
      <c r="BL987" s="5"/>
      <c r="BM987" s="5"/>
      <c r="BN987" s="5"/>
      <c r="BO987" s="5"/>
      <c r="BP987" s="5"/>
      <c r="BQ987" s="5"/>
      <c r="BR987" s="5"/>
      <c r="BS987" s="5"/>
      <c r="BT987" s="5"/>
      <c r="BV987" s="317"/>
      <c r="CF987" s="5"/>
      <c r="CG987" s="5"/>
      <c r="CH987" s="5"/>
      <c r="CI987" s="5"/>
      <c r="CJ987" s="5"/>
      <c r="CK987" s="5"/>
      <c r="CL987" s="5"/>
    </row>
    <row r="988" spans="1:103" ht="10.25" customHeight="1">
      <c r="A988" s="216"/>
      <c r="B988" s="217"/>
      <c r="C988" s="218"/>
      <c r="D988" s="219"/>
      <c r="E988" s="217"/>
      <c r="F988" s="217"/>
      <c r="G988" s="217"/>
      <c r="H988" s="220"/>
      <c r="I988" s="217"/>
      <c r="J988" s="217"/>
      <c r="K988" s="217"/>
      <c r="L988" s="217"/>
      <c r="M988" s="217"/>
      <c r="N988" s="217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4"/>
      <c r="AJ988" s="44"/>
      <c r="AK988" s="44"/>
      <c r="AL988" s="44"/>
      <c r="AM988" s="44"/>
      <c r="AN988" s="44"/>
      <c r="AO988" s="44"/>
      <c r="AP988" s="44"/>
      <c r="AQ988" s="44"/>
      <c r="BA988" s="5"/>
      <c r="BB988" s="5"/>
      <c r="BC988" s="5"/>
      <c r="BD988" s="5"/>
      <c r="BE988" s="63"/>
      <c r="BF988" s="63"/>
      <c r="BG988" s="63"/>
      <c r="BK988" s="317"/>
      <c r="BL988" s="5"/>
      <c r="BM988" s="5"/>
      <c r="BN988" s="5"/>
      <c r="BO988" s="5"/>
      <c r="BP988" s="5"/>
      <c r="BQ988" s="5"/>
      <c r="BR988" s="5"/>
      <c r="BS988" s="5"/>
      <c r="BT988" s="5"/>
      <c r="BV988" s="317"/>
      <c r="CF988" s="5"/>
      <c r="CG988" s="53"/>
      <c r="CH988" s="53"/>
      <c r="CI988" s="53"/>
      <c r="CJ988" s="53"/>
      <c r="CK988" s="53"/>
      <c r="CL988" s="53"/>
      <c r="CN988" s="53"/>
      <c r="CO988" s="53"/>
      <c r="CP988" s="53"/>
      <c r="CQ988" s="53"/>
      <c r="CR988" s="53"/>
      <c r="CS988" s="53"/>
    </row>
    <row r="989" spans="1:103" ht="10.25" customHeight="1">
      <c r="A989" s="216"/>
      <c r="B989" s="217"/>
      <c r="C989" s="218"/>
      <c r="D989" s="219"/>
      <c r="E989" s="217"/>
      <c r="F989" s="217"/>
      <c r="G989" s="217"/>
      <c r="H989" s="220"/>
      <c r="I989" s="217"/>
      <c r="J989" s="217"/>
      <c r="K989" s="217"/>
      <c r="L989" s="217"/>
      <c r="M989" s="217"/>
      <c r="N989" s="217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  <c r="AI989" s="44"/>
      <c r="AJ989" s="44"/>
      <c r="AK989" s="44"/>
      <c r="AL989" s="44"/>
      <c r="AM989" s="44"/>
      <c r="AN989" s="44"/>
      <c r="AO989" s="44"/>
      <c r="AP989" s="44"/>
      <c r="AQ989" s="44"/>
      <c r="BA989" s="5"/>
      <c r="BB989" s="5"/>
      <c r="BC989" s="5"/>
      <c r="BD989" s="5"/>
      <c r="BE989" s="63"/>
      <c r="BF989" s="63"/>
      <c r="BG989" s="63"/>
      <c r="BK989" s="317"/>
      <c r="BL989" s="5"/>
      <c r="BM989" s="5"/>
      <c r="BN989" s="5"/>
      <c r="BO989" s="5"/>
      <c r="BP989" s="5"/>
      <c r="BQ989" s="5"/>
      <c r="BR989" s="5"/>
      <c r="BS989" s="5"/>
      <c r="BT989" s="5"/>
      <c r="BV989" s="317"/>
      <c r="CF989" s="5"/>
      <c r="CG989" s="53"/>
      <c r="CH989" s="53"/>
      <c r="CI989" s="53"/>
      <c r="CJ989" s="53"/>
      <c r="CK989" s="53"/>
      <c r="CL989" s="53"/>
      <c r="CN989" s="53"/>
      <c r="CO989" s="53"/>
      <c r="CP989" s="53"/>
      <c r="CQ989" s="53"/>
      <c r="CR989" s="53"/>
      <c r="CS989" s="53"/>
    </row>
    <row r="990" spans="1:103" ht="10.25" customHeight="1">
      <c r="A990" s="216"/>
      <c r="B990" s="217"/>
      <c r="C990" s="218"/>
      <c r="D990" s="219"/>
      <c r="E990" s="217"/>
      <c r="F990" s="217"/>
      <c r="G990" s="217"/>
      <c r="H990" s="220"/>
      <c r="I990" s="217"/>
      <c r="J990" s="217"/>
      <c r="K990" s="217"/>
      <c r="L990" s="217"/>
      <c r="M990" s="217"/>
      <c r="N990" s="217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/>
      <c r="AJ990" s="44"/>
      <c r="AK990" s="44"/>
      <c r="AL990" s="44"/>
      <c r="AM990" s="44"/>
      <c r="AN990" s="44"/>
      <c r="AO990" s="44"/>
      <c r="AP990" s="44"/>
      <c r="AQ990" s="44"/>
      <c r="BA990" s="5"/>
      <c r="BB990" s="5"/>
      <c r="BC990" s="5"/>
      <c r="BD990" s="5"/>
      <c r="BE990" s="63"/>
      <c r="BF990" s="63"/>
      <c r="BG990" s="63"/>
      <c r="BK990" s="317"/>
      <c r="BL990" s="5"/>
      <c r="BM990" s="5"/>
      <c r="BN990" s="5"/>
      <c r="BO990" s="5"/>
      <c r="BP990" s="5"/>
      <c r="BQ990" s="5"/>
      <c r="BR990" s="5"/>
      <c r="BS990" s="5"/>
      <c r="BT990" s="5"/>
      <c r="BV990" s="317"/>
      <c r="CF990" s="5"/>
      <c r="CG990" s="53"/>
      <c r="CH990" s="53"/>
      <c r="CI990" s="53"/>
      <c r="CJ990" s="53"/>
      <c r="CK990" s="53"/>
      <c r="CL990" s="53"/>
      <c r="CN990" s="53"/>
      <c r="CO990" s="53"/>
      <c r="CP990" s="53"/>
      <c r="CQ990" s="53"/>
      <c r="CR990" s="53"/>
      <c r="CS990" s="53"/>
    </row>
    <row r="991" spans="1:103" ht="10.25" customHeight="1">
      <c r="A991" s="216"/>
      <c r="B991" s="217"/>
      <c r="C991" s="218"/>
      <c r="D991" s="219"/>
      <c r="E991" s="217"/>
      <c r="F991" s="217"/>
      <c r="G991" s="217"/>
      <c r="H991" s="220"/>
      <c r="I991" s="217"/>
      <c r="J991" s="217"/>
      <c r="K991" s="217"/>
      <c r="L991" s="217"/>
      <c r="M991" s="217"/>
      <c r="N991" s="217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  <c r="AI991" s="44"/>
      <c r="AJ991" s="44"/>
      <c r="AK991" s="44"/>
      <c r="AL991" s="44"/>
      <c r="AM991" s="44"/>
      <c r="AN991" s="44"/>
      <c r="AO991" s="44"/>
      <c r="AP991" s="44"/>
      <c r="AQ991" s="44"/>
      <c r="BA991" s="5"/>
      <c r="BB991" s="5"/>
      <c r="BC991" s="5"/>
      <c r="BD991" s="5"/>
      <c r="BE991" s="63"/>
      <c r="BF991" s="63"/>
      <c r="BG991" s="63"/>
      <c r="BK991" s="317"/>
      <c r="BL991" s="5"/>
      <c r="BM991" s="5"/>
      <c r="BN991" s="5"/>
      <c r="BO991" s="5"/>
      <c r="BP991" s="5"/>
      <c r="BQ991" s="5"/>
      <c r="BR991" s="5"/>
      <c r="BS991" s="5"/>
      <c r="BT991" s="5"/>
      <c r="BV991" s="317"/>
      <c r="CF991" s="5"/>
      <c r="CG991" s="53"/>
      <c r="CH991" s="53"/>
      <c r="CI991" s="53"/>
      <c r="CJ991" s="53"/>
      <c r="CK991" s="53"/>
      <c r="CL991" s="53"/>
      <c r="CN991" s="53"/>
      <c r="CO991" s="53"/>
      <c r="CP991" s="53"/>
      <c r="CQ991" s="53"/>
      <c r="CR991" s="53"/>
      <c r="CS991" s="53"/>
    </row>
    <row r="992" spans="1:103" ht="10.25" customHeight="1">
      <c r="A992" s="216"/>
      <c r="B992" s="217"/>
      <c r="C992" s="218"/>
      <c r="D992" s="219"/>
      <c r="E992" s="217"/>
      <c r="F992" s="217"/>
      <c r="G992" s="217"/>
      <c r="H992" s="220"/>
      <c r="I992" s="217"/>
      <c r="J992" s="217"/>
      <c r="K992" s="217"/>
      <c r="L992" s="217"/>
      <c r="M992" s="217"/>
      <c r="N992" s="217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4"/>
      <c r="AI992" s="44"/>
      <c r="AJ992" s="44"/>
      <c r="AK992" s="44"/>
      <c r="AL992" s="44"/>
      <c r="AM992" s="44"/>
      <c r="AN992" s="44"/>
      <c r="AO992" s="44"/>
      <c r="AP992" s="44"/>
      <c r="AQ992" s="44"/>
      <c r="BA992" s="5"/>
      <c r="BB992" s="5"/>
      <c r="BC992" s="5"/>
      <c r="BD992" s="5"/>
      <c r="BE992" s="63"/>
      <c r="BF992" s="63"/>
      <c r="BG992" s="63"/>
      <c r="BK992" s="317"/>
      <c r="BL992" s="5"/>
      <c r="BM992" s="5"/>
      <c r="BN992" s="5"/>
      <c r="BO992" s="5"/>
      <c r="BP992" s="5"/>
      <c r="BQ992" s="5"/>
      <c r="BR992" s="5"/>
      <c r="BS992" s="5"/>
      <c r="BT992" s="5"/>
      <c r="BV992" s="317"/>
      <c r="CF992" s="5"/>
      <c r="CG992" s="53"/>
      <c r="CH992" s="53"/>
      <c r="CI992" s="53"/>
      <c r="CJ992" s="53"/>
      <c r="CK992" s="53"/>
      <c r="CL992" s="53"/>
      <c r="CN992" s="53"/>
      <c r="CO992" s="53"/>
      <c r="CP992" s="53"/>
      <c r="CQ992" s="53"/>
      <c r="CR992" s="53"/>
      <c r="CS992" s="53"/>
    </row>
    <row r="993" spans="1:103" ht="10.25" customHeight="1">
      <c r="A993" s="216"/>
      <c r="B993" s="217"/>
      <c r="C993" s="218"/>
      <c r="D993" s="219"/>
      <c r="E993" s="217"/>
      <c r="F993" s="217"/>
      <c r="G993" s="217"/>
      <c r="H993" s="220"/>
      <c r="I993" s="217"/>
      <c r="J993" s="217"/>
      <c r="K993" s="217"/>
      <c r="L993" s="217"/>
      <c r="M993" s="217"/>
      <c r="N993" s="217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4"/>
      <c r="AI993" s="44"/>
      <c r="AJ993" s="44"/>
      <c r="AK993" s="44"/>
      <c r="AL993" s="44"/>
      <c r="AM993" s="44"/>
      <c r="AN993" s="44"/>
      <c r="AO993" s="44"/>
      <c r="AP993" s="44"/>
      <c r="AQ993" s="44"/>
      <c r="BA993" s="5"/>
      <c r="BB993" s="5"/>
      <c r="BC993" s="5"/>
      <c r="BD993" s="5"/>
      <c r="BE993" s="63"/>
      <c r="BF993" s="63"/>
      <c r="BG993" s="63"/>
      <c r="BK993" s="317"/>
      <c r="BL993" s="5"/>
      <c r="BM993" s="5"/>
      <c r="BN993" s="5"/>
      <c r="BO993" s="5"/>
      <c r="BP993" s="5"/>
      <c r="BQ993" s="5"/>
      <c r="BR993" s="5"/>
      <c r="BS993" s="5"/>
      <c r="BT993" s="5"/>
      <c r="BV993" s="317"/>
      <c r="CF993" s="5"/>
      <c r="CG993" s="53"/>
      <c r="CH993" s="53"/>
      <c r="CI993" s="53"/>
      <c r="CJ993" s="53"/>
      <c r="CK993" s="53"/>
      <c r="CL993" s="53"/>
      <c r="CN993" s="53"/>
      <c r="CO993" s="53"/>
      <c r="CP993" s="53"/>
      <c r="CQ993" s="53"/>
      <c r="CR993" s="53"/>
      <c r="CS993" s="53"/>
    </row>
    <row r="994" spans="1:103" ht="10.25" customHeight="1">
      <c r="A994" s="216"/>
      <c r="B994" s="217"/>
      <c r="C994" s="218"/>
      <c r="D994" s="219"/>
      <c r="E994" s="217"/>
      <c r="F994" s="217"/>
      <c r="G994" s="217"/>
      <c r="H994" s="220"/>
      <c r="I994" s="217"/>
      <c r="J994" s="217"/>
      <c r="K994" s="217"/>
      <c r="L994" s="217"/>
      <c r="M994" s="217"/>
      <c r="N994" s="217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  <c r="AI994" s="44"/>
      <c r="AJ994" s="44"/>
      <c r="AK994" s="44"/>
      <c r="AL994" s="44"/>
      <c r="AM994" s="44"/>
      <c r="AN994" s="44"/>
      <c r="AO994" s="44"/>
      <c r="AP994" s="44"/>
      <c r="AQ994" s="44"/>
      <c r="BA994" s="5"/>
      <c r="BB994" s="5"/>
      <c r="BC994" s="5"/>
      <c r="BD994" s="5"/>
      <c r="BE994" s="63"/>
      <c r="BF994" s="63"/>
      <c r="BG994" s="63"/>
      <c r="BK994" s="317"/>
      <c r="BL994" s="5"/>
      <c r="BM994" s="5"/>
      <c r="BN994" s="5"/>
      <c r="BO994" s="5"/>
      <c r="BP994" s="5"/>
      <c r="BQ994" s="5"/>
      <c r="BR994" s="5"/>
      <c r="BS994" s="5"/>
      <c r="BT994" s="5"/>
      <c r="BV994" s="317"/>
      <c r="CF994" s="5"/>
      <c r="CG994" s="53"/>
      <c r="CH994" s="53"/>
      <c r="CI994" s="53"/>
      <c r="CJ994" s="53"/>
      <c r="CK994" s="53"/>
      <c r="CL994" s="53"/>
      <c r="CN994" s="53"/>
      <c r="CO994" s="53"/>
      <c r="CP994" s="53"/>
      <c r="CQ994" s="53"/>
      <c r="CR994" s="53"/>
      <c r="CS994" s="53"/>
    </row>
    <row r="995" spans="1:103" ht="10.25" customHeight="1">
      <c r="A995" s="216"/>
      <c r="B995" s="217"/>
      <c r="C995" s="218"/>
      <c r="D995" s="219"/>
      <c r="E995" s="217"/>
      <c r="F995" s="217"/>
      <c r="G995" s="217"/>
      <c r="H995" s="220"/>
      <c r="I995" s="217"/>
      <c r="J995" s="217"/>
      <c r="K995" s="217"/>
      <c r="L995" s="217"/>
      <c r="M995" s="217"/>
      <c r="N995" s="217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  <c r="AI995" s="44"/>
      <c r="AJ995" s="44"/>
      <c r="AK995" s="44"/>
      <c r="AL995" s="44"/>
      <c r="AM995" s="44"/>
      <c r="AN995" s="44"/>
      <c r="AO995" s="44"/>
      <c r="AP995" s="44"/>
      <c r="AQ995" s="44"/>
      <c r="AW995" s="63"/>
      <c r="AX995" s="63"/>
      <c r="AY995" s="63"/>
      <c r="AZ995" s="63"/>
      <c r="BA995" s="5"/>
      <c r="BB995" s="5"/>
      <c r="BC995" s="5"/>
      <c r="BD995" s="5"/>
      <c r="BE995" s="63"/>
      <c r="BF995" s="63"/>
      <c r="BG995" s="63"/>
      <c r="BV995" s="317"/>
      <c r="CF995" s="5"/>
      <c r="CG995" s="53"/>
      <c r="CH995" s="53"/>
      <c r="CI995" s="53"/>
      <c r="CJ995" s="53"/>
      <c r="CK995" s="53"/>
      <c r="CL995" s="53"/>
      <c r="CN995" s="53"/>
      <c r="CO995" s="53"/>
      <c r="CP995" s="53"/>
      <c r="CQ995" s="53"/>
      <c r="CR995" s="53"/>
      <c r="CS995" s="53"/>
    </row>
    <row r="996" spans="1:103" ht="10.25" customHeight="1">
      <c r="A996" s="216"/>
      <c r="B996" s="217"/>
      <c r="C996" s="218"/>
      <c r="D996" s="219"/>
      <c r="E996" s="217"/>
      <c r="F996" s="217"/>
      <c r="G996" s="217"/>
      <c r="H996" s="220"/>
      <c r="I996" s="217"/>
      <c r="J996" s="217"/>
      <c r="K996" s="217"/>
      <c r="L996" s="217"/>
      <c r="M996" s="217"/>
      <c r="N996" s="217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  <c r="AI996" s="44"/>
      <c r="AJ996" s="44"/>
      <c r="AK996" s="44"/>
      <c r="AL996" s="44"/>
      <c r="AM996" s="44"/>
      <c r="AN996" s="44"/>
      <c r="AO996" s="44"/>
      <c r="AP996" s="44"/>
      <c r="AQ996" s="44"/>
      <c r="AW996" s="63"/>
      <c r="AX996" s="63"/>
      <c r="AY996" s="63"/>
      <c r="AZ996" s="63"/>
      <c r="BA996" s="5"/>
      <c r="BB996" s="5"/>
      <c r="BC996" s="5"/>
      <c r="BD996" s="5"/>
      <c r="BE996" s="63"/>
      <c r="BF996" s="63"/>
      <c r="BG996" s="63"/>
      <c r="BV996" s="317"/>
      <c r="CF996" s="5"/>
      <c r="CG996" s="53"/>
      <c r="CH996" s="53"/>
      <c r="CI996" s="53"/>
      <c r="CJ996" s="53"/>
      <c r="CK996" s="53"/>
      <c r="CL996" s="53"/>
      <c r="CN996" s="53"/>
      <c r="CO996" s="53"/>
      <c r="CP996" s="53"/>
      <c r="CQ996" s="53"/>
      <c r="CR996" s="53"/>
      <c r="CS996" s="53"/>
    </row>
    <row r="997" spans="1:103" ht="10.25" customHeight="1">
      <c r="A997" s="216"/>
      <c r="B997" s="217"/>
      <c r="C997" s="218"/>
      <c r="D997" s="219"/>
      <c r="E997" s="217"/>
      <c r="F997" s="217"/>
      <c r="G997" s="217"/>
      <c r="H997" s="220"/>
      <c r="I997" s="217"/>
      <c r="J997" s="217"/>
      <c r="K997" s="217"/>
      <c r="L997" s="217"/>
      <c r="M997" s="217"/>
      <c r="N997" s="217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  <c r="AJ997" s="44"/>
      <c r="AK997" s="44"/>
      <c r="AL997" s="44"/>
      <c r="AM997" s="44"/>
      <c r="AN997" s="44"/>
      <c r="AO997" s="44"/>
      <c r="AP997" s="44"/>
      <c r="AQ997" s="44"/>
      <c r="AW997" s="63"/>
      <c r="AX997" s="63"/>
      <c r="AY997" s="63"/>
      <c r="AZ997" s="63"/>
      <c r="BA997" s="5"/>
      <c r="BB997" s="5"/>
      <c r="BC997" s="5"/>
      <c r="BD997" s="5"/>
      <c r="BE997" s="63"/>
      <c r="BF997" s="63"/>
      <c r="BG997" s="63"/>
      <c r="BV997" s="317"/>
      <c r="CF997" s="5"/>
      <c r="CG997" s="53"/>
      <c r="CH997" s="53"/>
      <c r="CI997" s="53"/>
      <c r="CJ997" s="53"/>
      <c r="CK997" s="53"/>
      <c r="CL997" s="53"/>
      <c r="CN997" s="53"/>
      <c r="CO997" s="53"/>
      <c r="CP997" s="53"/>
      <c r="CQ997" s="53"/>
      <c r="CR997" s="53"/>
      <c r="CS997" s="53"/>
      <c r="CT997" s="5"/>
      <c r="CU997" s="5"/>
      <c r="CV997" s="5"/>
      <c r="CW997" s="5"/>
      <c r="CX997" s="5"/>
      <c r="CY997" s="5"/>
    </row>
    <row r="998" spans="1:103" ht="10.25" customHeight="1">
      <c r="A998" s="216"/>
      <c r="B998" s="217"/>
      <c r="C998" s="218"/>
      <c r="D998" s="219"/>
      <c r="E998" s="217"/>
      <c r="F998" s="217"/>
      <c r="G998" s="217"/>
      <c r="H998" s="220"/>
      <c r="I998" s="217"/>
      <c r="J998" s="217"/>
      <c r="K998" s="217"/>
      <c r="L998" s="217"/>
      <c r="M998" s="217"/>
      <c r="N998" s="217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  <c r="AJ998" s="44"/>
      <c r="AK998" s="44"/>
      <c r="AL998" s="44"/>
      <c r="AM998" s="44"/>
      <c r="AN998" s="44"/>
      <c r="AO998" s="44"/>
      <c r="AP998" s="44"/>
      <c r="AQ998" s="44"/>
      <c r="AW998" s="63"/>
      <c r="AX998" s="63"/>
      <c r="AY998" s="63"/>
      <c r="AZ998" s="63"/>
      <c r="BA998" s="5"/>
      <c r="BB998" s="5"/>
      <c r="BC998" s="5"/>
      <c r="BD998" s="5"/>
      <c r="BE998" s="63"/>
      <c r="BF998" s="63"/>
      <c r="BG998" s="63"/>
      <c r="BV998" s="317"/>
      <c r="CF998" s="5"/>
      <c r="CG998" s="53"/>
      <c r="CH998" s="53"/>
      <c r="CI998" s="53"/>
      <c r="CJ998" s="53"/>
      <c r="CK998" s="53"/>
      <c r="CL998" s="53"/>
      <c r="CN998" s="53"/>
      <c r="CO998" s="53"/>
      <c r="CP998" s="53"/>
      <c r="CQ998" s="53"/>
      <c r="CR998" s="53"/>
      <c r="CS998" s="53"/>
      <c r="CT998" s="5"/>
      <c r="CU998" s="5"/>
      <c r="CV998" s="5"/>
      <c r="CW998" s="5"/>
      <c r="CX998" s="5"/>
      <c r="CY998" s="5"/>
    </row>
    <row r="999" spans="1:103" ht="10.25" customHeight="1">
      <c r="A999" s="216"/>
      <c r="B999" s="217"/>
      <c r="C999" s="218"/>
      <c r="D999" s="219"/>
      <c r="E999" s="217"/>
      <c r="F999" s="217"/>
      <c r="G999" s="217"/>
      <c r="H999" s="220"/>
      <c r="I999" s="217"/>
      <c r="J999" s="217"/>
      <c r="K999" s="217"/>
      <c r="L999" s="217"/>
      <c r="M999" s="217"/>
      <c r="N999" s="217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  <c r="AJ999" s="44"/>
      <c r="AK999" s="44"/>
      <c r="AL999" s="44"/>
      <c r="AM999" s="44"/>
      <c r="AN999" s="44"/>
      <c r="AO999" s="44"/>
      <c r="AP999" s="44"/>
      <c r="AQ999" s="44"/>
      <c r="AW999" s="63"/>
      <c r="AX999" s="63"/>
      <c r="AY999" s="63"/>
      <c r="AZ999" s="63"/>
      <c r="BA999" s="5"/>
      <c r="BB999" s="5"/>
      <c r="BC999" s="5"/>
      <c r="BD999" s="5"/>
      <c r="BE999" s="63"/>
      <c r="BF999" s="63"/>
      <c r="BG999" s="63"/>
      <c r="BV999" s="317"/>
      <c r="CF999" s="5"/>
      <c r="CG999" s="53"/>
      <c r="CH999" s="53"/>
      <c r="CI999" s="53"/>
      <c r="CJ999" s="53"/>
      <c r="CK999" s="53"/>
      <c r="CL999" s="53"/>
      <c r="CN999" s="53"/>
      <c r="CO999" s="53"/>
      <c r="CP999" s="53"/>
      <c r="CQ999" s="53"/>
      <c r="CR999" s="53"/>
      <c r="CS999" s="53"/>
      <c r="CT999" s="5"/>
      <c r="CU999" s="5"/>
      <c r="CV999" s="5"/>
      <c r="CW999" s="5"/>
      <c r="CX999" s="5"/>
      <c r="CY999" s="5"/>
    </row>
    <row r="1000" spans="1:103" ht="10.25" customHeight="1">
      <c r="A1000" s="216"/>
      <c r="B1000" s="217"/>
      <c r="C1000" s="218"/>
      <c r="D1000" s="219"/>
      <c r="E1000" s="217"/>
      <c r="F1000" s="217"/>
      <c r="G1000" s="217"/>
      <c r="H1000" s="220"/>
      <c r="I1000" s="217"/>
      <c r="J1000" s="217"/>
      <c r="K1000" s="217"/>
      <c r="L1000" s="217"/>
      <c r="M1000" s="217"/>
      <c r="N1000" s="217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  <c r="AG1000" s="44"/>
      <c r="AH1000" s="44"/>
      <c r="AI1000" s="44"/>
      <c r="AJ1000" s="44"/>
      <c r="AK1000" s="44"/>
      <c r="AL1000" s="44"/>
      <c r="AM1000" s="44"/>
      <c r="AN1000" s="44"/>
      <c r="AO1000" s="44"/>
      <c r="AP1000" s="44"/>
      <c r="AQ1000" s="44"/>
      <c r="BA1000" s="5"/>
      <c r="BB1000" s="5"/>
      <c r="BC1000" s="5"/>
      <c r="BD1000" s="5"/>
      <c r="BE1000" s="63"/>
      <c r="BF1000" s="63"/>
      <c r="BG1000" s="63"/>
      <c r="BV1000" s="317"/>
      <c r="CF1000" s="5"/>
      <c r="CG1000" s="53"/>
      <c r="CH1000" s="53"/>
      <c r="CI1000" s="53"/>
      <c r="CJ1000" s="53"/>
      <c r="CK1000" s="53"/>
      <c r="CL1000" s="53"/>
      <c r="CN1000" s="53"/>
      <c r="CO1000" s="53"/>
      <c r="CP1000" s="53"/>
      <c r="CQ1000" s="53"/>
      <c r="CR1000" s="53"/>
      <c r="CS1000" s="53"/>
      <c r="CT1000" s="5"/>
      <c r="CU1000" s="5"/>
      <c r="CV1000" s="5"/>
      <c r="CW1000" s="5"/>
      <c r="CX1000" s="5"/>
      <c r="CY1000" s="5"/>
    </row>
    <row r="1001" spans="1:103" ht="10.25" customHeight="1">
      <c r="A1001" s="216"/>
      <c r="B1001" s="217"/>
      <c r="C1001" s="218"/>
      <c r="D1001" s="219"/>
      <c r="E1001" s="217"/>
      <c r="F1001" s="217"/>
      <c r="G1001" s="217"/>
      <c r="H1001" s="220"/>
      <c r="I1001" s="217"/>
      <c r="J1001" s="217"/>
      <c r="K1001" s="217"/>
      <c r="L1001" s="217"/>
      <c r="M1001" s="217"/>
      <c r="N1001" s="217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  <c r="AB1001" s="44"/>
      <c r="AC1001" s="44"/>
      <c r="AD1001" s="44"/>
      <c r="AE1001" s="44"/>
      <c r="AF1001" s="44"/>
      <c r="AG1001" s="44"/>
      <c r="AH1001" s="44"/>
      <c r="AI1001" s="44"/>
      <c r="AJ1001" s="44"/>
      <c r="AK1001" s="44"/>
      <c r="AL1001" s="44"/>
      <c r="AM1001" s="44"/>
      <c r="AN1001" s="44"/>
      <c r="AO1001" s="44"/>
      <c r="AP1001" s="44"/>
      <c r="AQ1001" s="44"/>
      <c r="BA1001" s="5"/>
      <c r="BB1001" s="5"/>
      <c r="BC1001" s="5"/>
      <c r="BD1001" s="5"/>
      <c r="BE1001" s="63"/>
      <c r="BF1001" s="63"/>
      <c r="BG1001" s="63"/>
      <c r="BV1001" s="317"/>
      <c r="CF1001" s="5"/>
      <c r="CG1001" s="53"/>
      <c r="CH1001" s="53"/>
      <c r="CI1001" s="53"/>
      <c r="CJ1001" s="53"/>
      <c r="CK1001" s="53"/>
      <c r="CL1001" s="53"/>
      <c r="CN1001" s="53"/>
      <c r="CO1001" s="53"/>
      <c r="CP1001" s="53"/>
      <c r="CQ1001" s="53"/>
      <c r="CR1001" s="53"/>
      <c r="CS1001" s="53"/>
      <c r="CT1001" s="5"/>
      <c r="CU1001" s="5"/>
      <c r="CV1001" s="5"/>
      <c r="CW1001" s="5"/>
      <c r="CX1001" s="5"/>
      <c r="CY1001" s="5"/>
    </row>
    <row r="1002" spans="1:103" ht="10.25" customHeight="1">
      <c r="A1002" s="216"/>
      <c r="B1002" s="217"/>
      <c r="C1002" s="218"/>
      <c r="D1002" s="219"/>
      <c r="E1002" s="217"/>
      <c r="F1002" s="217"/>
      <c r="G1002" s="217"/>
      <c r="H1002" s="220"/>
      <c r="I1002" s="217"/>
      <c r="J1002" s="217"/>
      <c r="K1002" s="217"/>
      <c r="L1002" s="217"/>
      <c r="M1002" s="217"/>
      <c r="N1002" s="217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  <c r="AA1002" s="44"/>
      <c r="AB1002" s="44"/>
      <c r="AC1002" s="44"/>
      <c r="AD1002" s="44"/>
      <c r="AE1002" s="44"/>
      <c r="AF1002" s="44"/>
      <c r="AG1002" s="44"/>
      <c r="AH1002" s="44"/>
      <c r="AI1002" s="44"/>
      <c r="AJ1002" s="44"/>
      <c r="AK1002" s="44"/>
      <c r="AL1002" s="44"/>
      <c r="AM1002" s="44"/>
      <c r="AN1002" s="44"/>
      <c r="AO1002" s="44"/>
      <c r="AP1002" s="44"/>
      <c r="AQ1002" s="44"/>
      <c r="BA1002" s="5"/>
      <c r="BB1002" s="5"/>
      <c r="BC1002" s="5"/>
      <c r="BD1002" s="5"/>
      <c r="BE1002" s="63"/>
      <c r="BF1002" s="63"/>
      <c r="BG1002" s="63"/>
      <c r="CA1002" s="317"/>
      <c r="CF1002" s="5"/>
      <c r="CG1002" s="53"/>
      <c r="CH1002" s="53"/>
      <c r="CI1002" s="53"/>
      <c r="CJ1002" s="53"/>
      <c r="CK1002" s="53"/>
      <c r="CL1002" s="53"/>
      <c r="CN1002" s="53"/>
      <c r="CO1002" s="53"/>
      <c r="CP1002" s="53"/>
      <c r="CQ1002" s="53"/>
      <c r="CR1002" s="53"/>
      <c r="CS1002" s="53"/>
      <c r="CT1002" s="5"/>
      <c r="CU1002" s="5"/>
      <c r="CV1002" s="5"/>
      <c r="CW1002" s="5"/>
      <c r="CX1002" s="5"/>
      <c r="CY1002" s="5"/>
    </row>
    <row r="1003" spans="1:103" ht="10.25" customHeight="1">
      <c r="A1003" s="216"/>
      <c r="B1003" s="217"/>
      <c r="C1003" s="218"/>
      <c r="D1003" s="219"/>
      <c r="E1003" s="217"/>
      <c r="F1003" s="217"/>
      <c r="G1003" s="217"/>
      <c r="H1003" s="220"/>
      <c r="I1003" s="217"/>
      <c r="J1003" s="217"/>
      <c r="K1003" s="217"/>
      <c r="L1003" s="217"/>
      <c r="M1003" s="217"/>
      <c r="N1003" s="217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  <c r="AA1003" s="44"/>
      <c r="AB1003" s="44"/>
      <c r="AC1003" s="44"/>
      <c r="AD1003" s="44"/>
      <c r="AE1003" s="44"/>
      <c r="AF1003" s="44"/>
      <c r="AG1003" s="44"/>
      <c r="AH1003" s="44"/>
      <c r="AI1003" s="44"/>
      <c r="AJ1003" s="44"/>
      <c r="AK1003" s="44"/>
      <c r="AL1003" s="44"/>
      <c r="AM1003" s="44"/>
      <c r="AN1003" s="44"/>
      <c r="AO1003" s="44"/>
      <c r="AP1003" s="44"/>
      <c r="AQ1003" s="44"/>
      <c r="BA1003" s="5"/>
      <c r="BB1003" s="5"/>
      <c r="BC1003" s="5"/>
      <c r="BD1003" s="5"/>
      <c r="BE1003" s="63"/>
      <c r="BF1003" s="63"/>
      <c r="BG1003" s="63"/>
      <c r="CA1003" s="317"/>
      <c r="CF1003" s="5"/>
      <c r="CG1003" s="53"/>
      <c r="CH1003" s="53"/>
      <c r="CI1003" s="53"/>
      <c r="CJ1003" s="53"/>
      <c r="CK1003" s="53"/>
      <c r="CL1003" s="53"/>
      <c r="CN1003" s="53"/>
      <c r="CO1003" s="53"/>
      <c r="CP1003" s="53"/>
      <c r="CQ1003" s="53"/>
      <c r="CR1003" s="53"/>
      <c r="CS1003" s="53"/>
      <c r="CT1003" s="5"/>
      <c r="CU1003" s="5"/>
      <c r="CV1003" s="5"/>
      <c r="CW1003" s="5"/>
      <c r="CX1003" s="5"/>
      <c r="CY1003" s="5"/>
    </row>
    <row r="1004" spans="1:103" ht="10.25" customHeight="1">
      <c r="A1004" s="216"/>
      <c r="B1004" s="217"/>
      <c r="C1004" s="218"/>
      <c r="D1004" s="219"/>
      <c r="E1004" s="217"/>
      <c r="F1004" s="217"/>
      <c r="G1004" s="217"/>
      <c r="H1004" s="220"/>
      <c r="I1004" s="217"/>
      <c r="J1004" s="217"/>
      <c r="K1004" s="217"/>
      <c r="L1004" s="217"/>
      <c r="M1004" s="217"/>
      <c r="N1004" s="217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  <c r="AA1004" s="44"/>
      <c r="AB1004" s="44"/>
      <c r="AC1004" s="44"/>
      <c r="AD1004" s="44"/>
      <c r="AE1004" s="44"/>
      <c r="AF1004" s="44"/>
      <c r="AG1004" s="44"/>
      <c r="AH1004" s="44"/>
      <c r="AI1004" s="44"/>
      <c r="AJ1004" s="44"/>
      <c r="AK1004" s="44"/>
      <c r="AL1004" s="44"/>
      <c r="AM1004" s="44"/>
      <c r="AN1004" s="44"/>
      <c r="AO1004" s="44"/>
      <c r="AP1004" s="44"/>
      <c r="AQ1004" s="44"/>
      <c r="BA1004" s="5"/>
      <c r="BB1004" s="5"/>
      <c r="BC1004" s="5"/>
      <c r="BD1004" s="5"/>
      <c r="BE1004" s="63"/>
      <c r="BF1004" s="63"/>
      <c r="BG1004" s="63"/>
      <c r="CA1004" s="317"/>
      <c r="CF1004" s="5"/>
      <c r="CG1004" s="53"/>
      <c r="CH1004" s="53"/>
      <c r="CI1004" s="53"/>
      <c r="CJ1004" s="53"/>
      <c r="CK1004" s="53"/>
      <c r="CL1004" s="53"/>
      <c r="CN1004" s="53"/>
      <c r="CO1004" s="53"/>
      <c r="CP1004" s="53"/>
      <c r="CQ1004" s="53"/>
      <c r="CR1004" s="53"/>
      <c r="CS1004" s="53"/>
      <c r="CT1004" s="5"/>
      <c r="CU1004" s="5"/>
      <c r="CV1004" s="5"/>
      <c r="CW1004" s="5"/>
      <c r="CX1004" s="5"/>
      <c r="CY1004" s="5"/>
    </row>
    <row r="1005" spans="1:103" ht="10.25" customHeight="1">
      <c r="A1005" s="216"/>
      <c r="B1005" s="217"/>
      <c r="C1005" s="218"/>
      <c r="D1005" s="219"/>
      <c r="E1005" s="217"/>
      <c r="F1005" s="217"/>
      <c r="G1005" s="217"/>
      <c r="H1005" s="220"/>
      <c r="I1005" s="217"/>
      <c r="J1005" s="217"/>
      <c r="K1005" s="217"/>
      <c r="L1005" s="217"/>
      <c r="M1005" s="217"/>
      <c r="N1005" s="217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  <c r="AA1005" s="44"/>
      <c r="AB1005" s="44"/>
      <c r="AC1005" s="44"/>
      <c r="AD1005" s="44"/>
      <c r="AE1005" s="44"/>
      <c r="AF1005" s="44"/>
      <c r="AG1005" s="44"/>
      <c r="AH1005" s="44"/>
      <c r="AI1005" s="44"/>
      <c r="AJ1005" s="44"/>
      <c r="AK1005" s="44"/>
      <c r="AL1005" s="44"/>
      <c r="AM1005" s="44"/>
      <c r="AN1005" s="44"/>
      <c r="AO1005" s="44"/>
      <c r="AP1005" s="44"/>
      <c r="AQ1005" s="44"/>
      <c r="BA1005" s="5"/>
      <c r="BB1005" s="5"/>
      <c r="BC1005" s="5"/>
      <c r="BD1005" s="5"/>
      <c r="BE1005" s="63"/>
      <c r="BF1005" s="63"/>
      <c r="BG1005" s="63"/>
      <c r="CA1005" s="317"/>
      <c r="CF1005" s="5"/>
      <c r="CG1005" s="53"/>
      <c r="CH1005" s="53"/>
      <c r="CI1005" s="53"/>
      <c r="CJ1005" s="53"/>
      <c r="CK1005" s="53"/>
      <c r="CL1005" s="53"/>
      <c r="CN1005" s="53"/>
      <c r="CO1005" s="53"/>
      <c r="CP1005" s="53"/>
      <c r="CQ1005" s="53"/>
      <c r="CR1005" s="53"/>
      <c r="CS1005" s="53"/>
      <c r="CT1005" s="5"/>
      <c r="CU1005" s="5"/>
      <c r="CV1005" s="5"/>
      <c r="CW1005" s="5"/>
      <c r="CX1005" s="5"/>
      <c r="CY1005" s="5"/>
    </row>
    <row r="1006" spans="1:103" ht="10.25" customHeight="1">
      <c r="A1006" s="216"/>
      <c r="B1006" s="217"/>
      <c r="C1006" s="218"/>
      <c r="D1006" s="219"/>
      <c r="E1006" s="217"/>
      <c r="F1006" s="217"/>
      <c r="G1006" s="217"/>
      <c r="H1006" s="220"/>
      <c r="I1006" s="217"/>
      <c r="J1006" s="217"/>
      <c r="K1006" s="217"/>
      <c r="L1006" s="217"/>
      <c r="M1006" s="217"/>
      <c r="N1006" s="217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BA1006" s="5"/>
      <c r="BB1006" s="5"/>
      <c r="BC1006" s="5"/>
      <c r="BD1006" s="5"/>
      <c r="BE1006" s="63"/>
      <c r="BF1006" s="63"/>
      <c r="BG1006" s="63"/>
      <c r="CA1006" s="317"/>
      <c r="CF1006" s="5"/>
      <c r="CG1006" s="53"/>
      <c r="CH1006" s="53"/>
      <c r="CI1006" s="53"/>
      <c r="CJ1006" s="53"/>
      <c r="CK1006" s="53"/>
      <c r="CL1006" s="53"/>
      <c r="CN1006" s="53"/>
      <c r="CO1006" s="53"/>
      <c r="CP1006" s="53"/>
      <c r="CQ1006" s="53"/>
      <c r="CR1006" s="53"/>
      <c r="CS1006" s="53"/>
      <c r="CT1006" s="5"/>
      <c r="CU1006" s="5"/>
      <c r="CV1006" s="5"/>
      <c r="CW1006" s="5"/>
      <c r="CX1006" s="5"/>
      <c r="CY1006" s="5"/>
    </row>
    <row r="1007" spans="1:103" ht="10.25" customHeight="1">
      <c r="A1007" s="216"/>
      <c r="B1007" s="217"/>
      <c r="C1007" s="218"/>
      <c r="D1007" s="219"/>
      <c r="E1007" s="217"/>
      <c r="F1007" s="217"/>
      <c r="G1007" s="217"/>
      <c r="H1007" s="220"/>
      <c r="I1007" s="217"/>
      <c r="J1007" s="217"/>
      <c r="K1007" s="217"/>
      <c r="L1007" s="217"/>
      <c r="M1007" s="217"/>
      <c r="N1007" s="217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BA1007" s="5"/>
      <c r="BB1007" s="5"/>
      <c r="BC1007" s="5"/>
      <c r="BD1007" s="5"/>
      <c r="BE1007" s="63"/>
      <c r="BF1007" s="63"/>
      <c r="BG1007" s="63"/>
      <c r="CA1007" s="317"/>
      <c r="CF1007" s="5"/>
      <c r="CG1007" s="53"/>
      <c r="CH1007" s="53"/>
      <c r="CI1007" s="53"/>
      <c r="CJ1007" s="53"/>
      <c r="CK1007" s="53"/>
      <c r="CL1007" s="53"/>
      <c r="CN1007" s="53"/>
      <c r="CO1007" s="53"/>
      <c r="CP1007" s="53"/>
      <c r="CQ1007" s="53"/>
      <c r="CR1007" s="53"/>
      <c r="CS1007" s="53"/>
      <c r="CT1007" s="5"/>
      <c r="CU1007" s="5"/>
      <c r="CV1007" s="5"/>
      <c r="CW1007" s="5"/>
      <c r="CX1007" s="5"/>
      <c r="CY1007" s="5"/>
    </row>
    <row r="1008" spans="1:103" ht="10.25" customHeight="1">
      <c r="A1008" s="216"/>
      <c r="B1008" s="217"/>
      <c r="C1008" s="218"/>
      <c r="D1008" s="219"/>
      <c r="E1008" s="217"/>
      <c r="F1008" s="217"/>
      <c r="G1008" s="217"/>
      <c r="H1008" s="220"/>
      <c r="I1008" s="217"/>
      <c r="J1008" s="217"/>
      <c r="K1008" s="217"/>
      <c r="L1008" s="217"/>
      <c r="M1008" s="217"/>
      <c r="N1008" s="217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  <c r="Z1008" s="44"/>
      <c r="AA1008" s="44"/>
      <c r="AB1008" s="44"/>
      <c r="AC1008" s="44"/>
      <c r="AD1008" s="44"/>
      <c r="AE1008" s="44"/>
      <c r="AF1008" s="44"/>
      <c r="AG1008" s="44"/>
      <c r="AH1008" s="44"/>
      <c r="AI1008" s="44"/>
      <c r="AJ1008" s="44"/>
      <c r="AK1008" s="44"/>
      <c r="AL1008" s="44"/>
      <c r="AM1008" s="44"/>
      <c r="AN1008" s="44"/>
      <c r="AO1008" s="44"/>
      <c r="AP1008" s="44"/>
      <c r="AQ1008" s="44"/>
      <c r="BA1008" s="5"/>
      <c r="BB1008" s="5"/>
      <c r="BC1008" s="5"/>
      <c r="BD1008" s="5"/>
      <c r="BE1008" s="63"/>
      <c r="BF1008" s="63"/>
      <c r="BG1008" s="63"/>
      <c r="CA1008" s="317"/>
      <c r="CF1008" s="5"/>
      <c r="CG1008" s="53"/>
      <c r="CH1008" s="53"/>
      <c r="CI1008" s="53"/>
      <c r="CJ1008" s="53"/>
      <c r="CK1008" s="53"/>
      <c r="CL1008" s="53"/>
      <c r="CN1008" s="53"/>
      <c r="CO1008" s="53"/>
      <c r="CP1008" s="53"/>
      <c r="CQ1008" s="53"/>
      <c r="CR1008" s="53"/>
      <c r="CS1008" s="53"/>
      <c r="CT1008" s="5"/>
      <c r="CU1008" s="5"/>
      <c r="CV1008" s="5"/>
      <c r="CW1008" s="5"/>
      <c r="CX1008" s="5"/>
      <c r="CY1008" s="5"/>
    </row>
    <row r="1009" spans="1:103" ht="10.25" customHeight="1">
      <c r="A1009" s="216"/>
      <c r="B1009" s="217"/>
      <c r="C1009" s="218"/>
      <c r="D1009" s="219"/>
      <c r="E1009" s="217"/>
      <c r="F1009" s="217"/>
      <c r="G1009" s="217"/>
      <c r="H1009" s="220"/>
      <c r="I1009" s="217"/>
      <c r="J1009" s="217"/>
      <c r="K1009" s="217"/>
      <c r="L1009" s="217"/>
      <c r="M1009" s="217"/>
      <c r="N1009" s="217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44"/>
      <c r="AL1009" s="44"/>
      <c r="AM1009" s="44"/>
      <c r="AN1009" s="44"/>
      <c r="AO1009" s="44"/>
      <c r="AP1009" s="44"/>
      <c r="AQ1009" s="44"/>
      <c r="BA1009" s="5"/>
      <c r="BB1009" s="5"/>
      <c r="BC1009" s="5"/>
      <c r="BD1009" s="5"/>
      <c r="BE1009" s="63"/>
      <c r="BF1009" s="63"/>
      <c r="BG1009" s="63"/>
      <c r="CA1009" s="317"/>
      <c r="CF1009" s="5"/>
      <c r="CG1009" s="53"/>
      <c r="CH1009" s="53"/>
      <c r="CI1009" s="53"/>
      <c r="CJ1009" s="53"/>
      <c r="CK1009" s="53"/>
      <c r="CL1009" s="53"/>
      <c r="CN1009" s="53"/>
      <c r="CO1009" s="53"/>
      <c r="CP1009" s="53"/>
      <c r="CQ1009" s="53"/>
      <c r="CR1009" s="53"/>
      <c r="CS1009" s="53"/>
      <c r="CT1009" s="5"/>
      <c r="CU1009" s="5"/>
      <c r="CV1009" s="5"/>
      <c r="CW1009" s="5"/>
      <c r="CX1009" s="5"/>
      <c r="CY1009" s="5"/>
    </row>
    <row r="1010" spans="1:103" ht="10.25" customHeight="1">
      <c r="A1010" s="216"/>
      <c r="B1010" s="217"/>
      <c r="C1010" s="218"/>
      <c r="D1010" s="219"/>
      <c r="E1010" s="217"/>
      <c r="F1010" s="217"/>
      <c r="G1010" s="217"/>
      <c r="H1010" s="220"/>
      <c r="I1010" s="217"/>
      <c r="J1010" s="217"/>
      <c r="K1010" s="217"/>
      <c r="L1010" s="217"/>
      <c r="M1010" s="217"/>
      <c r="N1010" s="217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BA1010" s="5"/>
      <c r="BB1010" s="5"/>
      <c r="BC1010" s="5"/>
      <c r="BD1010" s="5"/>
      <c r="BE1010" s="63"/>
      <c r="BF1010" s="63"/>
      <c r="BG1010" s="63"/>
      <c r="CA1010" s="317"/>
      <c r="CF1010" s="5"/>
      <c r="CG1010" s="53"/>
      <c r="CH1010" s="53"/>
      <c r="CI1010" s="53"/>
      <c r="CJ1010" s="53"/>
      <c r="CK1010" s="53"/>
      <c r="CL1010" s="53"/>
      <c r="CN1010" s="53"/>
      <c r="CO1010" s="53"/>
      <c r="CP1010" s="53"/>
      <c r="CQ1010" s="53"/>
      <c r="CR1010" s="53"/>
      <c r="CS1010" s="53"/>
      <c r="CT1010" s="5"/>
      <c r="CU1010" s="5"/>
      <c r="CV1010" s="5"/>
      <c r="CW1010" s="5"/>
      <c r="CX1010" s="5"/>
      <c r="CY1010" s="5"/>
    </row>
    <row r="1011" spans="1:103" ht="10.25" customHeight="1">
      <c r="A1011" s="216"/>
      <c r="B1011" s="217"/>
      <c r="C1011" s="218"/>
      <c r="D1011" s="219"/>
      <c r="E1011" s="217"/>
      <c r="F1011" s="217"/>
      <c r="G1011" s="217"/>
      <c r="H1011" s="220"/>
      <c r="I1011" s="217"/>
      <c r="J1011" s="217"/>
      <c r="K1011" s="217"/>
      <c r="L1011" s="217"/>
      <c r="M1011" s="217"/>
      <c r="N1011" s="217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BA1011" s="5"/>
      <c r="BB1011" s="5"/>
      <c r="BC1011" s="5"/>
      <c r="BD1011" s="5"/>
      <c r="BE1011" s="63"/>
      <c r="BF1011" s="63"/>
      <c r="BG1011" s="63"/>
      <c r="CA1011" s="317"/>
      <c r="CF1011" s="5"/>
      <c r="CG1011" s="53"/>
      <c r="CH1011" s="53"/>
      <c r="CI1011" s="53"/>
      <c r="CJ1011" s="53"/>
      <c r="CK1011" s="53"/>
      <c r="CL1011" s="53"/>
      <c r="CN1011" s="53"/>
      <c r="CO1011" s="53"/>
      <c r="CP1011" s="53"/>
      <c r="CQ1011" s="53"/>
      <c r="CR1011" s="53"/>
      <c r="CS1011" s="53"/>
      <c r="CT1011" s="5"/>
      <c r="CU1011" s="5"/>
      <c r="CV1011" s="5"/>
      <c r="CW1011" s="5"/>
      <c r="CX1011" s="5"/>
      <c r="CY1011" s="5"/>
    </row>
    <row r="1012" spans="1:103" ht="10.25" customHeight="1">
      <c r="A1012" s="216"/>
      <c r="B1012" s="217"/>
      <c r="C1012" s="218"/>
      <c r="D1012" s="219"/>
      <c r="E1012" s="217"/>
      <c r="F1012" s="217"/>
      <c r="G1012" s="217"/>
      <c r="H1012" s="220"/>
      <c r="I1012" s="217"/>
      <c r="J1012" s="217"/>
      <c r="K1012" s="217"/>
      <c r="L1012" s="217"/>
      <c r="M1012" s="217"/>
      <c r="N1012" s="217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BA1012" s="5"/>
      <c r="BB1012" s="5"/>
      <c r="BC1012" s="5"/>
      <c r="BD1012" s="5"/>
      <c r="BE1012" s="63"/>
      <c r="BF1012" s="63"/>
      <c r="BG1012" s="63"/>
      <c r="CA1012" s="317"/>
      <c r="CF1012" s="5"/>
      <c r="CG1012" s="53"/>
      <c r="CH1012" s="53"/>
      <c r="CI1012" s="53"/>
      <c r="CJ1012" s="53"/>
      <c r="CK1012" s="53"/>
      <c r="CL1012" s="53"/>
      <c r="CN1012" s="53"/>
      <c r="CO1012" s="53"/>
      <c r="CP1012" s="53"/>
      <c r="CQ1012" s="53"/>
      <c r="CR1012" s="53"/>
      <c r="CS1012" s="53"/>
      <c r="CT1012" s="5"/>
      <c r="CU1012" s="5"/>
      <c r="CV1012" s="5"/>
      <c r="CW1012" s="5"/>
      <c r="CX1012" s="5"/>
      <c r="CY1012" s="5"/>
    </row>
    <row r="1013" spans="1:103" ht="10.25" customHeight="1">
      <c r="A1013" s="216"/>
      <c r="B1013" s="217"/>
      <c r="C1013" s="218"/>
      <c r="D1013" s="219"/>
      <c r="E1013" s="217"/>
      <c r="F1013" s="217"/>
      <c r="G1013" s="217"/>
      <c r="H1013" s="220"/>
      <c r="I1013" s="217"/>
      <c r="J1013" s="217"/>
      <c r="K1013" s="217"/>
      <c r="L1013" s="217"/>
      <c r="M1013" s="217"/>
      <c r="N1013" s="217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BA1013" s="5"/>
      <c r="BB1013" s="5"/>
      <c r="BC1013" s="5"/>
      <c r="BD1013" s="5"/>
      <c r="BE1013" s="63"/>
      <c r="BF1013" s="63"/>
      <c r="BG1013" s="63"/>
      <c r="CA1013" s="317"/>
      <c r="CF1013" s="5"/>
      <c r="CG1013" s="53"/>
      <c r="CH1013" s="53"/>
      <c r="CI1013" s="53"/>
      <c r="CJ1013" s="53"/>
      <c r="CK1013" s="53"/>
      <c r="CL1013" s="53"/>
      <c r="CN1013" s="53"/>
      <c r="CO1013" s="53"/>
      <c r="CP1013" s="53"/>
      <c r="CQ1013" s="53"/>
      <c r="CR1013" s="53"/>
      <c r="CS1013" s="53"/>
      <c r="CT1013" s="5"/>
      <c r="CU1013" s="5"/>
      <c r="CV1013" s="5"/>
      <c r="CW1013" s="5"/>
      <c r="CX1013" s="5"/>
      <c r="CY1013" s="5"/>
    </row>
    <row r="1014" spans="1:103" ht="10.25" customHeight="1">
      <c r="A1014" s="216"/>
      <c r="B1014" s="217"/>
      <c r="C1014" s="218"/>
      <c r="D1014" s="219"/>
      <c r="E1014" s="217"/>
      <c r="F1014" s="217"/>
      <c r="G1014" s="217"/>
      <c r="H1014" s="220"/>
      <c r="I1014" s="217"/>
      <c r="J1014" s="217"/>
      <c r="K1014" s="217"/>
      <c r="L1014" s="217"/>
      <c r="M1014" s="217"/>
      <c r="N1014" s="217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BA1014" s="5"/>
      <c r="BB1014" s="5"/>
      <c r="BC1014" s="5"/>
      <c r="BD1014" s="5"/>
      <c r="BE1014" s="63"/>
      <c r="BF1014" s="63"/>
      <c r="BG1014" s="63"/>
      <c r="CA1014" s="256"/>
      <c r="CB1014" s="261"/>
      <c r="CC1014" s="261"/>
      <c r="CD1014" s="261"/>
      <c r="CE1014" s="261"/>
      <c r="CF1014" s="255"/>
      <c r="CG1014" s="53"/>
      <c r="CH1014" s="53"/>
      <c r="CI1014" s="53"/>
      <c r="CJ1014" s="53"/>
      <c r="CK1014" s="53"/>
      <c r="CL1014" s="53"/>
      <c r="CN1014" s="53"/>
      <c r="CO1014" s="53"/>
      <c r="CP1014" s="53"/>
      <c r="CQ1014" s="53"/>
      <c r="CR1014" s="53"/>
      <c r="CS1014" s="53"/>
      <c r="CT1014" s="261"/>
      <c r="CU1014" s="255"/>
      <c r="CV1014" s="261"/>
      <c r="CW1014" s="261"/>
      <c r="CX1014" s="261"/>
      <c r="CY1014" s="255"/>
    </row>
    <row r="1015" spans="1:103" ht="10.25" customHeight="1">
      <c r="A1015" s="216"/>
      <c r="B1015" s="217"/>
      <c r="C1015" s="218"/>
      <c r="D1015" s="219"/>
      <c r="E1015" s="217"/>
      <c r="F1015" s="217"/>
      <c r="G1015" s="217"/>
      <c r="H1015" s="220"/>
      <c r="I1015" s="217"/>
      <c r="J1015" s="217"/>
      <c r="K1015" s="217"/>
      <c r="L1015" s="217"/>
      <c r="M1015" s="217"/>
      <c r="N1015" s="217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BA1015" s="5"/>
      <c r="BB1015" s="5"/>
      <c r="BC1015" s="5"/>
      <c r="BD1015" s="5"/>
      <c r="BE1015" s="63"/>
      <c r="BF1015" s="63"/>
      <c r="BG1015" s="63"/>
      <c r="CA1015" s="256"/>
      <c r="CB1015" s="261"/>
      <c r="CC1015" s="261"/>
      <c r="CD1015" s="261"/>
      <c r="CE1015" s="261"/>
      <c r="CF1015" s="255"/>
      <c r="CG1015" s="53"/>
      <c r="CH1015" s="53"/>
      <c r="CI1015" s="53"/>
      <c r="CJ1015" s="53"/>
      <c r="CK1015" s="53"/>
      <c r="CL1015" s="53"/>
      <c r="CN1015" s="53"/>
      <c r="CO1015" s="53"/>
      <c r="CP1015" s="53"/>
      <c r="CQ1015" s="53"/>
      <c r="CR1015" s="53"/>
      <c r="CS1015" s="53"/>
      <c r="CT1015" s="261"/>
      <c r="CU1015" s="255"/>
      <c r="CV1015" s="261"/>
      <c r="CW1015" s="261"/>
      <c r="CX1015" s="261"/>
      <c r="CY1015" s="255"/>
    </row>
    <row r="1016" spans="1:103" ht="10.25" customHeight="1">
      <c r="A1016" s="216"/>
      <c r="B1016" s="217"/>
      <c r="C1016" s="218"/>
      <c r="D1016" s="219"/>
      <c r="E1016" s="217"/>
      <c r="F1016" s="217"/>
      <c r="G1016" s="217"/>
      <c r="H1016" s="220"/>
      <c r="I1016" s="217"/>
      <c r="J1016" s="217"/>
      <c r="K1016" s="217"/>
      <c r="L1016" s="217"/>
      <c r="M1016" s="217"/>
      <c r="N1016" s="217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BA1016" s="5"/>
      <c r="BB1016" s="5"/>
      <c r="BC1016" s="5"/>
      <c r="BD1016" s="5"/>
      <c r="BE1016" s="63"/>
      <c r="BF1016" s="63"/>
      <c r="BG1016" s="63"/>
      <c r="CA1016" s="256"/>
      <c r="CB1016" s="261"/>
      <c r="CC1016" s="261"/>
      <c r="CD1016" s="261"/>
      <c r="CE1016" s="261"/>
      <c r="CF1016" s="255"/>
      <c r="CG1016" s="53"/>
      <c r="CH1016" s="53"/>
      <c r="CI1016" s="53"/>
      <c r="CJ1016" s="53"/>
      <c r="CK1016" s="53"/>
      <c r="CL1016" s="53"/>
      <c r="CN1016" s="53"/>
      <c r="CO1016" s="53"/>
      <c r="CP1016" s="53"/>
      <c r="CQ1016" s="53"/>
      <c r="CR1016" s="53"/>
      <c r="CS1016" s="53"/>
      <c r="CT1016" s="261"/>
      <c r="CU1016" s="255"/>
      <c r="CV1016" s="261"/>
      <c r="CW1016" s="255"/>
      <c r="CX1016" s="261"/>
      <c r="CY1016" s="255"/>
    </row>
    <row r="1017" spans="1:103" ht="10.25" customHeight="1">
      <c r="A1017" s="216"/>
      <c r="B1017" s="217"/>
      <c r="C1017" s="218"/>
      <c r="D1017" s="219"/>
      <c r="E1017" s="217"/>
      <c r="F1017" s="217"/>
      <c r="G1017" s="217"/>
      <c r="H1017" s="220"/>
      <c r="I1017" s="217"/>
      <c r="J1017" s="217"/>
      <c r="K1017" s="217"/>
      <c r="L1017" s="217"/>
      <c r="M1017" s="217"/>
      <c r="N1017" s="217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BA1017" s="5"/>
      <c r="BB1017" s="5"/>
      <c r="BC1017" s="5"/>
      <c r="BD1017" s="5"/>
      <c r="BE1017" s="63"/>
      <c r="BF1017" s="63"/>
      <c r="BG1017" s="63"/>
      <c r="CA1017" s="256"/>
      <c r="CB1017" s="261"/>
      <c r="CC1017" s="261"/>
      <c r="CD1017" s="261"/>
      <c r="CE1017" s="261"/>
      <c r="CF1017" s="255"/>
      <c r="CG1017" s="53"/>
      <c r="CH1017" s="53"/>
      <c r="CI1017" s="53"/>
      <c r="CJ1017" s="53"/>
      <c r="CK1017" s="53"/>
      <c r="CL1017" s="53"/>
      <c r="CN1017" s="53"/>
      <c r="CO1017" s="53"/>
      <c r="CP1017" s="53"/>
      <c r="CQ1017" s="53"/>
      <c r="CR1017" s="53"/>
      <c r="CS1017" s="53"/>
      <c r="CT1017" s="261"/>
      <c r="CU1017" s="255"/>
      <c r="CV1017" s="255"/>
      <c r="CW1017" s="261"/>
      <c r="CX1017" s="261"/>
      <c r="CY1017" s="255"/>
    </row>
    <row r="1018" spans="1:103" ht="10.25" customHeight="1">
      <c r="A1018" s="216"/>
      <c r="B1018" s="217"/>
      <c r="C1018" s="218"/>
      <c r="D1018" s="219"/>
      <c r="E1018" s="217"/>
      <c r="F1018" s="217"/>
      <c r="G1018" s="217"/>
      <c r="H1018" s="220"/>
      <c r="I1018" s="217"/>
      <c r="J1018" s="217"/>
      <c r="K1018" s="217"/>
      <c r="L1018" s="217"/>
      <c r="M1018" s="217"/>
      <c r="N1018" s="217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BA1018" s="5"/>
      <c r="BB1018" s="5"/>
      <c r="BC1018" s="5"/>
      <c r="BD1018" s="5"/>
      <c r="BE1018" s="63"/>
      <c r="BF1018" s="63"/>
      <c r="BG1018" s="63"/>
      <c r="CA1018" s="256"/>
      <c r="CB1018" s="261"/>
      <c r="CC1018" s="261"/>
      <c r="CD1018" s="261"/>
      <c r="CE1018" s="261"/>
      <c r="CF1018" s="255"/>
      <c r="CG1018" s="53"/>
      <c r="CH1018" s="53"/>
      <c r="CI1018" s="53"/>
      <c r="CJ1018" s="53"/>
      <c r="CK1018" s="53"/>
      <c r="CL1018" s="53"/>
      <c r="CN1018" s="53"/>
      <c r="CO1018" s="53"/>
      <c r="CP1018" s="53"/>
      <c r="CQ1018" s="53"/>
      <c r="CR1018" s="53"/>
      <c r="CS1018" s="53"/>
      <c r="CT1018" s="261"/>
      <c r="CU1018" s="255"/>
      <c r="CV1018" s="261"/>
      <c r="CW1018" s="255"/>
      <c r="CX1018" s="261"/>
      <c r="CY1018" s="255"/>
    </row>
    <row r="1019" spans="1:103" ht="10.25" customHeight="1">
      <c r="A1019" s="216"/>
      <c r="B1019" s="217"/>
      <c r="C1019" s="218"/>
      <c r="D1019" s="219"/>
      <c r="E1019" s="217"/>
      <c r="F1019" s="217"/>
      <c r="G1019" s="217"/>
      <c r="H1019" s="220"/>
      <c r="I1019" s="217"/>
      <c r="J1019" s="217"/>
      <c r="K1019" s="217"/>
      <c r="L1019" s="217"/>
      <c r="M1019" s="217"/>
      <c r="N1019" s="217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BA1019" s="5"/>
      <c r="BB1019" s="5"/>
      <c r="BC1019" s="5"/>
      <c r="BD1019" s="5"/>
      <c r="BE1019" s="63"/>
      <c r="BF1019" s="63"/>
      <c r="BG1019" s="63"/>
      <c r="CA1019" s="256"/>
      <c r="CB1019" s="261"/>
      <c r="CC1019" s="261"/>
      <c r="CD1019" s="261"/>
      <c r="CE1019" s="255"/>
      <c r="CF1019" s="261"/>
      <c r="CG1019" s="53"/>
      <c r="CH1019" s="53"/>
      <c r="CI1019" s="53"/>
      <c r="CJ1019" s="53"/>
      <c r="CK1019" s="53"/>
      <c r="CL1019" s="53"/>
      <c r="CN1019" s="53"/>
      <c r="CO1019" s="53"/>
      <c r="CP1019" s="53"/>
      <c r="CQ1019" s="53"/>
      <c r="CR1019" s="53"/>
      <c r="CS1019" s="53"/>
      <c r="CT1019" s="255"/>
      <c r="CU1019" s="261"/>
      <c r="CV1019" s="255"/>
      <c r="CW1019" s="261"/>
      <c r="CX1019" s="261"/>
      <c r="CY1019" s="255"/>
    </row>
    <row r="1020" spans="1:103" ht="10.25" customHeight="1">
      <c r="A1020" s="216"/>
      <c r="B1020" s="217"/>
      <c r="C1020" s="218"/>
      <c r="D1020" s="219"/>
      <c r="E1020" s="217"/>
      <c r="F1020" s="217"/>
      <c r="G1020" s="217"/>
      <c r="H1020" s="220"/>
      <c r="I1020" s="217"/>
      <c r="J1020" s="217"/>
      <c r="K1020" s="217"/>
      <c r="L1020" s="217"/>
      <c r="M1020" s="217"/>
      <c r="N1020" s="217"/>
      <c r="O1020" s="44"/>
      <c r="P1020" s="44"/>
      <c r="Q1020" s="44"/>
      <c r="R1020" s="44"/>
      <c r="S1020" s="44"/>
      <c r="T1020" s="44"/>
      <c r="U1020" s="44"/>
      <c r="V1020" s="44"/>
      <c r="W1020" s="44"/>
      <c r="X1020" s="44"/>
      <c r="Y1020" s="44"/>
      <c r="Z1020" s="44"/>
      <c r="AA1020" s="44"/>
      <c r="AB1020" s="44"/>
      <c r="AC1020" s="44"/>
      <c r="AD1020" s="44"/>
      <c r="AE1020" s="44"/>
      <c r="AF1020" s="44"/>
      <c r="AG1020" s="44"/>
      <c r="AH1020" s="44"/>
      <c r="AI1020" s="44"/>
      <c r="AJ1020" s="44"/>
      <c r="AK1020" s="44"/>
      <c r="AL1020" s="44"/>
      <c r="AM1020" s="44"/>
      <c r="AN1020" s="44"/>
      <c r="AO1020" s="44"/>
      <c r="AP1020" s="44"/>
      <c r="AQ1020" s="44"/>
      <c r="BA1020" s="5"/>
      <c r="BB1020" s="5"/>
      <c r="BC1020" s="5"/>
      <c r="BD1020" s="5"/>
      <c r="BE1020" s="63"/>
      <c r="BF1020" s="63"/>
      <c r="BG1020" s="63"/>
      <c r="CA1020" s="256"/>
      <c r="CB1020" s="261"/>
      <c r="CC1020" s="261"/>
      <c r="CD1020" s="261"/>
      <c r="CE1020" s="255"/>
      <c r="CF1020" s="261"/>
      <c r="CG1020" s="53"/>
      <c r="CH1020" s="53"/>
      <c r="CI1020" s="53"/>
      <c r="CJ1020" s="53"/>
      <c r="CK1020" s="53"/>
      <c r="CL1020" s="53"/>
      <c r="CN1020" s="53"/>
      <c r="CO1020" s="53"/>
      <c r="CP1020" s="53"/>
      <c r="CQ1020" s="53"/>
      <c r="CR1020" s="53"/>
      <c r="CS1020" s="53"/>
      <c r="CT1020" s="255"/>
      <c r="CU1020" s="261"/>
      <c r="CV1020" s="261"/>
      <c r="CW1020" s="255"/>
      <c r="CX1020" s="261"/>
      <c r="CY1020" s="255"/>
    </row>
    <row r="1021" spans="1:103" ht="10.25" customHeight="1">
      <c r="A1021" s="216"/>
      <c r="B1021" s="217"/>
      <c r="C1021" s="218"/>
      <c r="D1021" s="219"/>
      <c r="E1021" s="217"/>
      <c r="F1021" s="217"/>
      <c r="G1021" s="217"/>
      <c r="H1021" s="220"/>
      <c r="I1021" s="217"/>
      <c r="J1021" s="217"/>
      <c r="K1021" s="217"/>
      <c r="L1021" s="217"/>
      <c r="M1021" s="217"/>
      <c r="N1021" s="217"/>
      <c r="O1021" s="44"/>
      <c r="P1021" s="44"/>
      <c r="Q1021" s="44"/>
      <c r="R1021" s="44"/>
      <c r="S1021" s="44"/>
      <c r="T1021" s="44"/>
      <c r="U1021" s="44"/>
      <c r="V1021" s="44"/>
      <c r="W1021" s="44"/>
      <c r="X1021" s="44"/>
      <c r="Y1021" s="44"/>
      <c r="Z1021" s="44"/>
      <c r="AA1021" s="44"/>
      <c r="AB1021" s="44"/>
      <c r="AC1021" s="44"/>
      <c r="AD1021" s="44"/>
      <c r="AE1021" s="44"/>
      <c r="AF1021" s="44"/>
      <c r="AG1021" s="44"/>
      <c r="AH1021" s="44"/>
      <c r="AI1021" s="44"/>
      <c r="AJ1021" s="44"/>
      <c r="AK1021" s="44"/>
      <c r="AL1021" s="44"/>
      <c r="AM1021" s="44"/>
      <c r="AN1021" s="44"/>
      <c r="AO1021" s="44"/>
      <c r="AP1021" s="44"/>
      <c r="AQ1021" s="44"/>
      <c r="BA1021" s="5"/>
      <c r="BB1021" s="5"/>
      <c r="BC1021" s="5"/>
      <c r="BD1021" s="5"/>
      <c r="BE1021" s="63"/>
      <c r="BF1021" s="63"/>
      <c r="BG1021" s="63"/>
      <c r="CA1021" s="256"/>
      <c r="CB1021" s="261"/>
      <c r="CC1021" s="261"/>
      <c r="CD1021" s="255"/>
      <c r="CE1021" s="261"/>
      <c r="CF1021" s="261"/>
      <c r="CG1021" s="53"/>
      <c r="CH1021" s="53"/>
      <c r="CI1021" s="53"/>
      <c r="CJ1021" s="53"/>
      <c r="CK1021" s="53"/>
      <c r="CL1021" s="53"/>
      <c r="CN1021" s="53"/>
      <c r="CO1021" s="53"/>
      <c r="CP1021" s="53"/>
      <c r="CQ1021" s="53"/>
      <c r="CR1021" s="53"/>
      <c r="CS1021" s="53"/>
      <c r="CT1021" s="261"/>
      <c r="CU1021" s="261"/>
      <c r="CV1021" s="255"/>
      <c r="CW1021" s="261"/>
      <c r="CX1021" s="261"/>
      <c r="CY1021" s="255"/>
    </row>
    <row r="1022" spans="1:103" ht="10.25" customHeight="1">
      <c r="A1022" s="216"/>
      <c r="B1022" s="217"/>
      <c r="C1022" s="218"/>
      <c r="D1022" s="219"/>
      <c r="E1022" s="217"/>
      <c r="F1022" s="217"/>
      <c r="G1022" s="217"/>
      <c r="H1022" s="220"/>
      <c r="I1022" s="217"/>
      <c r="J1022" s="217"/>
      <c r="K1022" s="217"/>
      <c r="L1022" s="217"/>
      <c r="M1022" s="217"/>
      <c r="N1022" s="217"/>
      <c r="O1022" s="44"/>
      <c r="P1022" s="44"/>
      <c r="Q1022" s="44"/>
      <c r="R1022" s="44"/>
      <c r="S1022" s="44"/>
      <c r="T1022" s="44"/>
      <c r="U1022" s="44"/>
      <c r="V1022" s="44"/>
      <c r="W1022" s="44"/>
      <c r="X1022" s="44"/>
      <c r="Y1022" s="44"/>
      <c r="Z1022" s="44"/>
      <c r="AA1022" s="44"/>
      <c r="AB1022" s="44"/>
      <c r="AC1022" s="44"/>
      <c r="AD1022" s="44"/>
      <c r="AE1022" s="44"/>
      <c r="AF1022" s="44"/>
      <c r="AG1022" s="44"/>
      <c r="AH1022" s="44"/>
      <c r="AI1022" s="44"/>
      <c r="AJ1022" s="44"/>
      <c r="AK1022" s="44"/>
      <c r="AL1022" s="44"/>
      <c r="AM1022" s="44"/>
      <c r="AN1022" s="44"/>
      <c r="AO1022" s="44"/>
      <c r="AP1022" s="44"/>
      <c r="AQ1022" s="44"/>
      <c r="BA1022" s="5"/>
      <c r="BB1022" s="5"/>
      <c r="BC1022" s="5"/>
      <c r="BD1022" s="5"/>
      <c r="BE1022" s="63"/>
      <c r="BF1022" s="63"/>
      <c r="BG1022" s="63"/>
      <c r="CA1022" s="256"/>
      <c r="CB1022" s="261"/>
      <c r="CC1022" s="261"/>
      <c r="CD1022" s="255"/>
      <c r="CE1022" s="261"/>
      <c r="CF1022" s="261"/>
      <c r="CG1022" s="53"/>
      <c r="CH1022" s="53"/>
      <c r="CI1022" s="53"/>
      <c r="CJ1022" s="53"/>
      <c r="CK1022" s="53"/>
      <c r="CL1022" s="53"/>
      <c r="CN1022" s="53"/>
      <c r="CO1022" s="53"/>
      <c r="CP1022" s="53"/>
      <c r="CQ1022" s="53"/>
      <c r="CR1022" s="53"/>
      <c r="CS1022" s="53"/>
      <c r="CT1022" s="261"/>
      <c r="CU1022" s="261"/>
      <c r="CV1022" s="261"/>
      <c r="CW1022" s="255"/>
      <c r="CX1022" s="261"/>
      <c r="CY1022" s="255"/>
    </row>
    <row r="1023" spans="1:103" ht="10.25" customHeight="1">
      <c r="A1023" s="216"/>
      <c r="B1023" s="217"/>
      <c r="C1023" s="218"/>
      <c r="D1023" s="219"/>
      <c r="E1023" s="217"/>
      <c r="F1023" s="217"/>
      <c r="G1023" s="217"/>
      <c r="H1023" s="220"/>
      <c r="I1023" s="217"/>
      <c r="J1023" s="217"/>
      <c r="K1023" s="217"/>
      <c r="L1023" s="217"/>
      <c r="M1023" s="217"/>
      <c r="N1023" s="217"/>
      <c r="O1023" s="44"/>
      <c r="P1023" s="44"/>
      <c r="Q1023" s="44"/>
      <c r="R1023" s="44"/>
      <c r="S1023" s="44"/>
      <c r="T1023" s="44"/>
      <c r="U1023" s="44"/>
      <c r="V1023" s="44"/>
      <c r="W1023" s="44"/>
      <c r="X1023" s="44"/>
      <c r="Y1023" s="44"/>
      <c r="Z1023" s="44"/>
      <c r="AA1023" s="44"/>
      <c r="AB1023" s="44"/>
      <c r="AC1023" s="44"/>
      <c r="AD1023" s="44"/>
      <c r="AE1023" s="44"/>
      <c r="AF1023" s="44"/>
      <c r="AG1023" s="44"/>
      <c r="AH1023" s="44"/>
      <c r="AI1023" s="44"/>
      <c r="AJ1023" s="44"/>
      <c r="AK1023" s="44"/>
      <c r="AL1023" s="44"/>
      <c r="AM1023" s="44"/>
      <c r="AN1023" s="44"/>
      <c r="AO1023" s="44"/>
      <c r="AP1023" s="44"/>
      <c r="AQ1023" s="44"/>
      <c r="BA1023" s="5"/>
      <c r="BB1023" s="5"/>
      <c r="BC1023" s="5"/>
      <c r="BD1023" s="5"/>
      <c r="BE1023" s="63"/>
      <c r="BF1023" s="63"/>
      <c r="BG1023" s="63"/>
      <c r="CA1023" s="256"/>
      <c r="CB1023" s="261"/>
      <c r="CC1023" s="261"/>
      <c r="CD1023" s="255"/>
      <c r="CE1023" s="261"/>
      <c r="CF1023" s="261"/>
      <c r="CG1023" s="53"/>
      <c r="CH1023" s="53"/>
      <c r="CI1023" s="53"/>
      <c r="CJ1023" s="53"/>
      <c r="CK1023" s="53"/>
      <c r="CL1023" s="53"/>
      <c r="CN1023" s="53"/>
      <c r="CO1023" s="53"/>
      <c r="CP1023" s="53"/>
      <c r="CQ1023" s="53"/>
      <c r="CR1023" s="53"/>
      <c r="CS1023" s="53"/>
      <c r="CT1023" s="261"/>
      <c r="CU1023" s="261"/>
      <c r="CV1023" s="261"/>
      <c r="CW1023" s="261"/>
      <c r="CX1023" s="261"/>
      <c r="CY1023" s="255"/>
    </row>
    <row r="1024" spans="1:103" ht="10.25" customHeight="1">
      <c r="A1024" s="216"/>
      <c r="B1024" s="217"/>
      <c r="C1024" s="218"/>
      <c r="D1024" s="219"/>
      <c r="E1024" s="217"/>
      <c r="F1024" s="217"/>
      <c r="G1024" s="217"/>
      <c r="H1024" s="220"/>
      <c r="I1024" s="217"/>
      <c r="J1024" s="217"/>
      <c r="K1024" s="217"/>
      <c r="L1024" s="217"/>
      <c r="M1024" s="217"/>
      <c r="N1024" s="217"/>
      <c r="O1024" s="44"/>
      <c r="P1024" s="44"/>
      <c r="Q1024" s="44"/>
      <c r="R1024" s="44"/>
      <c r="S1024" s="44"/>
      <c r="T1024" s="44"/>
      <c r="U1024" s="44"/>
      <c r="V1024" s="44"/>
      <c r="W1024" s="44"/>
      <c r="X1024" s="44"/>
      <c r="Y1024" s="44"/>
      <c r="Z1024" s="44"/>
      <c r="AA1024" s="44"/>
      <c r="AB1024" s="44"/>
      <c r="AC1024" s="44"/>
      <c r="AD1024" s="44"/>
      <c r="AE1024" s="44"/>
      <c r="AF1024" s="44"/>
      <c r="AG1024" s="44"/>
      <c r="AH1024" s="44"/>
      <c r="AI1024" s="44"/>
      <c r="AJ1024" s="44"/>
      <c r="AK1024" s="44"/>
      <c r="AL1024" s="44"/>
      <c r="AM1024" s="44"/>
      <c r="AN1024" s="44"/>
      <c r="AO1024" s="44"/>
      <c r="AP1024" s="44"/>
      <c r="AQ1024" s="44"/>
      <c r="BA1024" s="5"/>
      <c r="BB1024" s="5"/>
      <c r="BC1024" s="5"/>
      <c r="BD1024" s="5"/>
      <c r="BE1024" s="63"/>
      <c r="BF1024" s="63"/>
      <c r="BG1024" s="63"/>
      <c r="CA1024" s="256"/>
      <c r="CB1024" s="261"/>
      <c r="CC1024" s="261"/>
      <c r="CD1024" s="261"/>
      <c r="CE1024" s="261"/>
      <c r="CF1024" s="261"/>
      <c r="CG1024" s="53"/>
      <c r="CH1024" s="53"/>
      <c r="CI1024" s="53"/>
      <c r="CJ1024" s="53"/>
      <c r="CK1024" s="53"/>
      <c r="CL1024" s="53"/>
      <c r="CN1024" s="53"/>
      <c r="CO1024" s="53"/>
      <c r="CP1024" s="53"/>
      <c r="CQ1024" s="53"/>
      <c r="CR1024" s="53"/>
      <c r="CS1024" s="53"/>
      <c r="CT1024" s="261"/>
      <c r="CU1024" s="261"/>
      <c r="CV1024" s="255"/>
      <c r="CW1024" s="255"/>
      <c r="CX1024" s="261"/>
      <c r="CY1024" s="255"/>
    </row>
    <row r="1025" spans="1:103" ht="10.25" customHeight="1">
      <c r="A1025" s="216"/>
      <c r="B1025" s="217"/>
      <c r="C1025" s="218"/>
      <c r="D1025" s="219"/>
      <c r="E1025" s="217"/>
      <c r="F1025" s="217"/>
      <c r="G1025" s="217"/>
      <c r="H1025" s="220"/>
      <c r="I1025" s="217"/>
      <c r="J1025" s="217"/>
      <c r="K1025" s="217"/>
      <c r="L1025" s="217"/>
      <c r="M1025" s="217"/>
      <c r="N1025" s="217"/>
      <c r="O1025" s="44"/>
      <c r="P1025" s="44"/>
      <c r="Q1025" s="44"/>
      <c r="R1025" s="44"/>
      <c r="S1025" s="44"/>
      <c r="T1025" s="44"/>
      <c r="U1025" s="44"/>
      <c r="V1025" s="44"/>
      <c r="W1025" s="44"/>
      <c r="X1025" s="44"/>
      <c r="Y1025" s="44"/>
      <c r="Z1025" s="44"/>
      <c r="AA1025" s="44"/>
      <c r="AB1025" s="44"/>
      <c r="AC1025" s="44"/>
      <c r="AD1025" s="44"/>
      <c r="AE1025" s="44"/>
      <c r="AF1025" s="44"/>
      <c r="AG1025" s="44"/>
      <c r="AH1025" s="44"/>
      <c r="AI1025" s="44"/>
      <c r="AJ1025" s="44"/>
      <c r="AK1025" s="44"/>
      <c r="AL1025" s="44"/>
      <c r="AM1025" s="44"/>
      <c r="AN1025" s="44"/>
      <c r="AO1025" s="44"/>
      <c r="AP1025" s="44"/>
      <c r="AQ1025" s="44"/>
      <c r="BA1025" s="5"/>
      <c r="BB1025" s="5"/>
      <c r="BC1025" s="5"/>
      <c r="BD1025" s="5"/>
      <c r="BE1025" s="63"/>
      <c r="BF1025" s="63"/>
      <c r="BG1025" s="63"/>
      <c r="CA1025" s="256"/>
      <c r="CB1025" s="261"/>
      <c r="CC1025" s="261"/>
      <c r="CD1025" s="261"/>
      <c r="CE1025" s="261"/>
      <c r="CF1025" s="261"/>
      <c r="CG1025" s="53"/>
      <c r="CH1025" s="53"/>
      <c r="CI1025" s="53"/>
      <c r="CJ1025" s="53"/>
      <c r="CK1025" s="53"/>
      <c r="CL1025" s="53"/>
      <c r="CN1025" s="53"/>
      <c r="CO1025" s="53"/>
      <c r="CP1025" s="53"/>
      <c r="CQ1025" s="53"/>
      <c r="CR1025" s="53"/>
      <c r="CS1025" s="53"/>
      <c r="CT1025" s="261"/>
      <c r="CU1025" s="261"/>
      <c r="CV1025" s="261"/>
      <c r="CW1025" s="261"/>
      <c r="CX1025" s="261"/>
      <c r="CY1025" s="255"/>
    </row>
    <row r="1026" spans="1:103" ht="10.25" customHeight="1">
      <c r="A1026" s="216"/>
      <c r="B1026" s="217"/>
      <c r="C1026" s="218"/>
      <c r="D1026" s="219"/>
      <c r="E1026" s="217"/>
      <c r="F1026" s="217"/>
      <c r="G1026" s="217"/>
      <c r="H1026" s="220"/>
      <c r="I1026" s="217"/>
      <c r="J1026" s="217"/>
      <c r="K1026" s="217"/>
      <c r="L1026" s="217"/>
      <c r="M1026" s="217"/>
      <c r="N1026" s="217"/>
      <c r="O1026" s="44"/>
      <c r="P1026" s="44"/>
      <c r="Q1026" s="44"/>
      <c r="R1026" s="44"/>
      <c r="S1026" s="44"/>
      <c r="T1026" s="44"/>
      <c r="U1026" s="44"/>
      <c r="V1026" s="44"/>
      <c r="W1026" s="44"/>
      <c r="X1026" s="44"/>
      <c r="Y1026" s="44"/>
      <c r="Z1026" s="44"/>
      <c r="AA1026" s="44"/>
      <c r="AB1026" s="44"/>
      <c r="AC1026" s="44"/>
      <c r="AD1026" s="44"/>
      <c r="AE1026" s="44"/>
      <c r="AF1026" s="44"/>
      <c r="AG1026" s="44"/>
      <c r="AH1026" s="44"/>
      <c r="AI1026" s="44"/>
      <c r="AJ1026" s="44"/>
      <c r="AK1026" s="44"/>
      <c r="AL1026" s="44"/>
      <c r="AM1026" s="44"/>
      <c r="AN1026" s="44"/>
      <c r="AO1026" s="44"/>
      <c r="AP1026" s="44"/>
      <c r="AQ1026" s="44"/>
      <c r="BA1026" s="5"/>
      <c r="BB1026" s="5"/>
      <c r="BC1026" s="5"/>
      <c r="BD1026" s="5"/>
      <c r="BE1026" s="63"/>
      <c r="BF1026" s="63"/>
      <c r="BG1026" s="63"/>
      <c r="CA1026" s="256"/>
      <c r="CB1026" s="261"/>
      <c r="CC1026" s="261"/>
      <c r="CD1026" s="261"/>
      <c r="CE1026" s="261"/>
      <c r="CF1026" s="261"/>
      <c r="CG1026" s="53"/>
      <c r="CH1026" s="53"/>
      <c r="CI1026" s="53"/>
      <c r="CJ1026" s="53"/>
      <c r="CK1026" s="53"/>
      <c r="CL1026" s="53"/>
      <c r="CN1026" s="53"/>
      <c r="CO1026" s="53"/>
      <c r="CP1026" s="53"/>
      <c r="CQ1026" s="53"/>
      <c r="CR1026" s="53"/>
      <c r="CS1026" s="53"/>
      <c r="CT1026" s="261"/>
      <c r="CU1026" s="261"/>
      <c r="CV1026" s="255"/>
      <c r="CW1026" s="255"/>
      <c r="CX1026" s="261"/>
      <c r="CY1026" s="255"/>
    </row>
    <row r="1027" spans="1:103" ht="10.25" customHeight="1">
      <c r="A1027" s="216"/>
      <c r="B1027" s="217"/>
      <c r="C1027" s="218"/>
      <c r="D1027" s="219"/>
      <c r="E1027" s="217"/>
      <c r="F1027" s="217"/>
      <c r="G1027" s="217"/>
      <c r="H1027" s="220"/>
      <c r="I1027" s="217"/>
      <c r="J1027" s="217"/>
      <c r="K1027" s="217"/>
      <c r="L1027" s="217"/>
      <c r="M1027" s="217"/>
      <c r="N1027" s="217"/>
      <c r="O1027" s="44"/>
      <c r="P1027" s="44"/>
      <c r="Q1027" s="44"/>
      <c r="R1027" s="44"/>
      <c r="S1027" s="44"/>
      <c r="T1027" s="44"/>
      <c r="U1027" s="44"/>
      <c r="V1027" s="44"/>
      <c r="W1027" s="44"/>
      <c r="X1027" s="44"/>
      <c r="Y1027" s="44"/>
      <c r="Z1027" s="44"/>
      <c r="AA1027" s="44"/>
      <c r="AB1027" s="44"/>
      <c r="AC1027" s="44"/>
      <c r="AD1027" s="44"/>
      <c r="AE1027" s="44"/>
      <c r="AF1027" s="44"/>
      <c r="AG1027" s="44"/>
      <c r="AH1027" s="44"/>
      <c r="AI1027" s="44"/>
      <c r="AJ1027" s="44"/>
      <c r="AK1027" s="44"/>
      <c r="AL1027" s="44"/>
      <c r="AM1027" s="44"/>
      <c r="AN1027" s="44"/>
      <c r="AO1027" s="44"/>
      <c r="AP1027" s="44"/>
      <c r="AQ1027" s="44"/>
      <c r="BA1027" s="5"/>
      <c r="BB1027" s="5"/>
      <c r="BC1027" s="5"/>
      <c r="BD1027" s="5"/>
      <c r="BE1027" s="63"/>
      <c r="BF1027" s="63"/>
      <c r="BG1027" s="63"/>
      <c r="CA1027" s="256"/>
      <c r="CB1027" s="261"/>
      <c r="CC1027" s="261"/>
      <c r="CD1027" s="261"/>
      <c r="CE1027" s="261"/>
      <c r="CF1027" s="261"/>
      <c r="CG1027" s="53"/>
      <c r="CH1027" s="53"/>
      <c r="CI1027" s="53"/>
      <c r="CJ1027" s="53"/>
      <c r="CK1027" s="53"/>
      <c r="CL1027" s="53"/>
      <c r="CN1027" s="53"/>
      <c r="CO1027" s="53"/>
      <c r="CP1027" s="53"/>
      <c r="CQ1027" s="53"/>
      <c r="CR1027" s="53"/>
      <c r="CS1027" s="53"/>
      <c r="CT1027" s="261"/>
      <c r="CU1027" s="261"/>
      <c r="CV1027" s="261"/>
      <c r="CW1027" s="261"/>
      <c r="CX1027" s="255"/>
      <c r="CY1027" s="255"/>
    </row>
    <row r="1028" spans="1:103" ht="10.25" customHeight="1">
      <c r="A1028" s="216"/>
      <c r="B1028" s="217"/>
      <c r="C1028" s="218"/>
      <c r="D1028" s="219"/>
      <c r="E1028" s="217"/>
      <c r="F1028" s="217"/>
      <c r="G1028" s="217"/>
      <c r="H1028" s="220"/>
      <c r="I1028" s="217"/>
      <c r="J1028" s="217"/>
      <c r="K1028" s="217"/>
      <c r="L1028" s="217"/>
      <c r="M1028" s="217"/>
      <c r="N1028" s="217"/>
      <c r="O1028" s="44"/>
      <c r="P1028" s="44"/>
      <c r="Q1028" s="44"/>
      <c r="R1028" s="44"/>
      <c r="S1028" s="44"/>
      <c r="T1028" s="44"/>
      <c r="U1028" s="44"/>
      <c r="V1028" s="44"/>
      <c r="W1028" s="44"/>
      <c r="X1028" s="44"/>
      <c r="Y1028" s="44"/>
      <c r="Z1028" s="44"/>
      <c r="AA1028" s="44"/>
      <c r="AB1028" s="44"/>
      <c r="AC1028" s="44"/>
      <c r="AD1028" s="44"/>
      <c r="AE1028" s="44"/>
      <c r="AF1028" s="44"/>
      <c r="AG1028" s="44"/>
      <c r="AH1028" s="44"/>
      <c r="AI1028" s="44"/>
      <c r="AJ1028" s="44"/>
      <c r="AK1028" s="44"/>
      <c r="AL1028" s="44"/>
      <c r="AM1028" s="44"/>
      <c r="AN1028" s="44"/>
      <c r="AO1028" s="44"/>
      <c r="AP1028" s="44"/>
      <c r="AQ1028" s="44"/>
      <c r="BA1028" s="5"/>
      <c r="BB1028" s="5"/>
      <c r="BC1028" s="5"/>
      <c r="BD1028" s="5"/>
      <c r="BE1028" s="63"/>
      <c r="BF1028" s="63"/>
      <c r="BG1028" s="63"/>
      <c r="CA1028" s="256"/>
      <c r="CB1028" s="261"/>
      <c r="CC1028" s="261"/>
      <c r="CD1028" s="261"/>
      <c r="CE1028" s="261"/>
      <c r="CF1028" s="261"/>
      <c r="CG1028" s="53"/>
      <c r="CH1028" s="53"/>
      <c r="CI1028" s="53"/>
      <c r="CJ1028" s="53"/>
      <c r="CK1028" s="53"/>
      <c r="CL1028" s="53"/>
      <c r="CN1028" s="53"/>
      <c r="CO1028" s="53"/>
      <c r="CP1028" s="53"/>
      <c r="CQ1028" s="53"/>
      <c r="CR1028" s="53"/>
      <c r="CS1028" s="53"/>
      <c r="CT1028" s="261"/>
      <c r="CU1028" s="261"/>
      <c r="CV1028" s="255"/>
      <c r="CW1028" s="255"/>
      <c r="CX1028" s="261"/>
      <c r="CY1028" s="255"/>
    </row>
    <row r="1029" spans="1:103" ht="10.25" customHeight="1">
      <c r="A1029" s="216"/>
      <c r="B1029" s="217"/>
      <c r="C1029" s="218"/>
      <c r="D1029" s="219"/>
      <c r="E1029" s="217"/>
      <c r="F1029" s="217"/>
      <c r="G1029" s="217"/>
      <c r="H1029" s="220"/>
      <c r="I1029" s="217"/>
      <c r="J1029" s="217"/>
      <c r="K1029" s="217"/>
      <c r="L1029" s="217"/>
      <c r="M1029" s="217"/>
      <c r="N1029" s="217"/>
      <c r="O1029" s="44"/>
      <c r="P1029" s="44"/>
      <c r="Q1029" s="44"/>
      <c r="R1029" s="44"/>
      <c r="S1029" s="44"/>
      <c r="T1029" s="44"/>
      <c r="U1029" s="44"/>
      <c r="V1029" s="44"/>
      <c r="W1029" s="44"/>
      <c r="X1029" s="44"/>
      <c r="Y1029" s="44"/>
      <c r="Z1029" s="44"/>
      <c r="AA1029" s="44"/>
      <c r="AB1029" s="44"/>
      <c r="AC1029" s="44"/>
      <c r="AD1029" s="44"/>
      <c r="AE1029" s="44"/>
      <c r="AF1029" s="44"/>
      <c r="AG1029" s="44"/>
      <c r="AH1029" s="44"/>
      <c r="AI1029" s="44"/>
      <c r="AJ1029" s="44"/>
      <c r="AK1029" s="44"/>
      <c r="AL1029" s="44"/>
      <c r="AM1029" s="44"/>
      <c r="AN1029" s="44"/>
      <c r="AO1029" s="44"/>
      <c r="AP1029" s="44"/>
      <c r="AQ1029" s="44"/>
      <c r="BA1029" s="5"/>
      <c r="BB1029" s="5"/>
      <c r="BC1029" s="5"/>
      <c r="BD1029" s="5"/>
      <c r="BE1029" s="63"/>
      <c r="BF1029" s="63"/>
      <c r="BG1029" s="63"/>
      <c r="CA1029" s="256"/>
      <c r="CB1029" s="261"/>
      <c r="CC1029" s="261"/>
      <c r="CD1029" s="261"/>
      <c r="CE1029" s="261"/>
      <c r="CF1029" s="261"/>
      <c r="CG1029" s="53"/>
      <c r="CH1029" s="53"/>
      <c r="CI1029" s="53"/>
      <c r="CJ1029" s="53"/>
      <c r="CK1029" s="53"/>
      <c r="CL1029" s="53"/>
      <c r="CN1029" s="53"/>
      <c r="CO1029" s="53"/>
      <c r="CP1029" s="53"/>
      <c r="CQ1029" s="53"/>
      <c r="CR1029" s="53"/>
      <c r="CS1029" s="53"/>
      <c r="CT1029" s="261"/>
      <c r="CU1029" s="261"/>
      <c r="CV1029" s="261"/>
      <c r="CW1029" s="261"/>
      <c r="CX1029" s="261"/>
      <c r="CY1029" s="255"/>
    </row>
    <row r="1030" spans="1:103" ht="10.25" customHeight="1">
      <c r="A1030" s="216"/>
      <c r="B1030" s="217"/>
      <c r="C1030" s="218"/>
      <c r="D1030" s="219"/>
      <c r="E1030" s="217"/>
      <c r="F1030" s="217"/>
      <c r="G1030" s="217"/>
      <c r="H1030" s="220"/>
      <c r="I1030" s="217"/>
      <c r="J1030" s="217"/>
      <c r="K1030" s="217"/>
      <c r="L1030" s="217"/>
      <c r="M1030" s="217"/>
      <c r="N1030" s="217"/>
      <c r="O1030" s="44"/>
      <c r="P1030" s="44"/>
      <c r="Q1030" s="44"/>
      <c r="R1030" s="44"/>
      <c r="S1030" s="44"/>
      <c r="T1030" s="44"/>
      <c r="U1030" s="44"/>
      <c r="V1030" s="44"/>
      <c r="W1030" s="44"/>
      <c r="X1030" s="44"/>
      <c r="Y1030" s="44"/>
      <c r="Z1030" s="44"/>
      <c r="AA1030" s="44"/>
      <c r="AB1030" s="44"/>
      <c r="AC1030" s="44"/>
      <c r="AD1030" s="44"/>
      <c r="AE1030" s="44"/>
      <c r="AF1030" s="44"/>
      <c r="AG1030" s="44"/>
      <c r="AH1030" s="44"/>
      <c r="AI1030" s="44"/>
      <c r="AJ1030" s="44"/>
      <c r="AK1030" s="44"/>
      <c r="AL1030" s="44"/>
      <c r="AM1030" s="44"/>
      <c r="AN1030" s="44"/>
      <c r="AO1030" s="44"/>
      <c r="AP1030" s="44"/>
      <c r="AQ1030" s="44"/>
      <c r="BA1030" s="5"/>
      <c r="BB1030" s="5"/>
      <c r="BC1030" s="5"/>
      <c r="BD1030" s="5"/>
      <c r="BE1030" s="63"/>
      <c r="BF1030" s="63"/>
      <c r="BG1030" s="63"/>
      <c r="CA1030" s="256"/>
      <c r="CB1030" s="261"/>
      <c r="CC1030" s="261"/>
      <c r="CD1030" s="261"/>
      <c r="CE1030" s="261"/>
      <c r="CF1030" s="261"/>
      <c r="CG1030" s="53"/>
      <c r="CH1030" s="53"/>
      <c r="CI1030" s="53"/>
      <c r="CJ1030" s="53"/>
      <c r="CK1030" s="53"/>
      <c r="CL1030" s="53"/>
      <c r="CN1030" s="53"/>
      <c r="CO1030" s="53"/>
      <c r="CP1030" s="53"/>
      <c r="CQ1030" s="53"/>
      <c r="CR1030" s="53"/>
      <c r="CS1030" s="53"/>
      <c r="CT1030" s="261"/>
      <c r="CU1030" s="261"/>
      <c r="CV1030" s="261"/>
      <c r="CW1030" s="255"/>
      <c r="CX1030" s="261"/>
      <c r="CY1030" s="255"/>
    </row>
    <row r="1031" spans="1:103" ht="10.25" customHeight="1">
      <c r="A1031" s="216"/>
      <c r="B1031" s="217"/>
      <c r="C1031" s="218"/>
      <c r="D1031" s="219"/>
      <c r="E1031" s="217"/>
      <c r="F1031" s="217"/>
      <c r="G1031" s="217"/>
      <c r="H1031" s="220"/>
      <c r="I1031" s="217"/>
      <c r="J1031" s="217"/>
      <c r="K1031" s="217"/>
      <c r="L1031" s="217"/>
      <c r="M1031" s="217"/>
      <c r="N1031" s="217"/>
      <c r="O1031" s="44"/>
      <c r="P1031" s="44"/>
      <c r="Q1031" s="44"/>
      <c r="R1031" s="44"/>
      <c r="S1031" s="44"/>
      <c r="T1031" s="44"/>
      <c r="U1031" s="44"/>
      <c r="V1031" s="44"/>
      <c r="W1031" s="44"/>
      <c r="X1031" s="44"/>
      <c r="Y1031" s="44"/>
      <c r="Z1031" s="44"/>
      <c r="AA1031" s="44"/>
      <c r="AB1031" s="44"/>
      <c r="AC1031" s="44"/>
      <c r="AD1031" s="44"/>
      <c r="AE1031" s="44"/>
      <c r="AF1031" s="44"/>
      <c r="AG1031" s="44"/>
      <c r="AH1031" s="44"/>
      <c r="AI1031" s="44"/>
      <c r="AJ1031" s="44"/>
      <c r="AK1031" s="44"/>
      <c r="AL1031" s="44"/>
      <c r="AM1031" s="44"/>
      <c r="AN1031" s="44"/>
      <c r="AO1031" s="44"/>
      <c r="AP1031" s="44"/>
      <c r="AQ1031" s="44"/>
      <c r="BA1031" s="5"/>
      <c r="BB1031" s="5"/>
      <c r="BC1031" s="5"/>
      <c r="BD1031" s="5"/>
      <c r="BE1031" s="63"/>
      <c r="BF1031" s="63"/>
      <c r="BG1031" s="63"/>
      <c r="CA1031" s="256"/>
      <c r="CB1031" s="261"/>
      <c r="CC1031" s="261"/>
      <c r="CD1031" s="261"/>
      <c r="CE1031" s="261"/>
      <c r="CF1031" s="261"/>
      <c r="CG1031" s="53"/>
      <c r="CH1031" s="53"/>
      <c r="CI1031" s="53"/>
      <c r="CJ1031" s="53"/>
      <c r="CK1031" s="53"/>
      <c r="CL1031" s="53"/>
      <c r="CN1031" s="53"/>
      <c r="CO1031" s="53"/>
      <c r="CP1031" s="53"/>
      <c r="CQ1031" s="53"/>
      <c r="CR1031" s="53"/>
      <c r="CS1031" s="53"/>
      <c r="CT1031" s="261"/>
      <c r="CU1031" s="261"/>
      <c r="CV1031" s="261"/>
      <c r="CW1031" s="261"/>
      <c r="CX1031" s="261"/>
      <c r="CY1031" s="255"/>
    </row>
    <row r="1032" spans="1:103" ht="10.25" customHeight="1">
      <c r="A1032" s="216"/>
      <c r="B1032" s="217"/>
      <c r="C1032" s="218"/>
      <c r="D1032" s="219"/>
      <c r="E1032" s="217"/>
      <c r="F1032" s="217"/>
      <c r="G1032" s="217"/>
      <c r="H1032" s="220"/>
      <c r="I1032" s="217"/>
      <c r="J1032" s="217"/>
      <c r="K1032" s="217"/>
      <c r="L1032" s="217"/>
      <c r="M1032" s="217"/>
      <c r="N1032" s="217"/>
      <c r="O1032" s="44"/>
      <c r="P1032" s="44"/>
      <c r="Q1032" s="44"/>
      <c r="R1032" s="44"/>
      <c r="S1032" s="44"/>
      <c r="T1032" s="44"/>
      <c r="U1032" s="44"/>
      <c r="V1032" s="44"/>
      <c r="W1032" s="44"/>
      <c r="X1032" s="44"/>
      <c r="Y1032" s="44"/>
      <c r="Z1032" s="44"/>
      <c r="AA1032" s="44"/>
      <c r="AB1032" s="44"/>
      <c r="AC1032" s="44"/>
      <c r="AD1032" s="44"/>
      <c r="AE1032" s="44"/>
      <c r="AF1032" s="44"/>
      <c r="AG1032" s="44"/>
      <c r="AH1032" s="44"/>
      <c r="AI1032" s="44"/>
      <c r="AJ1032" s="44"/>
      <c r="AK1032" s="44"/>
      <c r="AL1032" s="44"/>
      <c r="AM1032" s="44"/>
      <c r="AN1032" s="44"/>
      <c r="AO1032" s="44"/>
      <c r="AP1032" s="44"/>
      <c r="AQ1032" s="44"/>
      <c r="BA1032" s="5"/>
      <c r="BB1032" s="5"/>
      <c r="BC1032" s="5"/>
      <c r="BD1032" s="5"/>
      <c r="BE1032" s="63"/>
      <c r="BF1032" s="63"/>
      <c r="BG1032" s="63"/>
      <c r="CA1032" s="256"/>
      <c r="CB1032" s="261"/>
      <c r="CC1032" s="261"/>
      <c r="CD1032" s="261"/>
      <c r="CE1032" s="261"/>
      <c r="CF1032" s="261"/>
      <c r="CG1032" s="53"/>
      <c r="CH1032" s="53"/>
      <c r="CI1032" s="53"/>
      <c r="CJ1032" s="53"/>
      <c r="CK1032" s="53"/>
      <c r="CL1032" s="53"/>
      <c r="CN1032" s="53"/>
      <c r="CO1032" s="53"/>
      <c r="CP1032" s="53"/>
      <c r="CQ1032" s="53"/>
      <c r="CR1032" s="53"/>
      <c r="CS1032" s="53"/>
      <c r="CT1032" s="261"/>
      <c r="CU1032" s="261"/>
      <c r="CV1032" s="255"/>
      <c r="CW1032" s="255"/>
      <c r="CX1032" s="261"/>
      <c r="CY1032" s="255"/>
    </row>
    <row r="1033" spans="1:103" ht="10.25" customHeight="1">
      <c r="A1033" s="216"/>
      <c r="B1033" s="217"/>
      <c r="C1033" s="218"/>
      <c r="D1033" s="219"/>
      <c r="E1033" s="217"/>
      <c r="F1033" s="217"/>
      <c r="G1033" s="217"/>
      <c r="H1033" s="220"/>
      <c r="I1033" s="217"/>
      <c r="J1033" s="217"/>
      <c r="K1033" s="217"/>
      <c r="L1033" s="217"/>
      <c r="M1033" s="217"/>
      <c r="N1033" s="217"/>
      <c r="O1033" s="44"/>
      <c r="P1033" s="44"/>
      <c r="Q1033" s="44"/>
      <c r="R1033" s="44"/>
      <c r="S1033" s="44"/>
      <c r="T1033" s="44"/>
      <c r="U1033" s="44"/>
      <c r="V1033" s="44"/>
      <c r="W1033" s="44"/>
      <c r="X1033" s="44"/>
      <c r="Y1033" s="44"/>
      <c r="Z1033" s="44"/>
      <c r="AA1033" s="44"/>
      <c r="AB1033" s="44"/>
      <c r="AC1033" s="44"/>
      <c r="AD1033" s="44"/>
      <c r="AE1033" s="44"/>
      <c r="AF1033" s="44"/>
      <c r="AG1033" s="44"/>
      <c r="AH1033" s="44"/>
      <c r="AI1033" s="44"/>
      <c r="AJ1033" s="44"/>
      <c r="AK1033" s="44"/>
      <c r="AL1033" s="44"/>
      <c r="AM1033" s="44"/>
      <c r="AN1033" s="44"/>
      <c r="AO1033" s="44"/>
      <c r="AP1033" s="44"/>
      <c r="AQ1033" s="44"/>
      <c r="BA1033" s="5"/>
      <c r="BB1033" s="5"/>
      <c r="BC1033" s="5"/>
      <c r="BD1033" s="5"/>
      <c r="BE1033" s="63"/>
      <c r="BF1033" s="63"/>
      <c r="BG1033" s="63"/>
      <c r="CA1033" s="256"/>
      <c r="CB1033" s="261"/>
      <c r="CC1033" s="261"/>
      <c r="CD1033" s="261"/>
      <c r="CE1033" s="261"/>
      <c r="CF1033" s="261"/>
      <c r="CG1033" s="53"/>
      <c r="CH1033" s="53"/>
      <c r="CI1033" s="53"/>
      <c r="CJ1033" s="53"/>
      <c r="CK1033" s="53"/>
      <c r="CL1033" s="53"/>
      <c r="CN1033" s="53"/>
      <c r="CO1033" s="53"/>
      <c r="CP1033" s="53"/>
      <c r="CQ1033" s="53"/>
      <c r="CR1033" s="53"/>
      <c r="CS1033" s="53"/>
      <c r="CT1033" s="261"/>
      <c r="CU1033" s="261"/>
      <c r="CV1033" s="261"/>
      <c r="CW1033" s="261"/>
      <c r="CX1033" s="261"/>
      <c r="CY1033" s="255"/>
    </row>
    <row r="1034" spans="1:103" ht="10.25" customHeight="1">
      <c r="A1034" s="216"/>
      <c r="B1034" s="217"/>
      <c r="C1034" s="218"/>
      <c r="D1034" s="219"/>
      <c r="E1034" s="217"/>
      <c r="F1034" s="217"/>
      <c r="G1034" s="217"/>
      <c r="H1034" s="220"/>
      <c r="I1034" s="217"/>
      <c r="J1034" s="217"/>
      <c r="K1034" s="217"/>
      <c r="L1034" s="217"/>
      <c r="M1034" s="217"/>
      <c r="N1034" s="217"/>
      <c r="O1034" s="44"/>
      <c r="P1034" s="44"/>
      <c r="Q1034" s="44"/>
      <c r="R1034" s="44"/>
      <c r="S1034" s="44"/>
      <c r="T1034" s="44"/>
      <c r="U1034" s="44"/>
      <c r="V1034" s="44"/>
      <c r="W1034" s="44"/>
      <c r="X1034" s="44"/>
      <c r="Y1034" s="44"/>
      <c r="Z1034" s="44"/>
      <c r="AA1034" s="44"/>
      <c r="AB1034" s="44"/>
      <c r="AC1034" s="44"/>
      <c r="AD1034" s="44"/>
      <c r="AE1034" s="44"/>
      <c r="AF1034" s="44"/>
      <c r="AG1034" s="44"/>
      <c r="AH1034" s="44"/>
      <c r="AI1034" s="44"/>
      <c r="AJ1034" s="44"/>
      <c r="AK1034" s="44"/>
      <c r="AL1034" s="44"/>
      <c r="AM1034" s="44"/>
      <c r="AN1034" s="44"/>
      <c r="AO1034" s="44"/>
      <c r="AP1034" s="44"/>
      <c r="AQ1034" s="44"/>
      <c r="BA1034" s="5"/>
      <c r="BB1034" s="5"/>
      <c r="BC1034" s="5"/>
      <c r="BD1034" s="5"/>
      <c r="BE1034" s="63"/>
      <c r="BF1034" s="63"/>
      <c r="BG1034" s="63"/>
      <c r="CA1034" s="256"/>
      <c r="CB1034" s="261"/>
      <c r="CC1034" s="261"/>
      <c r="CD1034" s="261"/>
      <c r="CE1034" s="261"/>
      <c r="CF1034" s="261"/>
      <c r="CG1034" s="53"/>
      <c r="CH1034" s="53"/>
      <c r="CI1034" s="53"/>
      <c r="CJ1034" s="53"/>
      <c r="CK1034" s="53"/>
      <c r="CL1034" s="53"/>
      <c r="CN1034" s="53"/>
      <c r="CO1034" s="53"/>
      <c r="CP1034" s="53"/>
      <c r="CQ1034" s="53"/>
      <c r="CR1034" s="53"/>
      <c r="CS1034" s="53"/>
      <c r="CT1034" s="261"/>
      <c r="CU1034" s="261"/>
      <c r="CV1034" s="255"/>
      <c r="CW1034" s="255"/>
      <c r="CX1034" s="255"/>
      <c r="CY1034" s="255"/>
    </row>
    <row r="1035" spans="1:103" ht="10.25" customHeight="1">
      <c r="A1035" s="216"/>
      <c r="B1035" s="217"/>
      <c r="C1035" s="218"/>
      <c r="D1035" s="219"/>
      <c r="E1035" s="217"/>
      <c r="F1035" s="217"/>
      <c r="G1035" s="217"/>
      <c r="H1035" s="220"/>
      <c r="I1035" s="217"/>
      <c r="J1035" s="217"/>
      <c r="K1035" s="217"/>
      <c r="L1035" s="217"/>
      <c r="M1035" s="217"/>
      <c r="N1035" s="217"/>
      <c r="O1035" s="44"/>
      <c r="P1035" s="44"/>
      <c r="Q1035" s="44"/>
      <c r="R1035" s="44"/>
      <c r="S1035" s="44"/>
      <c r="T1035" s="44"/>
      <c r="U1035" s="44"/>
      <c r="V1035" s="44"/>
      <c r="W1035" s="44"/>
      <c r="X1035" s="44"/>
      <c r="Y1035" s="44"/>
      <c r="Z1035" s="44"/>
      <c r="AA1035" s="44"/>
      <c r="AB1035" s="44"/>
      <c r="AC1035" s="44"/>
      <c r="AD1035" s="44"/>
      <c r="AE1035" s="44"/>
      <c r="AF1035" s="44"/>
      <c r="AG1035" s="44"/>
      <c r="AH1035" s="44"/>
      <c r="AI1035" s="44"/>
      <c r="AJ1035" s="44"/>
      <c r="AK1035" s="44"/>
      <c r="AL1035" s="44"/>
      <c r="AM1035" s="44"/>
      <c r="AN1035" s="44"/>
      <c r="AO1035" s="44"/>
      <c r="AP1035" s="44"/>
      <c r="AQ1035" s="44"/>
      <c r="BA1035" s="5"/>
      <c r="BB1035" s="5"/>
      <c r="BC1035" s="5"/>
      <c r="BD1035" s="5"/>
      <c r="BE1035" s="63"/>
      <c r="BF1035" s="63"/>
      <c r="BG1035" s="63"/>
      <c r="CA1035" s="256"/>
      <c r="CB1035" s="261"/>
      <c r="CC1035" s="261"/>
      <c r="CD1035" s="261"/>
      <c r="CE1035" s="261"/>
      <c r="CF1035" s="261"/>
      <c r="CG1035" s="53"/>
      <c r="CH1035" s="53"/>
      <c r="CI1035" s="53"/>
      <c r="CJ1035" s="53"/>
      <c r="CK1035" s="53"/>
      <c r="CL1035" s="53"/>
      <c r="CN1035" s="53"/>
      <c r="CO1035" s="53"/>
      <c r="CP1035" s="53"/>
      <c r="CQ1035" s="53"/>
      <c r="CR1035" s="53"/>
      <c r="CS1035" s="53"/>
      <c r="CT1035" s="261"/>
      <c r="CU1035" s="261"/>
      <c r="CV1035" s="261"/>
      <c r="CW1035" s="255"/>
      <c r="CX1035" s="261"/>
      <c r="CY1035" s="255"/>
    </row>
    <row r="1036" spans="1:103" ht="10.25" customHeight="1">
      <c r="A1036" s="216"/>
      <c r="B1036" s="217"/>
      <c r="C1036" s="218"/>
      <c r="D1036" s="219"/>
      <c r="E1036" s="217"/>
      <c r="F1036" s="217"/>
      <c r="G1036" s="217"/>
      <c r="H1036" s="220"/>
      <c r="I1036" s="217"/>
      <c r="J1036" s="217"/>
      <c r="K1036" s="217"/>
      <c r="L1036" s="217"/>
      <c r="M1036" s="217"/>
      <c r="N1036" s="217"/>
      <c r="O1036" s="44"/>
      <c r="P1036" s="44"/>
      <c r="Q1036" s="44"/>
      <c r="R1036" s="44"/>
      <c r="S1036" s="44"/>
      <c r="T1036" s="44"/>
      <c r="U1036" s="44"/>
      <c r="V1036" s="44"/>
      <c r="W1036" s="44"/>
      <c r="X1036" s="44"/>
      <c r="Y1036" s="44"/>
      <c r="Z1036" s="44"/>
      <c r="AA1036" s="44"/>
      <c r="AB1036" s="44"/>
      <c r="AC1036" s="44"/>
      <c r="AD1036" s="44"/>
      <c r="AE1036" s="44"/>
      <c r="AF1036" s="44"/>
      <c r="AG1036" s="44"/>
      <c r="AH1036" s="44"/>
      <c r="AI1036" s="44"/>
      <c r="AJ1036" s="44"/>
      <c r="AK1036" s="44"/>
      <c r="AL1036" s="44"/>
      <c r="AM1036" s="44"/>
      <c r="AN1036" s="44"/>
      <c r="AO1036" s="44"/>
      <c r="AP1036" s="44"/>
      <c r="AQ1036" s="44"/>
      <c r="BA1036" s="5"/>
      <c r="BB1036" s="5"/>
      <c r="BC1036" s="5"/>
      <c r="BD1036" s="5"/>
      <c r="BE1036" s="63"/>
      <c r="BF1036" s="63"/>
      <c r="BG1036" s="63"/>
      <c r="CA1036" s="256"/>
      <c r="CB1036" s="261"/>
      <c r="CC1036" s="261"/>
      <c r="CD1036" s="261"/>
      <c r="CE1036" s="261"/>
      <c r="CF1036" s="261"/>
      <c r="CG1036" s="53"/>
      <c r="CH1036" s="53"/>
      <c r="CI1036" s="53"/>
      <c r="CJ1036" s="53"/>
      <c r="CK1036" s="53"/>
      <c r="CL1036" s="53"/>
      <c r="CN1036" s="53"/>
      <c r="CO1036" s="53"/>
      <c r="CP1036" s="53"/>
      <c r="CQ1036" s="53"/>
      <c r="CR1036" s="53"/>
      <c r="CS1036" s="53"/>
      <c r="CT1036" s="261"/>
      <c r="CU1036" s="261"/>
      <c r="CV1036" s="255"/>
      <c r="CW1036" s="255"/>
      <c r="CX1036" s="261"/>
      <c r="CY1036" s="255"/>
    </row>
    <row r="1037" spans="1:103" ht="10.25" customHeight="1">
      <c r="A1037" s="216"/>
      <c r="B1037" s="217"/>
      <c r="C1037" s="218"/>
      <c r="D1037" s="219"/>
      <c r="E1037" s="217"/>
      <c r="F1037" s="217"/>
      <c r="G1037" s="217"/>
      <c r="H1037" s="220"/>
      <c r="I1037" s="217"/>
      <c r="J1037" s="217"/>
      <c r="K1037" s="217"/>
      <c r="L1037" s="217"/>
      <c r="M1037" s="217"/>
      <c r="N1037" s="217"/>
      <c r="O1037" s="44"/>
      <c r="P1037" s="44"/>
      <c r="Q1037" s="44"/>
      <c r="R1037" s="44"/>
      <c r="S1037" s="44"/>
      <c r="T1037" s="44"/>
      <c r="U1037" s="44"/>
      <c r="V1037" s="44"/>
      <c r="W1037" s="44"/>
      <c r="X1037" s="44"/>
      <c r="Y1037" s="44"/>
      <c r="Z1037" s="44"/>
      <c r="AA1037" s="44"/>
      <c r="AB1037" s="44"/>
      <c r="AC1037" s="44"/>
      <c r="AD1037" s="44"/>
      <c r="AE1037" s="44"/>
      <c r="AF1037" s="44"/>
      <c r="AG1037" s="44"/>
      <c r="AH1037" s="44"/>
      <c r="AI1037" s="44"/>
      <c r="AJ1037" s="44"/>
      <c r="AK1037" s="44"/>
      <c r="AL1037" s="44"/>
      <c r="AM1037" s="44"/>
      <c r="AN1037" s="44"/>
      <c r="AO1037" s="44"/>
      <c r="AP1037" s="44"/>
      <c r="AQ1037" s="44"/>
      <c r="BA1037" s="5"/>
      <c r="BB1037" s="5"/>
      <c r="BC1037" s="5"/>
      <c r="BD1037" s="5"/>
      <c r="BE1037" s="63"/>
      <c r="BF1037" s="63"/>
      <c r="BG1037" s="63"/>
      <c r="CA1037" s="256"/>
      <c r="CB1037" s="261"/>
      <c r="CC1037" s="261"/>
      <c r="CD1037" s="261"/>
      <c r="CE1037" s="261"/>
      <c r="CF1037" s="261"/>
      <c r="CG1037" s="53"/>
      <c r="CH1037" s="53"/>
      <c r="CI1037" s="53"/>
      <c r="CJ1037" s="53"/>
      <c r="CK1037" s="53"/>
      <c r="CL1037" s="53"/>
      <c r="CN1037" s="53"/>
      <c r="CO1037" s="53"/>
      <c r="CP1037" s="53"/>
      <c r="CQ1037" s="53"/>
      <c r="CR1037" s="53"/>
      <c r="CS1037" s="53"/>
      <c r="CT1037" s="261"/>
      <c r="CU1037" s="261"/>
      <c r="CV1037" s="261"/>
      <c r="CW1037" s="261"/>
      <c r="CX1037" s="261"/>
      <c r="CY1037" s="255"/>
    </row>
    <row r="1038" spans="1:103" ht="10.25" customHeight="1">
      <c r="A1038" s="216"/>
      <c r="B1038" s="217"/>
      <c r="C1038" s="218"/>
      <c r="D1038" s="219"/>
      <c r="E1038" s="217"/>
      <c r="F1038" s="217"/>
      <c r="G1038" s="217"/>
      <c r="H1038" s="220"/>
      <c r="I1038" s="217"/>
      <c r="J1038" s="217"/>
      <c r="K1038" s="217"/>
      <c r="L1038" s="217"/>
      <c r="M1038" s="217"/>
      <c r="N1038" s="217"/>
      <c r="O1038" s="44"/>
      <c r="P1038" s="44"/>
      <c r="Q1038" s="44"/>
      <c r="R1038" s="44"/>
      <c r="S1038" s="44"/>
      <c r="T1038" s="44"/>
      <c r="U1038" s="44"/>
      <c r="V1038" s="44"/>
      <c r="W1038" s="44"/>
      <c r="X1038" s="44"/>
      <c r="Y1038" s="44"/>
      <c r="Z1038" s="44"/>
      <c r="AA1038" s="44"/>
      <c r="AB1038" s="44"/>
      <c r="AC1038" s="44"/>
      <c r="AD1038" s="44"/>
      <c r="AE1038" s="44"/>
      <c r="AF1038" s="44"/>
      <c r="AG1038" s="44"/>
      <c r="AH1038" s="44"/>
      <c r="AI1038" s="44"/>
      <c r="AJ1038" s="44"/>
      <c r="AK1038" s="44"/>
      <c r="AL1038" s="44"/>
      <c r="AM1038" s="44"/>
      <c r="AN1038" s="44"/>
      <c r="AO1038" s="44"/>
      <c r="AP1038" s="44"/>
      <c r="AQ1038" s="44"/>
      <c r="BA1038" s="5"/>
      <c r="BB1038" s="5"/>
      <c r="BC1038" s="5"/>
      <c r="BD1038" s="5"/>
      <c r="BE1038" s="63"/>
      <c r="BF1038" s="63"/>
      <c r="BG1038" s="63"/>
      <c r="CA1038" s="256"/>
      <c r="CB1038" s="261"/>
      <c r="CC1038" s="261"/>
      <c r="CD1038" s="261"/>
      <c r="CE1038" s="261"/>
      <c r="CF1038" s="261"/>
      <c r="CG1038" s="53"/>
      <c r="CH1038" s="53"/>
      <c r="CI1038" s="53"/>
      <c r="CJ1038" s="53"/>
      <c r="CK1038" s="53"/>
      <c r="CL1038" s="53"/>
      <c r="CN1038" s="53"/>
      <c r="CO1038" s="53"/>
      <c r="CP1038" s="53"/>
      <c r="CQ1038" s="53"/>
      <c r="CR1038" s="53"/>
      <c r="CS1038" s="53"/>
      <c r="CT1038" s="261"/>
      <c r="CU1038" s="261"/>
      <c r="CV1038" s="255"/>
      <c r="CW1038" s="255"/>
      <c r="CX1038" s="261"/>
      <c r="CY1038" s="255"/>
    </row>
    <row r="1039" spans="1:103" ht="10.25" customHeight="1">
      <c r="A1039" s="216"/>
      <c r="B1039" s="217"/>
      <c r="C1039" s="218"/>
      <c r="D1039" s="219"/>
      <c r="E1039" s="217"/>
      <c r="F1039" s="217"/>
      <c r="G1039" s="217"/>
      <c r="H1039" s="220"/>
      <c r="I1039" s="217"/>
      <c r="J1039" s="217"/>
      <c r="K1039" s="217"/>
      <c r="L1039" s="217"/>
      <c r="M1039" s="217"/>
      <c r="N1039" s="217"/>
      <c r="O1039" s="44"/>
      <c r="P1039" s="44"/>
      <c r="Q1039" s="44"/>
      <c r="R1039" s="44"/>
      <c r="S1039" s="44"/>
      <c r="T1039" s="44"/>
      <c r="U1039" s="44"/>
      <c r="V1039" s="44"/>
      <c r="W1039" s="44"/>
      <c r="X1039" s="44"/>
      <c r="Y1039" s="44"/>
      <c r="Z1039" s="44"/>
      <c r="AA1039" s="44"/>
      <c r="AB1039" s="44"/>
      <c r="AC1039" s="44"/>
      <c r="AD1039" s="44"/>
      <c r="AE1039" s="44"/>
      <c r="AF1039" s="44"/>
      <c r="AG1039" s="44"/>
      <c r="AH1039" s="44"/>
      <c r="AI1039" s="44"/>
      <c r="AJ1039" s="44"/>
      <c r="AK1039" s="44"/>
      <c r="AL1039" s="44"/>
      <c r="AM1039" s="44"/>
      <c r="AN1039" s="44"/>
      <c r="AO1039" s="44"/>
      <c r="AP1039" s="44"/>
      <c r="AQ1039" s="44"/>
      <c r="BA1039" s="5"/>
      <c r="BB1039" s="5"/>
      <c r="BC1039" s="5"/>
      <c r="BD1039" s="5"/>
      <c r="BE1039" s="63"/>
      <c r="BF1039" s="63"/>
      <c r="BG1039" s="63"/>
      <c r="CA1039" s="256"/>
      <c r="CB1039" s="261"/>
      <c r="CC1039" s="261"/>
      <c r="CD1039" s="261"/>
      <c r="CE1039" s="261"/>
      <c r="CF1039" s="255"/>
      <c r="CG1039" s="53"/>
      <c r="CH1039" s="53"/>
      <c r="CI1039" s="53"/>
      <c r="CJ1039" s="53"/>
      <c r="CK1039" s="53"/>
      <c r="CL1039" s="53"/>
      <c r="CN1039" s="53"/>
      <c r="CO1039" s="53"/>
      <c r="CP1039" s="53"/>
      <c r="CQ1039" s="53"/>
      <c r="CR1039" s="53"/>
      <c r="CS1039" s="53"/>
      <c r="CT1039" s="261"/>
      <c r="CU1039" s="255"/>
      <c r="CV1039" s="261"/>
      <c r="CW1039" s="261"/>
      <c r="CX1039" s="261"/>
      <c r="CY1039" s="255"/>
    </row>
    <row r="1040" spans="1:103" ht="10.25" customHeight="1">
      <c r="A1040" s="216"/>
      <c r="B1040" s="217"/>
      <c r="C1040" s="218"/>
      <c r="D1040" s="219"/>
      <c r="E1040" s="217"/>
      <c r="F1040" s="217"/>
      <c r="G1040" s="217"/>
      <c r="H1040" s="220"/>
      <c r="I1040" s="217"/>
      <c r="J1040" s="217"/>
      <c r="K1040" s="217"/>
      <c r="L1040" s="217"/>
      <c r="M1040" s="217"/>
      <c r="N1040" s="217"/>
      <c r="O1040" s="44"/>
      <c r="P1040" s="44"/>
      <c r="Q1040" s="44"/>
      <c r="R1040" s="44"/>
      <c r="S1040" s="44"/>
      <c r="T1040" s="44"/>
      <c r="U1040" s="44"/>
      <c r="V1040" s="44"/>
      <c r="W1040" s="44"/>
      <c r="X1040" s="44"/>
      <c r="Y1040" s="44"/>
      <c r="Z1040" s="44"/>
      <c r="AA1040" s="44"/>
      <c r="AB1040" s="44"/>
      <c r="AC1040" s="44"/>
      <c r="AD1040" s="44"/>
      <c r="AE1040" s="44"/>
      <c r="AF1040" s="44"/>
      <c r="AG1040" s="44"/>
      <c r="AH1040" s="44"/>
      <c r="AI1040" s="44"/>
      <c r="AJ1040" s="44"/>
      <c r="AK1040" s="44"/>
      <c r="AL1040" s="44"/>
      <c r="AM1040" s="44"/>
      <c r="AN1040" s="44"/>
      <c r="AO1040" s="44"/>
      <c r="AP1040" s="44"/>
      <c r="AQ1040" s="44"/>
      <c r="BA1040" s="5"/>
      <c r="BB1040" s="5"/>
      <c r="BC1040" s="5"/>
      <c r="BD1040" s="5"/>
      <c r="BE1040" s="63"/>
      <c r="BF1040" s="63"/>
      <c r="BG1040" s="63"/>
      <c r="CA1040" s="256"/>
      <c r="CB1040" s="261"/>
      <c r="CC1040" s="261"/>
      <c r="CD1040" s="261"/>
      <c r="CE1040" s="261"/>
      <c r="CF1040" s="255"/>
      <c r="CG1040" s="53"/>
      <c r="CH1040" s="53"/>
      <c r="CI1040" s="53"/>
      <c r="CJ1040" s="53"/>
      <c r="CK1040" s="53"/>
      <c r="CL1040" s="53"/>
      <c r="CN1040" s="53"/>
      <c r="CO1040" s="53"/>
      <c r="CP1040" s="53"/>
      <c r="CQ1040" s="53"/>
      <c r="CR1040" s="53"/>
      <c r="CS1040" s="53"/>
      <c r="CT1040" s="261"/>
      <c r="CU1040" s="255"/>
      <c r="CV1040" s="255"/>
      <c r="CW1040" s="255"/>
      <c r="CX1040" s="261"/>
      <c r="CY1040" s="255"/>
    </row>
    <row r="1041" spans="1:103" ht="10.25" customHeight="1">
      <c r="A1041" s="216"/>
      <c r="B1041" s="217"/>
      <c r="C1041" s="218"/>
      <c r="D1041" s="219"/>
      <c r="E1041" s="217"/>
      <c r="F1041" s="217"/>
      <c r="G1041" s="217"/>
      <c r="H1041" s="220"/>
      <c r="I1041" s="217"/>
      <c r="J1041" s="217"/>
      <c r="K1041" s="217"/>
      <c r="L1041" s="217"/>
      <c r="M1041" s="217"/>
      <c r="N1041" s="217"/>
      <c r="O1041" s="44"/>
      <c r="P1041" s="44"/>
      <c r="Q1041" s="44"/>
      <c r="R1041" s="44"/>
      <c r="S1041" s="44"/>
      <c r="T1041" s="44"/>
      <c r="U1041" s="44"/>
      <c r="V1041" s="44"/>
      <c r="W1041" s="44"/>
      <c r="X1041" s="44"/>
      <c r="Y1041" s="44"/>
      <c r="Z1041" s="44"/>
      <c r="AA1041" s="44"/>
      <c r="AB1041" s="44"/>
      <c r="AC1041" s="44"/>
      <c r="AD1041" s="44"/>
      <c r="AE1041" s="44"/>
      <c r="AF1041" s="44"/>
      <c r="AG1041" s="44"/>
      <c r="AH1041" s="44"/>
      <c r="AI1041" s="44"/>
      <c r="AJ1041" s="44"/>
      <c r="AK1041" s="44"/>
      <c r="AL1041" s="44"/>
      <c r="AM1041" s="44"/>
      <c r="AN1041" s="44"/>
      <c r="AO1041" s="44"/>
      <c r="AP1041" s="44"/>
      <c r="AQ1041" s="44"/>
      <c r="BA1041" s="5"/>
      <c r="BB1041" s="5"/>
      <c r="BC1041" s="5"/>
      <c r="BD1041" s="5"/>
      <c r="BE1041" s="63"/>
      <c r="BF1041" s="63"/>
      <c r="BG1041" s="63"/>
      <c r="CA1041" s="256"/>
      <c r="CB1041" s="261"/>
      <c r="CC1041" s="261"/>
      <c r="CD1041" s="261"/>
      <c r="CE1041" s="255"/>
      <c r="CF1041" s="261"/>
      <c r="CG1041" s="53"/>
      <c r="CH1041" s="53"/>
      <c r="CI1041" s="53"/>
      <c r="CJ1041" s="53"/>
      <c r="CK1041" s="53"/>
      <c r="CL1041" s="53"/>
      <c r="CN1041" s="53"/>
      <c r="CO1041" s="53"/>
      <c r="CP1041" s="53"/>
      <c r="CQ1041" s="53"/>
      <c r="CR1041" s="53"/>
      <c r="CS1041" s="53"/>
      <c r="CT1041" s="255"/>
      <c r="CU1041" s="261"/>
      <c r="CV1041" s="261"/>
      <c r="CW1041" s="261"/>
      <c r="CX1041" s="261"/>
      <c r="CY1041" s="255"/>
    </row>
    <row r="1042" spans="1:103" ht="10.25" customHeight="1">
      <c r="A1042" s="216"/>
      <c r="B1042" s="217"/>
      <c r="C1042" s="218"/>
      <c r="D1042" s="219"/>
      <c r="E1042" s="217"/>
      <c r="F1042" s="217"/>
      <c r="G1042" s="217"/>
      <c r="H1042" s="220"/>
      <c r="I1042" s="217"/>
      <c r="J1042" s="217"/>
      <c r="K1042" s="217"/>
      <c r="L1042" s="217"/>
      <c r="M1042" s="217"/>
      <c r="N1042" s="217"/>
      <c r="O1042" s="44"/>
      <c r="P1042" s="44"/>
      <c r="Q1042" s="44"/>
      <c r="R1042" s="44"/>
      <c r="S1042" s="44"/>
      <c r="T1042" s="44"/>
      <c r="U1042" s="44"/>
      <c r="V1042" s="44"/>
      <c r="W1042" s="44"/>
      <c r="X1042" s="44"/>
      <c r="Y1042" s="44"/>
      <c r="Z1042" s="44"/>
      <c r="AA1042" s="44"/>
      <c r="AB1042" s="44"/>
      <c r="AC1042" s="44"/>
      <c r="AD1042" s="44"/>
      <c r="AE1042" s="44"/>
      <c r="AF1042" s="44"/>
      <c r="AG1042" s="44"/>
      <c r="AH1042" s="44"/>
      <c r="AI1042" s="44"/>
      <c r="AJ1042" s="44"/>
      <c r="AK1042" s="44"/>
      <c r="AL1042" s="44"/>
      <c r="AM1042" s="44"/>
      <c r="AN1042" s="44"/>
      <c r="AO1042" s="44"/>
      <c r="AP1042" s="44"/>
      <c r="AQ1042" s="44"/>
      <c r="BA1042" s="5"/>
      <c r="BB1042" s="5"/>
      <c r="BC1042" s="5"/>
      <c r="BD1042" s="5"/>
      <c r="BE1042" s="63"/>
      <c r="BF1042" s="63"/>
      <c r="BG1042" s="63"/>
      <c r="CA1042" s="256"/>
      <c r="CB1042" s="261"/>
      <c r="CC1042" s="261"/>
      <c r="CD1042" s="261"/>
      <c r="CE1042" s="255"/>
      <c r="CF1042" s="261"/>
      <c r="CG1042" s="53"/>
      <c r="CH1042" s="53"/>
      <c r="CI1042" s="53"/>
      <c r="CJ1042" s="53"/>
      <c r="CK1042" s="53"/>
      <c r="CL1042" s="53"/>
      <c r="CN1042" s="53"/>
      <c r="CO1042" s="53"/>
      <c r="CP1042" s="53"/>
      <c r="CQ1042" s="53"/>
      <c r="CR1042" s="53"/>
      <c r="CS1042" s="53"/>
      <c r="CT1042" s="255"/>
      <c r="CU1042" s="261"/>
      <c r="CV1042" s="255"/>
      <c r="CW1042" s="255"/>
      <c r="CX1042" s="261"/>
      <c r="CY1042" s="255"/>
    </row>
    <row r="1043" spans="1:103" ht="10.25" customHeight="1">
      <c r="A1043" s="216"/>
      <c r="B1043" s="217"/>
      <c r="C1043" s="218"/>
      <c r="D1043" s="219"/>
      <c r="E1043" s="217"/>
      <c r="F1043" s="217"/>
      <c r="G1043" s="217"/>
      <c r="H1043" s="220"/>
      <c r="I1043" s="217"/>
      <c r="J1043" s="217"/>
      <c r="K1043" s="217"/>
      <c r="L1043" s="217"/>
      <c r="M1043" s="217"/>
      <c r="N1043" s="217"/>
      <c r="O1043" s="44"/>
      <c r="P1043" s="44"/>
      <c r="Q1043" s="44"/>
      <c r="R1043" s="44"/>
      <c r="S1043" s="44"/>
      <c r="T1043" s="44"/>
      <c r="U1043" s="44"/>
      <c r="V1043" s="44"/>
      <c r="W1043" s="44"/>
      <c r="X1043" s="44"/>
      <c r="Y1043" s="44"/>
      <c r="Z1043" s="44"/>
      <c r="AA1043" s="44"/>
      <c r="AB1043" s="44"/>
      <c r="AC1043" s="44"/>
      <c r="AD1043" s="44"/>
      <c r="AE1043" s="44"/>
      <c r="AF1043" s="44"/>
      <c r="AG1043" s="44"/>
      <c r="AH1043" s="44"/>
      <c r="AI1043" s="44"/>
      <c r="AJ1043" s="44"/>
      <c r="AK1043" s="44"/>
      <c r="AL1043" s="44"/>
      <c r="AM1043" s="44"/>
      <c r="AN1043" s="44"/>
      <c r="AO1043" s="44"/>
      <c r="AP1043" s="44"/>
      <c r="AQ1043" s="44"/>
      <c r="BA1043" s="5"/>
      <c r="BB1043" s="5"/>
      <c r="BC1043" s="5"/>
      <c r="BD1043" s="5"/>
      <c r="BE1043" s="63"/>
      <c r="BF1043" s="63"/>
      <c r="BG1043" s="63"/>
      <c r="CA1043" s="256"/>
      <c r="CB1043" s="261"/>
      <c r="CC1043" s="261"/>
      <c r="CD1043" s="261"/>
      <c r="CE1043" s="261"/>
      <c r="CF1043" s="261"/>
      <c r="CG1043" s="53"/>
      <c r="CH1043" s="53"/>
      <c r="CI1043" s="53"/>
      <c r="CJ1043" s="53"/>
      <c r="CK1043" s="53"/>
      <c r="CL1043" s="53"/>
      <c r="CN1043" s="53"/>
      <c r="CO1043" s="53"/>
      <c r="CP1043" s="53"/>
      <c r="CQ1043" s="53"/>
      <c r="CR1043" s="53"/>
      <c r="CS1043" s="53"/>
      <c r="CT1043" s="261"/>
      <c r="CU1043" s="261"/>
      <c r="CV1043" s="261"/>
      <c r="CW1043" s="261"/>
      <c r="CX1043" s="255"/>
      <c r="CY1043" s="255"/>
    </row>
    <row r="1044" spans="1:103" ht="10.25" customHeight="1">
      <c r="A1044" s="216"/>
      <c r="B1044" s="217"/>
      <c r="C1044" s="218"/>
      <c r="D1044" s="219"/>
      <c r="E1044" s="217"/>
      <c r="F1044" s="217"/>
      <c r="G1044" s="217"/>
      <c r="H1044" s="220"/>
      <c r="I1044" s="217"/>
      <c r="J1044" s="217"/>
      <c r="K1044" s="217"/>
      <c r="L1044" s="217"/>
      <c r="M1044" s="217"/>
      <c r="N1044" s="217"/>
      <c r="O1044" s="44"/>
      <c r="P1044" s="44"/>
      <c r="Q1044" s="44"/>
      <c r="R1044" s="44"/>
      <c r="S1044" s="44"/>
      <c r="T1044" s="44"/>
      <c r="U1044" s="44"/>
      <c r="V1044" s="44"/>
      <c r="W1044" s="44"/>
      <c r="X1044" s="44"/>
      <c r="Y1044" s="44"/>
      <c r="Z1044" s="44"/>
      <c r="AA1044" s="44"/>
      <c r="AB1044" s="44"/>
      <c r="AC1044" s="44"/>
      <c r="AD1044" s="44"/>
      <c r="AE1044" s="44"/>
      <c r="AF1044" s="44"/>
      <c r="AG1044" s="44"/>
      <c r="AH1044" s="44"/>
      <c r="AI1044" s="44"/>
      <c r="AJ1044" s="44"/>
      <c r="AK1044" s="44"/>
      <c r="AL1044" s="44"/>
      <c r="AM1044" s="44"/>
      <c r="AN1044" s="44"/>
      <c r="AO1044" s="44"/>
      <c r="AP1044" s="44"/>
      <c r="AQ1044" s="44"/>
      <c r="BA1044" s="5"/>
      <c r="BB1044" s="5"/>
      <c r="BC1044" s="5"/>
      <c r="BD1044" s="5"/>
      <c r="BE1044" s="63"/>
      <c r="BF1044" s="63"/>
      <c r="BG1044" s="63"/>
      <c r="CA1044" s="256"/>
      <c r="CB1044" s="261"/>
      <c r="CC1044" s="261"/>
      <c r="CD1044" s="261"/>
      <c r="CE1044" s="261"/>
      <c r="CF1044" s="261"/>
      <c r="CG1044" s="53"/>
      <c r="CH1044" s="53"/>
      <c r="CI1044" s="53"/>
      <c r="CJ1044" s="53"/>
      <c r="CK1044" s="53"/>
      <c r="CL1044" s="53"/>
      <c r="CN1044" s="53"/>
      <c r="CO1044" s="53"/>
      <c r="CP1044" s="53"/>
      <c r="CQ1044" s="53"/>
      <c r="CR1044" s="53"/>
      <c r="CS1044" s="53"/>
      <c r="CT1044" s="261"/>
      <c r="CU1044" s="261"/>
      <c r="CV1044" s="255"/>
      <c r="CW1044" s="255"/>
      <c r="CX1044" s="261"/>
      <c r="CY1044" s="255"/>
    </row>
    <row r="1045" spans="1:103" ht="10.25" customHeight="1">
      <c r="A1045" s="216"/>
      <c r="B1045" s="217"/>
      <c r="C1045" s="218"/>
      <c r="D1045" s="219"/>
      <c r="E1045" s="217"/>
      <c r="F1045" s="217"/>
      <c r="G1045" s="217"/>
      <c r="H1045" s="220"/>
      <c r="I1045" s="217"/>
      <c r="J1045" s="217"/>
      <c r="K1045" s="217"/>
      <c r="L1045" s="217"/>
      <c r="M1045" s="217"/>
      <c r="N1045" s="217"/>
      <c r="O1045" s="44"/>
      <c r="P1045" s="44"/>
      <c r="Q1045" s="44"/>
      <c r="R1045" s="44"/>
      <c r="S1045" s="44"/>
      <c r="T1045" s="44"/>
      <c r="U1045" s="44"/>
      <c r="V1045" s="44"/>
      <c r="W1045" s="44"/>
      <c r="X1045" s="44"/>
      <c r="Y1045" s="44"/>
      <c r="Z1045" s="44"/>
      <c r="AA1045" s="44"/>
      <c r="AB1045" s="44"/>
      <c r="AC1045" s="44"/>
      <c r="AD1045" s="44"/>
      <c r="AE1045" s="44"/>
      <c r="AF1045" s="44"/>
      <c r="AG1045" s="44"/>
      <c r="AH1045" s="44"/>
      <c r="AI1045" s="44"/>
      <c r="AJ1045" s="44"/>
      <c r="AK1045" s="44"/>
      <c r="AL1045" s="44"/>
      <c r="AM1045" s="44"/>
      <c r="AN1045" s="44"/>
      <c r="AO1045" s="44"/>
      <c r="AP1045" s="44"/>
      <c r="AQ1045" s="44"/>
      <c r="BA1045" s="5"/>
      <c r="BB1045" s="5"/>
      <c r="BC1045" s="5"/>
      <c r="BD1045" s="5"/>
      <c r="BE1045" s="63"/>
      <c r="BF1045" s="63"/>
      <c r="BG1045" s="63"/>
      <c r="CA1045" s="256"/>
      <c r="CB1045" s="261"/>
      <c r="CC1045" s="261"/>
      <c r="CD1045" s="261"/>
      <c r="CE1045" s="261"/>
      <c r="CF1045" s="261"/>
      <c r="CG1045" s="53"/>
      <c r="CH1045" s="53"/>
      <c r="CI1045" s="53"/>
      <c r="CJ1045" s="53"/>
      <c r="CK1045" s="53"/>
      <c r="CL1045" s="53"/>
      <c r="CN1045" s="53"/>
      <c r="CO1045" s="53"/>
      <c r="CP1045" s="53"/>
      <c r="CQ1045" s="53"/>
      <c r="CR1045" s="53"/>
      <c r="CS1045" s="53"/>
      <c r="CT1045" s="261"/>
      <c r="CU1045" s="261"/>
      <c r="CV1045" s="261"/>
      <c r="CW1045" s="255"/>
      <c r="CX1045" s="261"/>
      <c r="CY1045" s="255"/>
    </row>
    <row r="1046" spans="1:103" ht="10.25" customHeight="1">
      <c r="A1046" s="216"/>
      <c r="B1046" s="217"/>
      <c r="C1046" s="218"/>
      <c r="D1046" s="219"/>
      <c r="E1046" s="217"/>
      <c r="F1046" s="217"/>
      <c r="G1046" s="217"/>
      <c r="H1046" s="220"/>
      <c r="I1046" s="217"/>
      <c r="J1046" s="217"/>
      <c r="K1046" s="217"/>
      <c r="L1046" s="217"/>
      <c r="M1046" s="217"/>
      <c r="N1046" s="217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BA1046" s="5"/>
      <c r="BB1046" s="5"/>
      <c r="BC1046" s="5"/>
      <c r="BD1046" s="5"/>
      <c r="BE1046" s="63"/>
      <c r="BF1046" s="63"/>
      <c r="BG1046" s="63"/>
      <c r="CA1046" s="256"/>
      <c r="CB1046" s="261"/>
      <c r="CC1046" s="261"/>
      <c r="CD1046" s="261"/>
      <c r="CE1046" s="261"/>
      <c r="CF1046" s="261"/>
      <c r="CG1046" s="53"/>
      <c r="CH1046" s="53"/>
      <c r="CI1046" s="53"/>
      <c r="CJ1046" s="53"/>
      <c r="CK1046" s="53"/>
      <c r="CL1046" s="53"/>
      <c r="CN1046" s="53"/>
      <c r="CO1046" s="53"/>
      <c r="CP1046" s="53"/>
      <c r="CQ1046" s="53"/>
      <c r="CR1046" s="53"/>
      <c r="CS1046" s="53"/>
      <c r="CT1046" s="261"/>
      <c r="CU1046" s="261"/>
      <c r="CV1046" s="255"/>
      <c r="CW1046" s="255"/>
      <c r="CX1046" s="261"/>
      <c r="CY1046" s="255"/>
    </row>
    <row r="1047" spans="1:103" ht="10.25" customHeight="1">
      <c r="A1047" s="216"/>
      <c r="B1047" s="217"/>
      <c r="C1047" s="218"/>
      <c r="D1047" s="219"/>
      <c r="E1047" s="217"/>
      <c r="F1047" s="217"/>
      <c r="G1047" s="217"/>
      <c r="H1047" s="220"/>
      <c r="I1047" s="217"/>
      <c r="J1047" s="217"/>
      <c r="K1047" s="217"/>
      <c r="L1047" s="217"/>
      <c r="M1047" s="217"/>
      <c r="N1047" s="217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BA1047" s="5"/>
      <c r="BB1047" s="5"/>
      <c r="BC1047" s="5"/>
      <c r="BD1047" s="5"/>
      <c r="BE1047" s="63"/>
      <c r="BF1047" s="63"/>
      <c r="BG1047" s="63"/>
      <c r="CA1047" s="256"/>
      <c r="CB1047" s="261"/>
      <c r="CC1047" s="261"/>
      <c r="CD1047" s="261"/>
      <c r="CE1047" s="261"/>
      <c r="CF1047" s="261"/>
      <c r="CG1047" s="53"/>
      <c r="CH1047" s="53"/>
      <c r="CI1047" s="53"/>
      <c r="CJ1047" s="53"/>
      <c r="CK1047" s="53"/>
      <c r="CL1047" s="53"/>
      <c r="CN1047" s="53"/>
      <c r="CO1047" s="53"/>
      <c r="CP1047" s="53"/>
      <c r="CQ1047" s="53"/>
      <c r="CR1047" s="53"/>
      <c r="CS1047" s="53"/>
      <c r="CT1047" s="261"/>
      <c r="CU1047" s="261"/>
      <c r="CV1047" s="261"/>
      <c r="CW1047" s="261"/>
      <c r="CX1047" s="261"/>
      <c r="CY1047" s="255"/>
    </row>
    <row r="1048" spans="1:103" ht="10.25" customHeight="1">
      <c r="A1048" s="216"/>
      <c r="B1048" s="217"/>
      <c r="C1048" s="218"/>
      <c r="D1048" s="219"/>
      <c r="E1048" s="217"/>
      <c r="F1048" s="217"/>
      <c r="G1048" s="217"/>
      <c r="H1048" s="220"/>
      <c r="I1048" s="217"/>
      <c r="J1048" s="217"/>
      <c r="K1048" s="217"/>
      <c r="L1048" s="217"/>
      <c r="M1048" s="217"/>
      <c r="N1048" s="217"/>
      <c r="O1048" s="44"/>
      <c r="P1048" s="44"/>
      <c r="Q1048" s="44"/>
      <c r="R1048" s="44"/>
      <c r="S1048" s="44"/>
      <c r="T1048" s="44"/>
      <c r="U1048" s="44"/>
      <c r="V1048" s="44"/>
      <c r="W1048" s="44"/>
      <c r="X1048" s="44"/>
      <c r="Y1048" s="44"/>
      <c r="Z1048" s="44"/>
      <c r="AA1048" s="44"/>
      <c r="AB1048" s="44"/>
      <c r="AC1048" s="44"/>
      <c r="AD1048" s="44"/>
      <c r="AE1048" s="44"/>
      <c r="AF1048" s="44"/>
      <c r="AG1048" s="44"/>
      <c r="AH1048" s="44"/>
      <c r="AI1048" s="44"/>
      <c r="AJ1048" s="44"/>
      <c r="AK1048" s="44"/>
      <c r="AL1048" s="44"/>
      <c r="AM1048" s="44"/>
      <c r="AN1048" s="44"/>
      <c r="AO1048" s="44"/>
      <c r="AP1048" s="44"/>
      <c r="AQ1048" s="44"/>
      <c r="BA1048" s="5"/>
      <c r="BB1048" s="5"/>
      <c r="BC1048" s="5"/>
      <c r="BD1048" s="5"/>
      <c r="BE1048" s="63"/>
      <c r="BF1048" s="63"/>
      <c r="BG1048" s="63"/>
      <c r="CA1048" s="256"/>
      <c r="CB1048" s="261"/>
      <c r="CC1048" s="261"/>
      <c r="CD1048" s="255"/>
      <c r="CE1048" s="261"/>
      <c r="CF1048" s="261"/>
      <c r="CG1048" s="53"/>
      <c r="CH1048" s="53"/>
      <c r="CI1048" s="53"/>
      <c r="CJ1048" s="53"/>
      <c r="CK1048" s="53"/>
      <c r="CL1048" s="53"/>
      <c r="CN1048" s="53"/>
      <c r="CO1048" s="53"/>
      <c r="CP1048" s="53"/>
      <c r="CQ1048" s="53"/>
      <c r="CR1048" s="53"/>
      <c r="CS1048" s="53"/>
      <c r="CT1048" s="261"/>
      <c r="CU1048" s="261"/>
      <c r="CV1048" s="261"/>
      <c r="CW1048" s="261"/>
      <c r="CX1048" s="261"/>
      <c r="CY1048" s="255"/>
    </row>
    <row r="1049" spans="1:103" ht="10.25" customHeight="1">
      <c r="A1049" s="216"/>
      <c r="B1049" s="217"/>
      <c r="C1049" s="218"/>
      <c r="D1049" s="219"/>
      <c r="E1049" s="217"/>
      <c r="F1049" s="217"/>
      <c r="G1049" s="217"/>
      <c r="H1049" s="220"/>
      <c r="I1049" s="217"/>
      <c r="J1049" s="217"/>
      <c r="K1049" s="217"/>
      <c r="L1049" s="217"/>
      <c r="M1049" s="217"/>
      <c r="N1049" s="217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44"/>
      <c r="AL1049" s="44"/>
      <c r="AM1049" s="44"/>
      <c r="AN1049" s="44"/>
      <c r="AO1049" s="44"/>
      <c r="AP1049" s="44"/>
      <c r="AQ1049" s="44"/>
      <c r="BA1049" s="5"/>
      <c r="BB1049" s="5"/>
      <c r="BC1049" s="5"/>
      <c r="BD1049" s="5"/>
      <c r="BE1049" s="63"/>
      <c r="BF1049" s="63"/>
      <c r="BG1049" s="63"/>
      <c r="CA1049" s="256"/>
      <c r="CB1049" s="261"/>
      <c r="CC1049" s="261"/>
      <c r="CD1049" s="255"/>
      <c r="CE1049" s="261"/>
      <c r="CF1049" s="261"/>
      <c r="CG1049" s="53"/>
      <c r="CH1049" s="53"/>
      <c r="CI1049" s="53"/>
      <c r="CJ1049" s="53"/>
      <c r="CK1049" s="53"/>
      <c r="CL1049" s="53"/>
      <c r="CN1049" s="53"/>
      <c r="CO1049" s="53"/>
      <c r="CP1049" s="53"/>
      <c r="CQ1049" s="53"/>
      <c r="CR1049" s="53"/>
      <c r="CS1049" s="53"/>
      <c r="CT1049" s="261"/>
      <c r="CU1049" s="261"/>
      <c r="CV1049" s="261"/>
      <c r="CW1049" s="261"/>
      <c r="CX1049" s="261"/>
      <c r="CY1049" s="255"/>
    </row>
    <row r="1050" spans="1:103" ht="10.25" customHeight="1">
      <c r="A1050" s="216"/>
      <c r="B1050" s="217"/>
      <c r="C1050" s="218"/>
      <c r="D1050" s="219"/>
      <c r="E1050" s="217"/>
      <c r="F1050" s="217"/>
      <c r="G1050" s="217"/>
      <c r="H1050" s="220"/>
      <c r="I1050" s="217"/>
      <c r="J1050" s="217"/>
      <c r="K1050" s="217"/>
      <c r="L1050" s="217"/>
      <c r="M1050" s="217"/>
      <c r="N1050" s="217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BA1050" s="5"/>
      <c r="BB1050" s="5"/>
      <c r="BC1050" s="5"/>
      <c r="BD1050" s="5"/>
      <c r="BE1050" s="63"/>
      <c r="BF1050" s="63"/>
      <c r="BG1050" s="63"/>
      <c r="CA1050" s="256"/>
      <c r="CB1050" s="261"/>
      <c r="CC1050" s="261"/>
      <c r="CD1050" s="255"/>
      <c r="CE1050" s="261"/>
      <c r="CF1050" s="261"/>
      <c r="CG1050" s="53"/>
      <c r="CH1050" s="53"/>
      <c r="CI1050" s="53"/>
      <c r="CJ1050" s="53"/>
      <c r="CK1050" s="53"/>
      <c r="CL1050" s="53"/>
      <c r="CN1050" s="53"/>
      <c r="CO1050" s="53"/>
      <c r="CP1050" s="53"/>
      <c r="CQ1050" s="53"/>
      <c r="CR1050" s="53"/>
      <c r="CS1050" s="53"/>
      <c r="CT1050" s="261"/>
      <c r="CU1050" s="261"/>
      <c r="CV1050" s="261"/>
      <c r="CW1050" s="261"/>
      <c r="CX1050" s="261"/>
      <c r="CY1050" s="255"/>
    </row>
    <row r="1051" spans="1:103" ht="10.25" customHeight="1">
      <c r="A1051" s="216"/>
      <c r="B1051" s="217"/>
      <c r="C1051" s="218"/>
      <c r="D1051" s="219"/>
      <c r="E1051" s="217"/>
      <c r="F1051" s="217"/>
      <c r="G1051" s="217"/>
      <c r="H1051" s="220"/>
      <c r="I1051" s="217"/>
      <c r="J1051" s="217"/>
      <c r="K1051" s="217"/>
      <c r="L1051" s="217"/>
      <c r="M1051" s="217"/>
      <c r="N1051" s="217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BA1051" s="5"/>
      <c r="BB1051" s="5"/>
      <c r="BC1051" s="5"/>
      <c r="BD1051" s="5"/>
      <c r="BE1051" s="63"/>
      <c r="BF1051" s="63"/>
      <c r="BG1051" s="63"/>
      <c r="CA1051" s="256"/>
      <c r="CB1051" s="261"/>
      <c r="CC1051" s="255"/>
      <c r="CD1051" s="261"/>
      <c r="CE1051" s="261"/>
      <c r="CF1051" s="261"/>
      <c r="CG1051" s="53"/>
      <c r="CH1051" s="53"/>
      <c r="CI1051" s="53"/>
      <c r="CJ1051" s="53"/>
      <c r="CK1051" s="53"/>
      <c r="CL1051" s="53"/>
      <c r="CN1051" s="53"/>
      <c r="CO1051" s="53"/>
      <c r="CP1051" s="53"/>
      <c r="CQ1051" s="53"/>
      <c r="CR1051" s="53"/>
      <c r="CS1051" s="53"/>
      <c r="CT1051" s="261"/>
      <c r="CU1051" s="261"/>
      <c r="CV1051" s="261"/>
      <c r="CW1051" s="261"/>
      <c r="CX1051" s="261"/>
      <c r="CY1051" s="255"/>
    </row>
    <row r="1052" spans="1:103" ht="10.25" customHeight="1">
      <c r="A1052" s="216"/>
      <c r="B1052" s="217"/>
      <c r="C1052" s="218"/>
      <c r="D1052" s="219"/>
      <c r="E1052" s="217"/>
      <c r="F1052" s="217"/>
      <c r="G1052" s="217"/>
      <c r="H1052" s="220"/>
      <c r="I1052" s="217"/>
      <c r="J1052" s="217"/>
      <c r="K1052" s="217"/>
      <c r="L1052" s="217"/>
      <c r="M1052" s="217"/>
      <c r="N1052" s="217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BA1052" s="5"/>
      <c r="BB1052" s="5"/>
      <c r="BC1052" s="5"/>
      <c r="BD1052" s="5"/>
      <c r="BE1052" s="63"/>
      <c r="BF1052" s="63"/>
      <c r="BG1052" s="63"/>
      <c r="CA1052" s="256"/>
      <c r="CB1052" s="261"/>
      <c r="CC1052" s="255"/>
      <c r="CD1052" s="261"/>
      <c r="CE1052" s="261"/>
      <c r="CF1052" s="261"/>
      <c r="CG1052" s="53"/>
      <c r="CH1052" s="53"/>
      <c r="CI1052" s="53"/>
      <c r="CJ1052" s="53"/>
      <c r="CK1052" s="53"/>
      <c r="CL1052" s="53"/>
      <c r="CN1052" s="53"/>
      <c r="CO1052" s="53"/>
      <c r="CP1052" s="53"/>
      <c r="CQ1052" s="53"/>
      <c r="CR1052" s="53"/>
      <c r="CS1052" s="53"/>
      <c r="CT1052" s="261"/>
      <c r="CU1052" s="261"/>
      <c r="CV1052" s="261"/>
      <c r="CW1052" s="261"/>
      <c r="CX1052" s="261"/>
      <c r="CY1052" s="255"/>
    </row>
    <row r="1053" spans="1:103" ht="10.25" customHeight="1">
      <c r="A1053" s="371"/>
      <c r="B1053" s="371"/>
      <c r="C1053" s="371"/>
      <c r="D1053" s="269"/>
      <c r="L1053" s="269"/>
      <c r="M1053" s="269"/>
      <c r="N1053" s="269"/>
      <c r="O1053" s="63"/>
      <c r="P1053" s="63"/>
      <c r="Q1053" s="63"/>
      <c r="R1053" s="63"/>
      <c r="S1053" s="63"/>
      <c r="T1053" s="63"/>
      <c r="U1053" s="63"/>
      <c r="V1053" s="63"/>
      <c r="W1053" s="63"/>
      <c r="X1053" s="63"/>
      <c r="Y1053" s="63"/>
      <c r="Z1053" s="63"/>
      <c r="AA1053" s="63"/>
      <c r="AB1053" s="63"/>
      <c r="AC1053" s="63"/>
      <c r="AD1053" s="63"/>
      <c r="AE1053" s="63"/>
      <c r="AF1053" s="63"/>
      <c r="AG1053" s="63"/>
      <c r="AH1053" s="63"/>
      <c r="AI1053" s="63"/>
      <c r="AJ1053" s="63"/>
      <c r="AK1053" s="63"/>
      <c r="AL1053" s="63"/>
      <c r="AM1053" s="63"/>
      <c r="AN1053" s="63"/>
      <c r="AO1053" s="63"/>
      <c r="AP1053" s="63"/>
      <c r="AQ1053" s="63"/>
      <c r="CA1053" s="256"/>
      <c r="CB1053" s="261"/>
      <c r="CC1053" s="255"/>
      <c r="CD1053" s="261"/>
      <c r="CE1053" s="261"/>
      <c r="CF1053" s="261"/>
      <c r="CG1053" s="261"/>
      <c r="CH1053" s="261"/>
      <c r="CI1053" s="261"/>
      <c r="CJ1053" s="261"/>
      <c r="CK1053" s="261"/>
      <c r="CL1053" s="255"/>
      <c r="CN1053" s="256"/>
      <c r="CO1053" s="256"/>
      <c r="CP1053" s="261"/>
      <c r="CQ1053" s="261"/>
      <c r="CR1053" s="255"/>
      <c r="CS1053" s="261"/>
      <c r="CT1053" s="261"/>
      <c r="CU1053" s="261"/>
      <c r="CV1053" s="261"/>
      <c r="CW1053" s="261"/>
      <c r="CX1053" s="261"/>
      <c r="CY1053" s="255"/>
    </row>
    <row r="1054" spans="1:103" ht="12.65" customHeight="1">
      <c r="A1054" s="270"/>
      <c r="C1054" s="271"/>
      <c r="D1054" s="372"/>
      <c r="E1054" s="372"/>
      <c r="F1054" s="272"/>
      <c r="G1054" s="272"/>
      <c r="H1054" s="273"/>
      <c r="L1054" s="269"/>
      <c r="M1054" s="269"/>
      <c r="N1054" s="269"/>
      <c r="O1054" s="63"/>
      <c r="P1054" s="63"/>
      <c r="Q1054" s="63"/>
      <c r="R1054" s="63"/>
      <c r="S1054" s="63"/>
      <c r="T1054" s="63"/>
      <c r="U1054" s="63"/>
      <c r="V1054" s="63"/>
      <c r="W1054" s="63"/>
      <c r="X1054" s="63"/>
      <c r="Y1054" s="63"/>
      <c r="Z1054" s="63"/>
      <c r="AA1054" s="63"/>
      <c r="AB1054" s="63"/>
      <c r="AC1054" s="63"/>
      <c r="AD1054" s="63"/>
      <c r="AE1054" s="63"/>
      <c r="AF1054" s="63"/>
      <c r="AG1054" s="63"/>
      <c r="AH1054" s="63"/>
      <c r="AI1054" s="63"/>
      <c r="AJ1054" s="63"/>
      <c r="AK1054" s="63"/>
      <c r="AL1054" s="63"/>
      <c r="AM1054" s="63"/>
      <c r="AN1054" s="63"/>
      <c r="AO1054" s="63"/>
      <c r="AP1054" s="63"/>
      <c r="AQ1054" s="63"/>
      <c r="CA1054" s="256"/>
      <c r="CB1054" s="261"/>
      <c r="CC1054" s="255"/>
      <c r="CD1054" s="261"/>
      <c r="CE1054" s="261"/>
      <c r="CF1054" s="261"/>
      <c r="CG1054" s="261"/>
      <c r="CH1054" s="261"/>
      <c r="CI1054" s="261"/>
      <c r="CJ1054" s="261"/>
      <c r="CK1054" s="255"/>
      <c r="CL1054" s="255"/>
      <c r="CN1054" s="256"/>
      <c r="CO1054" s="256"/>
      <c r="CP1054" s="261"/>
      <c r="CQ1054" s="261"/>
      <c r="CR1054" s="255"/>
      <c r="CS1054" s="261"/>
      <c r="CT1054" s="261"/>
      <c r="CU1054" s="261"/>
      <c r="CV1054" s="261"/>
      <c r="CW1054" s="261"/>
      <c r="CX1054" s="255"/>
      <c r="CY1054" s="255"/>
    </row>
    <row r="1055" spans="1:103" ht="10.25" customHeight="1">
      <c r="A1055" s="270"/>
      <c r="D1055" s="372"/>
      <c r="E1055" s="372"/>
      <c r="F1055" s="272"/>
      <c r="G1055" s="272"/>
      <c r="H1055" s="273"/>
      <c r="L1055" s="269"/>
      <c r="M1055" s="269"/>
      <c r="N1055" s="269"/>
      <c r="O1055" s="63"/>
      <c r="P1055" s="63"/>
      <c r="Q1055" s="63"/>
      <c r="R1055" s="63"/>
      <c r="S1055" s="63"/>
      <c r="T1055" s="63"/>
      <c r="U1055" s="63"/>
      <c r="V1055" s="63"/>
      <c r="W1055" s="63"/>
      <c r="X1055" s="63"/>
      <c r="Y1055" s="63"/>
      <c r="Z1055" s="63"/>
      <c r="AA1055" s="63"/>
      <c r="AB1055" s="63"/>
      <c r="AC1055" s="63"/>
      <c r="AD1055" s="63"/>
      <c r="AE1055" s="63"/>
      <c r="AF1055" s="63"/>
      <c r="AG1055" s="63"/>
      <c r="AH1055" s="63"/>
      <c r="AI1055" s="63"/>
      <c r="AJ1055" s="63"/>
      <c r="AK1055" s="63"/>
      <c r="AL1055" s="63"/>
      <c r="AM1055" s="63"/>
      <c r="AN1055" s="63"/>
      <c r="AO1055" s="63"/>
      <c r="AP1055" s="63"/>
      <c r="AQ1055" s="63"/>
      <c r="CA1055" s="256"/>
      <c r="CB1055" s="261"/>
      <c r="CC1055" s="255"/>
      <c r="CD1055" s="261"/>
      <c r="CE1055" s="261"/>
      <c r="CF1055" s="261"/>
      <c r="CG1055" s="261"/>
      <c r="CH1055" s="261"/>
      <c r="CI1055" s="261"/>
      <c r="CJ1055" s="261"/>
      <c r="CK1055" s="261"/>
      <c r="CL1055" s="255"/>
      <c r="CN1055" s="256"/>
      <c r="CO1055" s="256"/>
      <c r="CP1055" s="261"/>
      <c r="CQ1055" s="261"/>
      <c r="CR1055" s="255"/>
      <c r="CS1055" s="261"/>
      <c r="CT1055" s="261"/>
      <c r="CU1055" s="261"/>
      <c r="CV1055" s="261"/>
      <c r="CW1055" s="261"/>
      <c r="CX1055" s="261"/>
      <c r="CY1055" s="255"/>
    </row>
    <row r="1056" spans="1:103" ht="10.25" customHeight="1">
      <c r="C1056" s="270"/>
      <c r="D1056" s="274"/>
      <c r="E1056" s="214"/>
      <c r="F1056" s="272"/>
      <c r="G1056" s="272"/>
      <c r="H1056" s="272"/>
      <c r="I1056" s="273"/>
      <c r="J1056" s="273"/>
      <c r="K1056" s="273"/>
      <c r="L1056" s="275"/>
      <c r="M1056" s="269"/>
      <c r="N1056" s="269"/>
      <c r="O1056" s="63"/>
      <c r="P1056" s="63"/>
      <c r="Q1056" s="63"/>
      <c r="R1056" s="63"/>
      <c r="S1056" s="63"/>
      <c r="T1056" s="63"/>
      <c r="U1056" s="63"/>
      <c r="V1056" s="63"/>
      <c r="W1056" s="63"/>
      <c r="X1056" s="63"/>
      <c r="Y1056" s="63"/>
      <c r="Z1056" s="63"/>
      <c r="AA1056" s="63"/>
      <c r="AB1056" s="63"/>
      <c r="AC1056" s="63"/>
      <c r="AD1056" s="63"/>
      <c r="AE1056" s="63"/>
      <c r="AF1056" s="63"/>
      <c r="AG1056" s="63"/>
      <c r="AH1056" s="63"/>
      <c r="AI1056" s="63"/>
      <c r="AJ1056" s="63"/>
      <c r="AK1056" s="63"/>
      <c r="AL1056" s="63"/>
      <c r="AM1056" s="63"/>
      <c r="AN1056" s="63"/>
      <c r="AO1056" s="63"/>
      <c r="AP1056" s="63"/>
      <c r="AQ1056" s="63"/>
      <c r="CA1056" s="256"/>
      <c r="CB1056" s="261"/>
      <c r="CC1056" s="255"/>
      <c r="CD1056" s="261"/>
      <c r="CE1056" s="261"/>
      <c r="CF1056" s="261"/>
      <c r="CG1056" s="261"/>
      <c r="CH1056" s="261"/>
      <c r="CI1056" s="261"/>
      <c r="CJ1056" s="261"/>
      <c r="CK1056" s="261"/>
      <c r="CL1056" s="255"/>
      <c r="CN1056" s="256"/>
      <c r="CO1056" s="256"/>
      <c r="CP1056" s="261"/>
      <c r="CQ1056" s="261"/>
      <c r="CR1056" s="255"/>
      <c r="CS1056" s="261"/>
      <c r="CT1056" s="261"/>
      <c r="CU1056" s="261"/>
      <c r="CV1056" s="261"/>
      <c r="CW1056" s="261"/>
      <c r="CX1056" s="261"/>
      <c r="CY1056" s="255"/>
    </row>
    <row r="1057" spans="1:103" ht="10.25" customHeight="1">
      <c r="A1057" s="270"/>
      <c r="D1057" s="372"/>
      <c r="E1057" s="372"/>
      <c r="F1057" s="272"/>
      <c r="G1057" s="272"/>
      <c r="H1057" s="272"/>
      <c r="I1057" s="273"/>
      <c r="J1057" s="273"/>
      <c r="K1057" s="273"/>
      <c r="L1057" s="275"/>
      <c r="M1057" s="269"/>
      <c r="N1057" s="269"/>
      <c r="O1057" s="63"/>
      <c r="P1057" s="63"/>
      <c r="Q1057" s="63"/>
      <c r="R1057" s="63"/>
      <c r="S1057" s="63"/>
      <c r="T1057" s="63"/>
      <c r="U1057" s="63"/>
      <c r="V1057" s="63"/>
      <c r="W1057" s="63"/>
      <c r="X1057" s="63"/>
      <c r="Y1057" s="63"/>
      <c r="Z1057" s="63"/>
      <c r="AA1057" s="63"/>
      <c r="AB1057" s="63"/>
      <c r="AC1057" s="63"/>
      <c r="AD1057" s="63"/>
      <c r="AE1057" s="63"/>
      <c r="AF1057" s="63"/>
      <c r="AG1057" s="63"/>
      <c r="AH1057" s="63"/>
      <c r="AI1057" s="63"/>
      <c r="AJ1057" s="63"/>
      <c r="AK1057" s="63"/>
      <c r="AL1057" s="63"/>
      <c r="AM1057" s="63"/>
      <c r="AN1057" s="63"/>
      <c r="AO1057" s="63"/>
      <c r="AP1057" s="63"/>
      <c r="AQ1057" s="63"/>
      <c r="CA1057" s="256"/>
      <c r="CB1057" s="261"/>
      <c r="CC1057" s="255"/>
      <c r="CD1057" s="261"/>
      <c r="CE1057" s="261"/>
      <c r="CF1057" s="261"/>
      <c r="CG1057" s="261"/>
      <c r="CH1057" s="261"/>
      <c r="CI1057" s="255"/>
      <c r="CJ1057" s="255"/>
      <c r="CK1057" s="261"/>
      <c r="CL1057" s="255"/>
      <c r="CN1057" s="256"/>
      <c r="CO1057" s="256"/>
      <c r="CP1057" s="261"/>
      <c r="CQ1057" s="261"/>
      <c r="CR1057" s="255"/>
      <c r="CS1057" s="261"/>
      <c r="CT1057" s="261"/>
      <c r="CU1057" s="261"/>
      <c r="CV1057" s="261"/>
      <c r="CW1057" s="255"/>
      <c r="CX1057" s="261"/>
      <c r="CY1057" s="255"/>
    </row>
    <row r="1058" spans="1:103" ht="10.25" customHeight="1">
      <c r="A1058" s="270"/>
      <c r="D1058" s="372"/>
      <c r="E1058" s="372"/>
      <c r="F1058" s="272"/>
      <c r="G1058" s="272"/>
      <c r="H1058" s="272"/>
      <c r="I1058" s="273"/>
      <c r="J1058" s="273"/>
      <c r="K1058" s="273"/>
      <c r="L1058" s="275"/>
      <c r="M1058" s="269"/>
      <c r="N1058" s="269"/>
      <c r="O1058" s="63"/>
      <c r="P1058" s="63"/>
      <c r="Q1058" s="63"/>
      <c r="R1058" s="63"/>
      <c r="S1058" s="63"/>
      <c r="T1058" s="63"/>
      <c r="U1058" s="63"/>
      <c r="V1058" s="63"/>
      <c r="W1058" s="63"/>
      <c r="X1058" s="63"/>
      <c r="Y1058" s="63"/>
      <c r="Z1058" s="63"/>
      <c r="AA1058" s="63"/>
      <c r="AB1058" s="63"/>
      <c r="AC1058" s="63"/>
      <c r="AD1058" s="63"/>
      <c r="AE1058" s="63"/>
      <c r="AF1058" s="63"/>
      <c r="AG1058" s="63"/>
      <c r="AH1058" s="63"/>
      <c r="AI1058" s="63"/>
      <c r="AJ1058" s="63"/>
      <c r="AK1058" s="63"/>
      <c r="AL1058" s="63"/>
      <c r="AM1058" s="63"/>
      <c r="AN1058" s="63"/>
      <c r="AO1058" s="63"/>
      <c r="AP1058" s="63"/>
      <c r="AQ1058" s="63"/>
      <c r="CA1058" s="256"/>
      <c r="CB1058" s="261"/>
      <c r="CC1058" s="255"/>
      <c r="CD1058" s="261"/>
      <c r="CE1058" s="261"/>
      <c r="CF1058" s="261"/>
      <c r="CG1058" s="255"/>
      <c r="CH1058" s="255"/>
      <c r="CI1058" s="261"/>
      <c r="CJ1058" s="261"/>
      <c r="CK1058" s="261"/>
      <c r="CL1058" s="255"/>
      <c r="CN1058" s="256"/>
      <c r="CO1058" s="256"/>
      <c r="CP1058" s="261"/>
      <c r="CQ1058" s="261"/>
      <c r="CR1058" s="255"/>
      <c r="CS1058" s="261"/>
      <c r="CT1058" s="261"/>
      <c r="CU1058" s="261"/>
      <c r="CV1058" s="255"/>
      <c r="CW1058" s="261"/>
      <c r="CX1058" s="261"/>
      <c r="CY1058" s="255"/>
    </row>
    <row r="1059" spans="1:103" ht="10.25" customHeight="1">
      <c r="A1059" s="270"/>
      <c r="D1059" s="372"/>
      <c r="E1059" s="372"/>
      <c r="F1059" s="272"/>
      <c r="G1059" s="272"/>
      <c r="H1059" s="272"/>
      <c r="I1059" s="273"/>
      <c r="J1059" s="273"/>
      <c r="K1059" s="273"/>
      <c r="L1059" s="275"/>
      <c r="M1059" s="269"/>
      <c r="N1059" s="269"/>
      <c r="O1059" s="63"/>
      <c r="P1059" s="63"/>
      <c r="Q1059" s="63"/>
      <c r="R1059" s="63"/>
      <c r="S1059" s="63"/>
      <c r="T1059" s="63"/>
      <c r="U1059" s="63"/>
      <c r="V1059" s="63"/>
      <c r="W1059" s="63"/>
      <c r="X1059" s="63"/>
      <c r="Y1059" s="63"/>
      <c r="Z1059" s="63"/>
      <c r="AA1059" s="63"/>
      <c r="AB1059" s="63"/>
      <c r="AC1059" s="63"/>
      <c r="AD1059" s="63"/>
      <c r="AE1059" s="63"/>
      <c r="AF1059" s="63"/>
      <c r="AG1059" s="63"/>
      <c r="AH1059" s="63"/>
      <c r="AI1059" s="63"/>
      <c r="AJ1059" s="63"/>
      <c r="AK1059" s="63"/>
      <c r="AL1059" s="63"/>
      <c r="AM1059" s="63"/>
      <c r="AN1059" s="63"/>
      <c r="AO1059" s="63"/>
      <c r="AP1059" s="63"/>
      <c r="AQ1059" s="63"/>
      <c r="CA1059" s="256"/>
      <c r="CB1059" s="261"/>
      <c r="CC1059" s="255"/>
      <c r="CD1059" s="261"/>
      <c r="CE1059" s="261"/>
      <c r="CF1059" s="261"/>
      <c r="CG1059" s="255"/>
      <c r="CH1059" s="255"/>
      <c r="CI1059" s="261"/>
      <c r="CJ1059" s="261"/>
      <c r="CK1059" s="261"/>
      <c r="CL1059" s="255"/>
      <c r="CN1059" s="256"/>
      <c r="CO1059" s="256"/>
      <c r="CP1059" s="261"/>
      <c r="CQ1059" s="261"/>
      <c r="CR1059" s="255"/>
      <c r="CS1059" s="261"/>
      <c r="CT1059" s="261"/>
      <c r="CU1059" s="261"/>
      <c r="CV1059" s="255"/>
      <c r="CW1059" s="261"/>
      <c r="CX1059" s="261"/>
      <c r="CY1059" s="255"/>
    </row>
    <row r="1060" spans="1:103" ht="10.25" customHeight="1">
      <c r="A1060" s="270"/>
      <c r="D1060" s="372"/>
      <c r="E1060" s="372"/>
      <c r="F1060" s="272"/>
      <c r="G1060" s="272"/>
      <c r="H1060" s="272"/>
      <c r="I1060" s="375"/>
      <c r="J1060" s="375"/>
      <c r="K1060" s="375"/>
      <c r="L1060" s="375"/>
      <c r="M1060" s="269"/>
      <c r="N1060" s="269"/>
      <c r="O1060" s="63"/>
      <c r="P1060" s="63"/>
      <c r="Q1060" s="63"/>
      <c r="R1060" s="63"/>
      <c r="S1060" s="63"/>
      <c r="T1060" s="63"/>
      <c r="U1060" s="63"/>
      <c r="V1060" s="63"/>
      <c r="W1060" s="63"/>
      <c r="X1060" s="63"/>
      <c r="Y1060" s="63"/>
      <c r="Z1060" s="63"/>
      <c r="AA1060" s="63"/>
      <c r="AB1060" s="63"/>
      <c r="AC1060" s="63"/>
      <c r="AD1060" s="63"/>
      <c r="AE1060" s="63"/>
      <c r="AF1060" s="63"/>
      <c r="AG1060" s="63"/>
      <c r="AH1060" s="63"/>
      <c r="AI1060" s="63"/>
      <c r="AJ1060" s="63"/>
      <c r="AK1060" s="63"/>
      <c r="AL1060" s="63"/>
      <c r="AM1060" s="63"/>
      <c r="AN1060" s="63"/>
      <c r="AO1060" s="63"/>
      <c r="AP1060" s="63"/>
      <c r="AQ1060" s="63"/>
      <c r="CA1060" s="256"/>
      <c r="CB1060" s="261"/>
      <c r="CC1060" s="255"/>
      <c r="CD1060" s="261"/>
      <c r="CE1060" s="261"/>
      <c r="CF1060" s="261"/>
      <c r="CG1060" s="261"/>
      <c r="CH1060" s="261"/>
      <c r="CI1060" s="261"/>
      <c r="CJ1060" s="261"/>
      <c r="CK1060" s="261"/>
      <c r="CL1060" s="255"/>
      <c r="CN1060" s="256"/>
      <c r="CO1060" s="256"/>
      <c r="CP1060" s="261"/>
      <c r="CQ1060" s="261"/>
      <c r="CR1060" s="255"/>
      <c r="CS1060" s="261"/>
      <c r="CT1060" s="261"/>
      <c r="CU1060" s="261"/>
      <c r="CV1060" s="261"/>
      <c r="CW1060" s="261"/>
      <c r="CX1060" s="261"/>
      <c r="CY1060" s="255"/>
    </row>
    <row r="1061" spans="1:103" ht="10.25" customHeight="1">
      <c r="A1061" s="270"/>
      <c r="D1061" s="372"/>
      <c r="E1061" s="372"/>
      <c r="H1061" s="209"/>
      <c r="I1061" s="213"/>
      <c r="J1061" s="213"/>
      <c r="K1061" s="213"/>
      <c r="L1061" s="213"/>
      <c r="M1061" s="213"/>
      <c r="N1061" s="213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CA1061" s="256"/>
      <c r="CB1061" s="261"/>
      <c r="CC1061" s="255"/>
      <c r="CD1061" s="261"/>
      <c r="CE1061" s="261"/>
      <c r="CF1061" s="261"/>
      <c r="CG1061" s="261"/>
      <c r="CH1061" s="261"/>
      <c r="CI1061" s="261"/>
      <c r="CJ1061" s="261"/>
      <c r="CK1061" s="261"/>
      <c r="CL1061" s="255"/>
      <c r="CN1061" s="256"/>
      <c r="CO1061" s="256"/>
      <c r="CP1061" s="261"/>
      <c r="CQ1061" s="261"/>
      <c r="CR1061" s="255"/>
      <c r="CS1061" s="261"/>
      <c r="CT1061" s="261"/>
      <c r="CU1061" s="261"/>
      <c r="CV1061" s="261"/>
      <c r="CW1061" s="261"/>
      <c r="CX1061" s="261"/>
      <c r="CY1061" s="255"/>
    </row>
    <row r="1062" spans="1:103" ht="10.25" customHeight="1">
      <c r="A1062" s="270"/>
      <c r="C1062" s="269"/>
      <c r="D1062" s="275"/>
      <c r="E1062" s="275"/>
      <c r="F1062" s="209"/>
      <c r="G1062" s="209"/>
      <c r="H1062" s="209"/>
      <c r="I1062" s="209"/>
      <c r="J1062" s="209"/>
      <c r="K1062" s="209"/>
      <c r="L1062" s="376"/>
      <c r="M1062" s="376"/>
      <c r="N1062" s="279"/>
      <c r="O1062" s="51"/>
      <c r="P1062" s="51"/>
      <c r="Q1062" s="51"/>
      <c r="R1062" s="51"/>
      <c r="S1062" s="51"/>
      <c r="T1062" s="51"/>
      <c r="U1062" s="51"/>
      <c r="V1062" s="51"/>
      <c r="W1062" s="51"/>
      <c r="X1062" s="51"/>
      <c r="Y1062" s="51"/>
      <c r="Z1062" s="51"/>
      <c r="AA1062" s="51"/>
      <c r="AB1062" s="51"/>
      <c r="AC1062" s="51"/>
      <c r="AD1062" s="51"/>
      <c r="AE1062" s="51"/>
      <c r="AF1062" s="51"/>
      <c r="AG1062" s="51"/>
      <c r="AH1062" s="51"/>
      <c r="AI1062" s="51"/>
      <c r="AJ1062" s="51"/>
      <c r="AK1062" s="51"/>
      <c r="AL1062" s="51"/>
      <c r="AM1062" s="51"/>
      <c r="AN1062" s="51"/>
      <c r="AO1062" s="51"/>
      <c r="AP1062" s="51"/>
      <c r="AQ1062" s="51"/>
      <c r="CA1062" s="256"/>
      <c r="CB1062" s="261"/>
      <c r="CC1062" s="255"/>
      <c r="CD1062" s="261"/>
      <c r="CE1062" s="261"/>
      <c r="CF1062" s="261"/>
      <c r="CG1062" s="261"/>
      <c r="CH1062" s="261"/>
      <c r="CI1062" s="261"/>
      <c r="CJ1062" s="261"/>
      <c r="CK1062" s="261"/>
      <c r="CL1062" s="255"/>
      <c r="CN1062" s="256"/>
      <c r="CO1062" s="256"/>
      <c r="CP1062" s="261"/>
      <c r="CQ1062" s="261"/>
      <c r="CR1062" s="255"/>
      <c r="CS1062" s="261"/>
      <c r="CT1062" s="261"/>
      <c r="CU1062" s="261"/>
      <c r="CV1062" s="261"/>
      <c r="CW1062" s="261"/>
      <c r="CX1062" s="261"/>
      <c r="CY1062" s="255"/>
    </row>
    <row r="1063" spans="1:103" ht="10.25" customHeight="1">
      <c r="A1063" s="270"/>
      <c r="C1063" s="269"/>
      <c r="D1063" s="269"/>
      <c r="F1063" s="209"/>
      <c r="G1063" s="209"/>
      <c r="H1063" s="276"/>
      <c r="I1063" s="276"/>
      <c r="J1063" s="276"/>
      <c r="K1063" s="276"/>
      <c r="L1063" s="374"/>
      <c r="M1063" s="374"/>
      <c r="N1063" s="213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CA1063" s="256"/>
      <c r="CB1063" s="261"/>
      <c r="CC1063" s="255"/>
      <c r="CD1063" s="261"/>
      <c r="CE1063" s="261"/>
      <c r="CF1063" s="261"/>
      <c r="CG1063" s="261"/>
      <c r="CH1063" s="261"/>
      <c r="CI1063" s="261"/>
      <c r="CJ1063" s="261"/>
      <c r="CK1063" s="261"/>
      <c r="CL1063" s="255"/>
      <c r="CN1063" s="256"/>
      <c r="CO1063" s="256"/>
      <c r="CP1063" s="261"/>
      <c r="CQ1063" s="261"/>
      <c r="CR1063" s="255"/>
      <c r="CS1063" s="261"/>
      <c r="CT1063" s="261"/>
      <c r="CU1063" s="261"/>
      <c r="CV1063" s="261"/>
      <c r="CW1063" s="261"/>
      <c r="CX1063" s="261"/>
      <c r="CY1063" s="255"/>
    </row>
    <row r="1064" spans="1:103" ht="10.25" customHeight="1">
      <c r="A1064" s="270"/>
      <c r="D1064" s="269"/>
      <c r="F1064" s="208"/>
      <c r="G1064" s="208"/>
      <c r="H1064" s="277"/>
      <c r="I1064" s="277"/>
      <c r="J1064" s="277"/>
      <c r="K1064" s="277"/>
      <c r="L1064" s="372"/>
      <c r="M1064" s="372"/>
      <c r="N1064" s="214"/>
      <c r="O1064" s="41"/>
      <c r="P1064" s="41"/>
      <c r="Q1064" s="41"/>
      <c r="R1064" s="41"/>
      <c r="S1064" s="41"/>
      <c r="T1064" s="41"/>
      <c r="U1064" s="41"/>
      <c r="V1064" s="41"/>
      <c r="W1064" s="41"/>
      <c r="X1064" s="41"/>
      <c r="Y1064" s="41"/>
      <c r="Z1064" s="41"/>
      <c r="AA1064" s="41"/>
      <c r="AB1064" s="41"/>
      <c r="AC1064" s="41"/>
      <c r="AD1064" s="41"/>
      <c r="AE1064" s="41"/>
      <c r="AF1064" s="41"/>
      <c r="AG1064" s="41"/>
      <c r="AH1064" s="41"/>
      <c r="AI1064" s="41"/>
      <c r="AJ1064" s="41"/>
      <c r="AK1064" s="41"/>
      <c r="AL1064" s="41"/>
      <c r="AM1064" s="41"/>
      <c r="AN1064" s="41"/>
      <c r="AO1064" s="41"/>
      <c r="AP1064" s="41"/>
      <c r="AQ1064" s="41"/>
      <c r="CA1064" s="256"/>
      <c r="CB1064" s="261"/>
      <c r="CC1064" s="255"/>
      <c r="CD1064" s="261"/>
      <c r="CE1064" s="261"/>
      <c r="CF1064" s="261"/>
      <c r="CG1064" s="261"/>
      <c r="CH1064" s="261"/>
      <c r="CI1064" s="261"/>
      <c r="CJ1064" s="261"/>
      <c r="CK1064" s="261"/>
      <c r="CL1064" s="255"/>
      <c r="CN1064" s="256"/>
      <c r="CO1064" s="256"/>
      <c r="CP1064" s="261"/>
      <c r="CQ1064" s="261"/>
      <c r="CR1064" s="255"/>
      <c r="CS1064" s="261"/>
      <c r="CT1064" s="261"/>
      <c r="CU1064" s="261"/>
      <c r="CV1064" s="261"/>
      <c r="CW1064" s="261"/>
      <c r="CX1064" s="261"/>
      <c r="CY1064" s="255"/>
    </row>
    <row r="1065" spans="1:103" ht="10.25" customHeight="1">
      <c r="CA1065" s="256"/>
      <c r="CB1065" s="261"/>
      <c r="CC1065" s="255"/>
      <c r="CD1065" s="261"/>
      <c r="CE1065" s="261"/>
      <c r="CF1065" s="255"/>
      <c r="CG1065" s="261"/>
      <c r="CH1065" s="261"/>
      <c r="CI1065" s="261"/>
      <c r="CJ1065" s="261"/>
      <c r="CK1065" s="261"/>
      <c r="CL1065" s="255"/>
      <c r="CN1065" s="256"/>
      <c r="CO1065" s="256"/>
      <c r="CP1065" s="261"/>
      <c r="CQ1065" s="261"/>
      <c r="CR1065" s="255"/>
      <c r="CS1065" s="261"/>
      <c r="CT1065" s="261"/>
      <c r="CU1065" s="255"/>
      <c r="CV1065" s="261"/>
      <c r="CW1065" s="261"/>
      <c r="CX1065" s="261"/>
      <c r="CY1065" s="255"/>
    </row>
    <row r="1066" spans="1:103" ht="10.25" customHeight="1">
      <c r="C1066" s="278"/>
      <c r="CA1066" s="256"/>
      <c r="CB1066" s="261"/>
      <c r="CC1066" s="255"/>
      <c r="CD1066" s="261"/>
      <c r="CE1066" s="261"/>
      <c r="CF1066" s="255"/>
      <c r="CG1066" s="261"/>
      <c r="CH1066" s="261"/>
      <c r="CI1066" s="261"/>
      <c r="CJ1066" s="261"/>
      <c r="CK1066" s="261"/>
      <c r="CL1066" s="255"/>
      <c r="CN1066" s="256"/>
      <c r="CO1066" s="256"/>
      <c r="CP1066" s="261"/>
      <c r="CQ1066" s="261"/>
      <c r="CR1066" s="255"/>
      <c r="CS1066" s="261"/>
      <c r="CT1066" s="261"/>
      <c r="CU1066" s="255"/>
      <c r="CV1066" s="261"/>
      <c r="CW1066" s="261"/>
      <c r="CX1066" s="261"/>
      <c r="CY1066" s="255"/>
    </row>
    <row r="1067" spans="1:103" ht="10.25" customHeight="1">
      <c r="C1067" s="278"/>
      <c r="F1067" s="377"/>
      <c r="G1067" s="377"/>
      <c r="H1067" s="377"/>
      <c r="I1067" s="377"/>
      <c r="J1067" s="377"/>
      <c r="K1067" s="377"/>
      <c r="L1067" s="377"/>
      <c r="M1067" s="377"/>
      <c r="N1067" s="269"/>
      <c r="O1067" s="63"/>
      <c r="P1067" s="63"/>
      <c r="Q1067" s="63"/>
      <c r="R1067" s="63"/>
      <c r="S1067" s="63"/>
      <c r="T1067" s="63"/>
      <c r="U1067" s="63"/>
      <c r="V1067" s="63"/>
      <c r="W1067" s="63"/>
      <c r="X1067" s="63"/>
      <c r="Y1067" s="63"/>
      <c r="Z1067" s="63"/>
      <c r="AA1067" s="63"/>
      <c r="AB1067" s="63"/>
      <c r="AC1067" s="63"/>
      <c r="AD1067" s="63"/>
      <c r="AE1067" s="63"/>
      <c r="AF1067" s="63"/>
      <c r="AG1067" s="63"/>
      <c r="AH1067" s="63"/>
      <c r="AI1067" s="63"/>
      <c r="AJ1067" s="63"/>
      <c r="AK1067" s="63"/>
      <c r="AL1067" s="63"/>
      <c r="AM1067" s="63"/>
      <c r="AN1067" s="63"/>
      <c r="AO1067" s="63"/>
      <c r="AP1067" s="63"/>
      <c r="AQ1067" s="63"/>
      <c r="CA1067" s="256"/>
      <c r="CB1067" s="261"/>
      <c r="CC1067" s="255"/>
      <c r="CD1067" s="261"/>
      <c r="CE1067" s="261"/>
      <c r="CF1067" s="255"/>
      <c r="CG1067" s="261"/>
      <c r="CH1067" s="261"/>
      <c r="CI1067" s="261"/>
      <c r="CJ1067" s="261"/>
      <c r="CK1067" s="261"/>
      <c r="CL1067" s="255"/>
      <c r="CN1067" s="256"/>
      <c r="CO1067" s="256"/>
      <c r="CP1067" s="261"/>
      <c r="CQ1067" s="261"/>
      <c r="CR1067" s="255"/>
      <c r="CS1067" s="261"/>
      <c r="CT1067" s="261"/>
      <c r="CU1067" s="255"/>
      <c r="CV1067" s="261"/>
      <c r="CW1067" s="261"/>
      <c r="CX1067" s="261"/>
      <c r="CY1067" s="255"/>
    </row>
    <row r="1068" spans="1:103" ht="10.4" customHeight="1">
      <c r="C1068" s="278"/>
      <c r="F1068" s="377"/>
      <c r="G1068" s="377"/>
      <c r="H1068" s="377"/>
      <c r="I1068" s="377"/>
      <c r="J1068" s="377"/>
      <c r="K1068" s="377"/>
      <c r="L1068" s="377"/>
      <c r="M1068" s="377"/>
      <c r="N1068" s="269"/>
      <c r="O1068" s="63"/>
      <c r="P1068" s="63"/>
      <c r="Q1068" s="63"/>
      <c r="R1068" s="63"/>
      <c r="S1068" s="63"/>
      <c r="T1068" s="63"/>
      <c r="U1068" s="63"/>
      <c r="V1068" s="63"/>
      <c r="W1068" s="63"/>
      <c r="X1068" s="63"/>
      <c r="Y1068" s="63"/>
      <c r="Z1068" s="63"/>
      <c r="AA1068" s="63"/>
      <c r="AB1068" s="63"/>
      <c r="AC1068" s="63"/>
      <c r="AD1068" s="63"/>
      <c r="AE1068" s="63"/>
      <c r="AF1068" s="63"/>
      <c r="AG1068" s="63"/>
      <c r="AH1068" s="63"/>
      <c r="AI1068" s="63"/>
      <c r="AJ1068" s="63"/>
      <c r="AK1068" s="63"/>
      <c r="AL1068" s="63"/>
      <c r="AM1068" s="63"/>
      <c r="AN1068" s="63"/>
      <c r="AO1068" s="63"/>
      <c r="AP1068" s="63"/>
      <c r="AQ1068" s="63"/>
      <c r="AS1068" s="236"/>
      <c r="BE1068" s="63"/>
      <c r="BF1068" s="63"/>
      <c r="BG1068" s="63"/>
      <c r="BK1068" s="317"/>
      <c r="BL1068" s="5"/>
      <c r="BM1068" s="5"/>
      <c r="BN1068" s="5"/>
      <c r="BO1068" s="5"/>
      <c r="BP1068" s="5"/>
      <c r="BQ1068" s="5"/>
      <c r="BR1068" s="5"/>
      <c r="BS1068" s="5"/>
      <c r="BT1068" s="5"/>
      <c r="BV1068" s="317"/>
      <c r="CF1068" s="5"/>
      <c r="CG1068" s="5"/>
      <c r="CH1068" s="5"/>
      <c r="CI1068" s="5"/>
      <c r="CJ1068" s="5"/>
      <c r="CK1068" s="5"/>
      <c r="CL1068" s="5"/>
    </row>
    <row r="1069" spans="1:103" ht="10.25" customHeight="1">
      <c r="A1069" s="377"/>
      <c r="B1069" s="377"/>
      <c r="C1069" s="377"/>
      <c r="D1069" s="377"/>
      <c r="E1069" s="377"/>
      <c r="F1069" s="377"/>
      <c r="G1069" s="377"/>
      <c r="H1069" s="377"/>
      <c r="I1069" s="377"/>
      <c r="J1069" s="377"/>
      <c r="K1069" s="377"/>
      <c r="L1069" s="377"/>
      <c r="M1069" s="377"/>
      <c r="N1069" s="269"/>
      <c r="O1069" s="63"/>
      <c r="P1069" s="63"/>
      <c r="Q1069" s="63"/>
      <c r="R1069" s="63"/>
      <c r="S1069" s="63"/>
      <c r="T1069" s="63"/>
      <c r="U1069" s="63"/>
      <c r="V1069" s="63"/>
      <c r="W1069" s="63"/>
      <c r="X1069" s="63"/>
      <c r="Y1069" s="63"/>
      <c r="Z1069" s="63"/>
      <c r="AA1069" s="63"/>
      <c r="AB1069" s="63"/>
      <c r="AC1069" s="63"/>
      <c r="AD1069" s="63"/>
      <c r="AE1069" s="63"/>
      <c r="AF1069" s="63"/>
      <c r="AG1069" s="63"/>
      <c r="AH1069" s="63"/>
      <c r="AI1069" s="63"/>
      <c r="AJ1069" s="63"/>
      <c r="AK1069" s="63"/>
      <c r="AL1069" s="63"/>
      <c r="AM1069" s="63"/>
      <c r="AN1069" s="63"/>
      <c r="AO1069" s="63"/>
      <c r="AP1069" s="63"/>
      <c r="AQ1069" s="63"/>
      <c r="BE1069" s="63"/>
      <c r="BF1069" s="63"/>
      <c r="BG1069" s="63"/>
      <c r="BK1069" s="317"/>
      <c r="BL1069" s="5"/>
      <c r="BM1069" s="5"/>
      <c r="BN1069" s="5"/>
      <c r="BO1069" s="5"/>
      <c r="BP1069" s="5"/>
      <c r="BQ1069" s="5"/>
      <c r="BR1069" s="5"/>
      <c r="BS1069" s="5"/>
      <c r="BT1069" s="5"/>
      <c r="BV1069" s="317"/>
      <c r="CF1069" s="5"/>
      <c r="CG1069" s="5"/>
      <c r="CH1069" s="5"/>
      <c r="CI1069" s="5"/>
      <c r="CJ1069" s="5"/>
      <c r="CK1069" s="5"/>
      <c r="CL1069" s="5"/>
    </row>
    <row r="1070" spans="1:103" ht="10.25" customHeight="1">
      <c r="A1070" s="376"/>
      <c r="B1070" s="376"/>
      <c r="C1070" s="376"/>
      <c r="D1070" s="376"/>
      <c r="E1070" s="376"/>
      <c r="F1070" s="376"/>
      <c r="G1070" s="376"/>
      <c r="H1070" s="376"/>
      <c r="I1070" s="376"/>
      <c r="J1070" s="376"/>
      <c r="K1070" s="376"/>
      <c r="L1070" s="376"/>
      <c r="M1070" s="376"/>
      <c r="N1070" s="279"/>
      <c r="O1070" s="51"/>
      <c r="P1070" s="51"/>
      <c r="Q1070" s="51"/>
      <c r="R1070" s="51"/>
      <c r="S1070" s="51"/>
      <c r="T1070" s="51"/>
      <c r="U1070" s="51"/>
      <c r="V1070" s="51"/>
      <c r="W1070" s="51"/>
      <c r="X1070" s="51"/>
      <c r="Y1070" s="51"/>
      <c r="Z1070" s="51"/>
      <c r="AA1070" s="51"/>
      <c r="AB1070" s="51"/>
      <c r="AC1070" s="51"/>
      <c r="AD1070" s="51"/>
      <c r="AE1070" s="51"/>
      <c r="AF1070" s="51"/>
      <c r="AG1070" s="51"/>
      <c r="AH1070" s="51"/>
      <c r="AI1070" s="51"/>
      <c r="AJ1070" s="51"/>
      <c r="AK1070" s="51"/>
      <c r="AL1070" s="51"/>
      <c r="AM1070" s="51"/>
      <c r="AN1070" s="51"/>
      <c r="AO1070" s="51"/>
      <c r="AP1070" s="51"/>
      <c r="AQ1070" s="51"/>
      <c r="BE1070" s="63"/>
      <c r="BF1070" s="63"/>
      <c r="BG1070" s="63"/>
      <c r="BK1070" s="317"/>
      <c r="BL1070" s="5"/>
      <c r="BM1070" s="5"/>
      <c r="BN1070" s="5"/>
      <c r="BO1070" s="5"/>
      <c r="BP1070" s="5"/>
      <c r="BQ1070" s="5"/>
      <c r="BR1070" s="5"/>
      <c r="BS1070" s="5"/>
      <c r="BT1070" s="5"/>
      <c r="BV1070" s="317"/>
      <c r="CF1070" s="5"/>
      <c r="CG1070" s="5"/>
      <c r="CH1070" s="5"/>
      <c r="CI1070" s="5"/>
      <c r="CJ1070" s="5"/>
      <c r="CK1070" s="5"/>
      <c r="CL1070" s="5"/>
    </row>
    <row r="1071" spans="1:103" ht="10.25" customHeight="1">
      <c r="A1071" s="374"/>
      <c r="B1071" s="374"/>
      <c r="C1071" s="374"/>
      <c r="D1071" s="374"/>
      <c r="E1071" s="374"/>
      <c r="F1071" s="374"/>
      <c r="G1071" s="374"/>
      <c r="H1071" s="374"/>
      <c r="I1071" s="374"/>
      <c r="J1071" s="374"/>
      <c r="K1071" s="374"/>
      <c r="L1071" s="374"/>
      <c r="M1071" s="374"/>
      <c r="N1071" s="213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BE1071" s="63"/>
      <c r="BF1071" s="63"/>
      <c r="BG1071" s="63"/>
      <c r="BK1071" s="317"/>
      <c r="BL1071" s="5"/>
      <c r="BM1071" s="5"/>
      <c r="BN1071" s="5"/>
      <c r="BO1071" s="5"/>
      <c r="BP1071" s="5"/>
      <c r="BQ1071" s="5"/>
      <c r="BR1071" s="5"/>
      <c r="BS1071" s="5"/>
      <c r="BT1071" s="5"/>
      <c r="BV1071" s="317"/>
      <c r="CF1071" s="5"/>
      <c r="CG1071" s="5"/>
      <c r="CH1071" s="5"/>
      <c r="CI1071" s="5"/>
      <c r="CJ1071" s="5"/>
      <c r="CK1071" s="5"/>
      <c r="CL1071" s="5"/>
    </row>
    <row r="1072" spans="1:103" ht="6" customHeight="1">
      <c r="A1072" s="208"/>
      <c r="B1072" s="209"/>
      <c r="C1072" s="209"/>
      <c r="D1072" s="209"/>
      <c r="E1072" s="209"/>
      <c r="F1072" s="280"/>
      <c r="G1072" s="280"/>
      <c r="H1072" s="280"/>
      <c r="I1072" s="280"/>
      <c r="J1072" s="280"/>
      <c r="K1072" s="280"/>
      <c r="L1072" s="280"/>
      <c r="M1072" s="280"/>
      <c r="N1072" s="280"/>
      <c r="O1072" s="42"/>
      <c r="P1072" s="42"/>
      <c r="Q1072" s="42"/>
      <c r="R1072" s="42"/>
      <c r="S1072" s="42"/>
      <c r="T1072" s="42"/>
      <c r="U1072" s="42"/>
      <c r="V1072" s="42"/>
      <c r="W1072" s="42"/>
      <c r="X1072" s="42"/>
      <c r="Y1072" s="42"/>
      <c r="Z1072" s="42"/>
      <c r="AA1072" s="42"/>
      <c r="AB1072" s="42"/>
      <c r="AC1072" s="42"/>
      <c r="AD1072" s="42"/>
      <c r="AE1072" s="42"/>
      <c r="AF1072" s="42"/>
      <c r="AG1072" s="42"/>
      <c r="AH1072" s="42"/>
      <c r="AI1072" s="42"/>
      <c r="AJ1072" s="42"/>
      <c r="AK1072" s="42"/>
      <c r="AL1072" s="42"/>
      <c r="AM1072" s="42"/>
      <c r="AN1072" s="42"/>
      <c r="AO1072" s="42"/>
      <c r="AP1072" s="42"/>
      <c r="AQ1072" s="42"/>
      <c r="BK1072" s="317"/>
      <c r="BL1072" s="5"/>
      <c r="BM1072" s="5"/>
      <c r="BN1072" s="5"/>
      <c r="BO1072" s="5"/>
      <c r="BP1072" s="5"/>
      <c r="BQ1072" s="5"/>
      <c r="BR1072" s="5"/>
      <c r="BS1072" s="5"/>
      <c r="BT1072" s="5"/>
      <c r="BV1072" s="317"/>
      <c r="CF1072" s="5"/>
      <c r="CG1072" s="5"/>
      <c r="CH1072" s="5"/>
      <c r="CI1072" s="5"/>
      <c r="CJ1072" s="5"/>
      <c r="CK1072" s="5"/>
      <c r="CL1072" s="5"/>
    </row>
    <row r="1073" spans="1:103" ht="10.25" customHeight="1">
      <c r="A1073" s="208"/>
      <c r="B1073" s="209"/>
      <c r="C1073" s="209"/>
      <c r="D1073" s="210"/>
      <c r="E1073" s="211"/>
      <c r="F1073" s="369"/>
      <c r="G1073" s="369"/>
      <c r="H1073" s="369"/>
      <c r="I1073" s="369"/>
      <c r="J1073" s="369"/>
      <c r="K1073" s="369"/>
      <c r="L1073" s="369"/>
      <c r="M1073" s="230"/>
      <c r="N1073" s="230"/>
      <c r="O1073" s="235"/>
      <c r="P1073" s="235"/>
      <c r="Q1073" s="235"/>
      <c r="R1073" s="235"/>
      <c r="S1073" s="235"/>
      <c r="T1073" s="235"/>
      <c r="U1073" s="235"/>
      <c r="V1073" s="235"/>
      <c r="W1073" s="235"/>
      <c r="X1073" s="235"/>
      <c r="Y1073" s="235"/>
      <c r="Z1073" s="235"/>
      <c r="AA1073" s="235"/>
      <c r="AB1073" s="235"/>
      <c r="AC1073" s="235"/>
      <c r="AD1073" s="235"/>
      <c r="AE1073" s="235"/>
      <c r="AF1073" s="235"/>
      <c r="AG1073" s="235"/>
      <c r="AH1073" s="235"/>
      <c r="AI1073" s="235"/>
      <c r="AJ1073" s="235"/>
      <c r="AK1073" s="235"/>
      <c r="AL1073" s="235"/>
      <c r="AM1073" s="235"/>
      <c r="AN1073" s="235"/>
      <c r="AO1073" s="235"/>
      <c r="AP1073" s="235"/>
      <c r="AQ1073" s="235"/>
      <c r="BK1073" s="317"/>
      <c r="BL1073" s="5"/>
      <c r="BM1073" s="5"/>
      <c r="BN1073" s="5"/>
      <c r="BO1073" s="5"/>
      <c r="BP1073" s="5"/>
      <c r="BQ1073" s="5"/>
      <c r="BR1073" s="5"/>
      <c r="BS1073" s="5"/>
      <c r="BT1073" s="5"/>
      <c r="BV1073" s="317"/>
      <c r="CF1073" s="5"/>
      <c r="CG1073" s="5"/>
      <c r="CH1073" s="5"/>
      <c r="CI1073" s="5"/>
      <c r="CJ1073" s="5"/>
      <c r="CK1073" s="5"/>
      <c r="CL1073" s="5"/>
    </row>
    <row r="1074" spans="1:103" ht="2" customHeight="1">
      <c r="A1074" s="209"/>
      <c r="B1074" s="209"/>
      <c r="C1074" s="212"/>
      <c r="D1074" s="213"/>
      <c r="E1074" s="209"/>
      <c r="F1074" s="209"/>
      <c r="G1074" s="209"/>
      <c r="H1074" s="209"/>
      <c r="I1074" s="209"/>
      <c r="J1074" s="209"/>
      <c r="K1074" s="209"/>
      <c r="L1074" s="209"/>
      <c r="M1074" s="209"/>
      <c r="N1074" s="209"/>
      <c r="O1074" s="46"/>
      <c r="P1074" s="46"/>
      <c r="Q1074" s="46"/>
      <c r="R1074" s="46"/>
      <c r="S1074" s="46"/>
      <c r="T1074" s="46"/>
      <c r="U1074" s="46"/>
      <c r="V1074" s="46"/>
      <c r="W1074" s="46"/>
      <c r="X1074" s="46"/>
      <c r="Y1074" s="46"/>
      <c r="Z1074" s="46"/>
      <c r="AA1074" s="46"/>
      <c r="AB1074" s="46"/>
      <c r="AC1074" s="46"/>
      <c r="AD1074" s="46"/>
      <c r="AE1074" s="46"/>
      <c r="AF1074" s="46"/>
      <c r="AG1074" s="46"/>
      <c r="AH1074" s="46"/>
      <c r="AI1074" s="46"/>
      <c r="AJ1074" s="46"/>
      <c r="AK1074" s="46"/>
      <c r="AL1074" s="46"/>
      <c r="AM1074" s="46"/>
      <c r="AN1074" s="46"/>
      <c r="AO1074" s="46"/>
      <c r="AP1074" s="46"/>
      <c r="AQ1074" s="46"/>
      <c r="BK1074" s="317"/>
      <c r="BL1074" s="5"/>
      <c r="BM1074" s="5"/>
      <c r="BN1074" s="5"/>
      <c r="BO1074" s="5"/>
      <c r="BP1074" s="5"/>
      <c r="BQ1074" s="5"/>
      <c r="BR1074" s="5"/>
      <c r="BS1074" s="5"/>
      <c r="BT1074" s="5"/>
      <c r="BV1074" s="317"/>
      <c r="CF1074" s="5"/>
      <c r="CG1074" s="5"/>
      <c r="CH1074" s="5"/>
      <c r="CI1074" s="5"/>
      <c r="CJ1074" s="5"/>
      <c r="CK1074" s="5"/>
      <c r="CL1074" s="5"/>
    </row>
    <row r="1075" spans="1:103" ht="26.4" customHeight="1">
      <c r="A1075" s="374"/>
      <c r="B1075" s="374"/>
      <c r="C1075" s="374"/>
      <c r="D1075" s="372"/>
      <c r="E1075" s="373"/>
      <c r="F1075" s="370"/>
      <c r="G1075" s="215"/>
      <c r="H1075" s="373"/>
      <c r="I1075" s="370"/>
      <c r="J1075" s="370"/>
      <c r="K1075" s="370"/>
      <c r="L1075" s="373"/>
      <c r="M1075" s="374"/>
      <c r="N1075" s="213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BK1075" s="317"/>
      <c r="BL1075" s="5"/>
      <c r="BM1075" s="5"/>
      <c r="BN1075" s="5"/>
      <c r="BO1075" s="5"/>
      <c r="BP1075" s="5"/>
      <c r="BQ1075" s="5"/>
      <c r="BR1075" s="5"/>
      <c r="BS1075" s="5"/>
      <c r="BT1075" s="5"/>
      <c r="BV1075" s="317"/>
      <c r="CF1075" s="5"/>
      <c r="CG1075" s="5"/>
      <c r="CH1075" s="5"/>
      <c r="CI1075" s="5"/>
      <c r="CJ1075" s="5"/>
      <c r="CK1075" s="5"/>
      <c r="CL1075" s="5"/>
    </row>
    <row r="1076" spans="1:103" ht="9.65" customHeight="1">
      <c r="A1076" s="374"/>
      <c r="B1076" s="374"/>
      <c r="C1076" s="374"/>
      <c r="D1076" s="372"/>
      <c r="E1076" s="373"/>
      <c r="F1076" s="370"/>
      <c r="G1076" s="215"/>
      <c r="H1076" s="373"/>
      <c r="I1076" s="233"/>
      <c r="J1076" s="233"/>
      <c r="K1076" s="233"/>
      <c r="L1076" s="373"/>
      <c r="M1076" s="374"/>
      <c r="N1076" s="213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  <c r="BK1076" s="317"/>
      <c r="BL1076" s="5"/>
      <c r="BM1076" s="5"/>
      <c r="BN1076" s="5"/>
      <c r="BO1076" s="5"/>
      <c r="BP1076" s="5"/>
      <c r="BQ1076" s="5"/>
      <c r="BR1076" s="5"/>
      <c r="BS1076" s="5"/>
      <c r="BT1076" s="5"/>
      <c r="BV1076" s="317"/>
      <c r="CF1076" s="5"/>
      <c r="CG1076" s="5"/>
      <c r="CH1076" s="5"/>
      <c r="CI1076" s="5"/>
      <c r="CJ1076" s="5"/>
      <c r="CK1076" s="5"/>
      <c r="CL1076" s="5"/>
    </row>
    <row r="1077" spans="1:103" ht="10.25" customHeight="1">
      <c r="A1077" s="216"/>
      <c r="B1077" s="217"/>
      <c r="C1077" s="218"/>
      <c r="D1077" s="219"/>
      <c r="E1077" s="217"/>
      <c r="F1077" s="217"/>
      <c r="G1077" s="217"/>
      <c r="H1077" s="220"/>
      <c r="I1077" s="217"/>
      <c r="J1077" s="217"/>
      <c r="K1077" s="217"/>
      <c r="L1077" s="217"/>
      <c r="M1077" s="217"/>
      <c r="N1077" s="217"/>
      <c r="O1077" s="44"/>
      <c r="P1077" s="44"/>
      <c r="Q1077" s="44"/>
      <c r="R1077" s="44"/>
      <c r="S1077" s="44"/>
      <c r="T1077" s="44"/>
      <c r="U1077" s="44"/>
      <c r="V1077" s="44"/>
      <c r="W1077" s="44"/>
      <c r="X1077" s="44"/>
      <c r="Y1077" s="44"/>
      <c r="Z1077" s="44"/>
      <c r="AA1077" s="44"/>
      <c r="AB1077" s="44"/>
      <c r="AC1077" s="44"/>
      <c r="AD1077" s="44"/>
      <c r="AE1077" s="44"/>
      <c r="AF1077" s="44"/>
      <c r="AG1077" s="44"/>
      <c r="AH1077" s="44"/>
      <c r="AI1077" s="44"/>
      <c r="AJ1077" s="44"/>
      <c r="AK1077" s="44"/>
      <c r="AL1077" s="44"/>
      <c r="AM1077" s="44"/>
      <c r="AN1077" s="44"/>
      <c r="AO1077" s="44"/>
      <c r="AP1077" s="44"/>
      <c r="AQ1077" s="44"/>
      <c r="BA1077" s="5"/>
      <c r="BB1077" s="5"/>
      <c r="BC1077" s="5"/>
      <c r="BD1077" s="5"/>
      <c r="BE1077" s="63"/>
      <c r="BF1077" s="63"/>
      <c r="BG1077" s="63"/>
      <c r="BK1077" s="317"/>
      <c r="BL1077" s="5"/>
      <c r="BM1077" s="5"/>
      <c r="BN1077" s="5"/>
      <c r="BO1077" s="5"/>
      <c r="BP1077" s="5"/>
      <c r="BQ1077" s="5"/>
      <c r="BR1077" s="5"/>
      <c r="BS1077" s="5"/>
      <c r="BT1077" s="5"/>
      <c r="BV1077" s="317"/>
      <c r="CF1077" s="5"/>
      <c r="CG1077" s="53"/>
      <c r="CH1077" s="53"/>
      <c r="CI1077" s="53"/>
      <c r="CJ1077" s="53"/>
      <c r="CK1077" s="53"/>
      <c r="CL1077" s="53"/>
      <c r="CN1077" s="53"/>
      <c r="CO1077" s="53"/>
      <c r="CP1077" s="53"/>
      <c r="CQ1077" s="53"/>
      <c r="CR1077" s="53"/>
      <c r="CS1077" s="53"/>
    </row>
    <row r="1078" spans="1:103" ht="10.25" customHeight="1">
      <c r="A1078" s="216"/>
      <c r="B1078" s="217"/>
      <c r="C1078" s="218"/>
      <c r="D1078" s="219"/>
      <c r="E1078" s="217"/>
      <c r="F1078" s="217"/>
      <c r="G1078" s="217"/>
      <c r="H1078" s="220"/>
      <c r="I1078" s="217"/>
      <c r="J1078" s="217"/>
      <c r="K1078" s="217"/>
      <c r="L1078" s="217"/>
      <c r="M1078" s="217"/>
      <c r="N1078" s="217"/>
      <c r="O1078" s="44"/>
      <c r="P1078" s="44"/>
      <c r="Q1078" s="44"/>
      <c r="R1078" s="44"/>
      <c r="S1078" s="44"/>
      <c r="T1078" s="44"/>
      <c r="U1078" s="44"/>
      <c r="V1078" s="44"/>
      <c r="W1078" s="44"/>
      <c r="X1078" s="44"/>
      <c r="Y1078" s="44"/>
      <c r="Z1078" s="44"/>
      <c r="AA1078" s="44"/>
      <c r="AB1078" s="44"/>
      <c r="AC1078" s="44"/>
      <c r="AD1078" s="44"/>
      <c r="AE1078" s="44"/>
      <c r="AF1078" s="44"/>
      <c r="AG1078" s="44"/>
      <c r="AH1078" s="44"/>
      <c r="AI1078" s="44"/>
      <c r="AJ1078" s="44"/>
      <c r="AK1078" s="44"/>
      <c r="AL1078" s="44"/>
      <c r="AM1078" s="44"/>
      <c r="AN1078" s="44"/>
      <c r="AO1078" s="44"/>
      <c r="AP1078" s="44"/>
      <c r="AQ1078" s="44"/>
      <c r="BA1078" s="5"/>
      <c r="BB1078" s="5"/>
      <c r="BC1078" s="5"/>
      <c r="BD1078" s="5"/>
      <c r="BE1078" s="63"/>
      <c r="BF1078" s="63"/>
      <c r="BG1078" s="63"/>
      <c r="BK1078" s="317"/>
      <c r="BL1078" s="5"/>
      <c r="BM1078" s="5"/>
      <c r="BN1078" s="5"/>
      <c r="BO1078" s="5"/>
      <c r="BP1078" s="5"/>
      <c r="BQ1078" s="5"/>
      <c r="BR1078" s="5"/>
      <c r="BS1078" s="5"/>
      <c r="BT1078" s="5"/>
      <c r="BV1078" s="317"/>
      <c r="CF1078" s="5"/>
      <c r="CG1078" s="53"/>
      <c r="CH1078" s="53"/>
      <c r="CI1078" s="53"/>
      <c r="CJ1078" s="53"/>
      <c r="CK1078" s="53"/>
      <c r="CL1078" s="53"/>
      <c r="CN1078" s="53"/>
      <c r="CO1078" s="53"/>
      <c r="CP1078" s="53"/>
      <c r="CQ1078" s="53"/>
      <c r="CR1078" s="53"/>
      <c r="CS1078" s="53"/>
    </row>
    <row r="1079" spans="1:103" ht="10.25" customHeight="1">
      <c r="A1079" s="216"/>
      <c r="B1079" s="217"/>
      <c r="C1079" s="218"/>
      <c r="D1079" s="219"/>
      <c r="E1079" s="217"/>
      <c r="F1079" s="217"/>
      <c r="G1079" s="217"/>
      <c r="H1079" s="220"/>
      <c r="I1079" s="217"/>
      <c r="J1079" s="217"/>
      <c r="K1079" s="217"/>
      <c r="L1079" s="217"/>
      <c r="M1079" s="217"/>
      <c r="N1079" s="217"/>
      <c r="O1079" s="44"/>
      <c r="P1079" s="44"/>
      <c r="Q1079" s="44"/>
      <c r="R1079" s="44"/>
      <c r="S1079" s="44"/>
      <c r="T1079" s="44"/>
      <c r="U1079" s="44"/>
      <c r="V1079" s="44"/>
      <c r="W1079" s="44"/>
      <c r="X1079" s="44"/>
      <c r="Y1079" s="44"/>
      <c r="Z1079" s="44"/>
      <c r="AA1079" s="44"/>
      <c r="AB1079" s="44"/>
      <c r="AC1079" s="44"/>
      <c r="AD1079" s="44"/>
      <c r="AE1079" s="44"/>
      <c r="AF1079" s="44"/>
      <c r="AG1079" s="44"/>
      <c r="AH1079" s="44"/>
      <c r="AI1079" s="44"/>
      <c r="AJ1079" s="44"/>
      <c r="AK1079" s="44"/>
      <c r="AL1079" s="44"/>
      <c r="AM1079" s="44"/>
      <c r="AN1079" s="44"/>
      <c r="AO1079" s="44"/>
      <c r="AP1079" s="44"/>
      <c r="AQ1079" s="44"/>
      <c r="BA1079" s="5"/>
      <c r="BB1079" s="5"/>
      <c r="BC1079" s="5"/>
      <c r="BD1079" s="5"/>
      <c r="BE1079" s="63"/>
      <c r="BF1079" s="63"/>
      <c r="BG1079" s="63"/>
      <c r="BK1079" s="317"/>
      <c r="BL1079" s="5"/>
      <c r="BM1079" s="5"/>
      <c r="BN1079" s="5"/>
      <c r="BO1079" s="5"/>
      <c r="BP1079" s="5"/>
      <c r="BQ1079" s="5"/>
      <c r="BR1079" s="5"/>
      <c r="BS1079" s="5"/>
      <c r="BT1079" s="5"/>
      <c r="BV1079" s="317"/>
      <c r="CF1079" s="5"/>
      <c r="CG1079" s="53"/>
      <c r="CH1079" s="53"/>
      <c r="CI1079" s="53"/>
      <c r="CJ1079" s="53"/>
      <c r="CK1079" s="53"/>
      <c r="CL1079" s="53"/>
      <c r="CN1079" s="53"/>
      <c r="CO1079" s="53"/>
      <c r="CP1079" s="53"/>
      <c r="CQ1079" s="53"/>
      <c r="CR1079" s="53"/>
      <c r="CS1079" s="53"/>
    </row>
    <row r="1080" spans="1:103" ht="10.25" customHeight="1">
      <c r="A1080" s="216"/>
      <c r="B1080" s="217"/>
      <c r="C1080" s="218"/>
      <c r="D1080" s="219"/>
      <c r="E1080" s="217"/>
      <c r="F1080" s="217"/>
      <c r="G1080" s="217"/>
      <c r="H1080" s="220"/>
      <c r="I1080" s="217"/>
      <c r="J1080" s="217"/>
      <c r="K1080" s="217"/>
      <c r="L1080" s="217"/>
      <c r="M1080" s="217"/>
      <c r="N1080" s="217"/>
      <c r="O1080" s="44"/>
      <c r="P1080" s="44"/>
      <c r="Q1080" s="44"/>
      <c r="R1080" s="44"/>
      <c r="S1080" s="44"/>
      <c r="T1080" s="44"/>
      <c r="U1080" s="44"/>
      <c r="V1080" s="44"/>
      <c r="W1080" s="44"/>
      <c r="X1080" s="44"/>
      <c r="Y1080" s="44"/>
      <c r="Z1080" s="44"/>
      <c r="AA1080" s="44"/>
      <c r="AB1080" s="44"/>
      <c r="AC1080" s="44"/>
      <c r="AD1080" s="44"/>
      <c r="AE1080" s="44"/>
      <c r="AF1080" s="44"/>
      <c r="AG1080" s="44"/>
      <c r="AH1080" s="44"/>
      <c r="AI1080" s="44"/>
      <c r="AJ1080" s="44"/>
      <c r="AK1080" s="44"/>
      <c r="AL1080" s="44"/>
      <c r="AM1080" s="44"/>
      <c r="AN1080" s="44"/>
      <c r="AO1080" s="44"/>
      <c r="AP1080" s="44"/>
      <c r="AQ1080" s="44"/>
      <c r="BA1080" s="5"/>
      <c r="BB1080" s="5"/>
      <c r="BC1080" s="5"/>
      <c r="BD1080" s="5"/>
      <c r="BE1080" s="63"/>
      <c r="BF1080" s="63"/>
      <c r="BG1080" s="63"/>
      <c r="BK1080" s="317"/>
      <c r="BL1080" s="5"/>
      <c r="BM1080" s="5"/>
      <c r="BN1080" s="5"/>
      <c r="BO1080" s="5"/>
      <c r="BP1080" s="5"/>
      <c r="BQ1080" s="5"/>
      <c r="BR1080" s="5"/>
      <c r="BS1080" s="5"/>
      <c r="BT1080" s="5"/>
      <c r="BV1080" s="317"/>
      <c r="CF1080" s="5"/>
      <c r="CG1080" s="53"/>
      <c r="CH1080" s="53"/>
      <c r="CI1080" s="53"/>
      <c r="CJ1080" s="53"/>
      <c r="CK1080" s="53"/>
      <c r="CL1080" s="53"/>
      <c r="CN1080" s="53"/>
      <c r="CO1080" s="53"/>
      <c r="CP1080" s="53"/>
      <c r="CQ1080" s="53"/>
      <c r="CR1080" s="53"/>
      <c r="CS1080" s="53"/>
    </row>
    <row r="1081" spans="1:103" ht="10.25" customHeight="1">
      <c r="A1081" s="216"/>
      <c r="B1081" s="217"/>
      <c r="C1081" s="218"/>
      <c r="D1081" s="219"/>
      <c r="E1081" s="217"/>
      <c r="F1081" s="217"/>
      <c r="G1081" s="217"/>
      <c r="H1081" s="220"/>
      <c r="I1081" s="217"/>
      <c r="J1081" s="217"/>
      <c r="K1081" s="217"/>
      <c r="L1081" s="217"/>
      <c r="M1081" s="217"/>
      <c r="N1081" s="217"/>
      <c r="O1081" s="44"/>
      <c r="P1081" s="44"/>
      <c r="Q1081" s="44"/>
      <c r="R1081" s="44"/>
      <c r="S1081" s="44"/>
      <c r="T1081" s="44"/>
      <c r="U1081" s="44"/>
      <c r="V1081" s="44"/>
      <c r="W1081" s="44"/>
      <c r="X1081" s="44"/>
      <c r="Y1081" s="44"/>
      <c r="Z1081" s="44"/>
      <c r="AA1081" s="44"/>
      <c r="AB1081" s="44"/>
      <c r="AC1081" s="44"/>
      <c r="AD1081" s="44"/>
      <c r="AE1081" s="44"/>
      <c r="AF1081" s="44"/>
      <c r="AG1081" s="44"/>
      <c r="AH1081" s="44"/>
      <c r="AI1081" s="44"/>
      <c r="AJ1081" s="44"/>
      <c r="AK1081" s="44"/>
      <c r="AL1081" s="44"/>
      <c r="AM1081" s="44"/>
      <c r="AN1081" s="44"/>
      <c r="AO1081" s="44"/>
      <c r="AP1081" s="44"/>
      <c r="AQ1081" s="44"/>
      <c r="BA1081" s="5"/>
      <c r="BB1081" s="5"/>
      <c r="BC1081" s="5"/>
      <c r="BD1081" s="5"/>
      <c r="BE1081" s="63"/>
      <c r="BF1081" s="63"/>
      <c r="BG1081" s="63"/>
      <c r="BK1081" s="317"/>
      <c r="BL1081" s="5"/>
      <c r="BM1081" s="5"/>
      <c r="BN1081" s="5"/>
      <c r="BO1081" s="5"/>
      <c r="BP1081" s="5"/>
      <c r="BQ1081" s="5"/>
      <c r="BR1081" s="5"/>
      <c r="BS1081" s="5"/>
      <c r="BT1081" s="5"/>
      <c r="BV1081" s="317"/>
      <c r="CF1081" s="5"/>
      <c r="CG1081" s="53"/>
      <c r="CH1081" s="53"/>
      <c r="CI1081" s="53"/>
      <c r="CJ1081" s="53"/>
      <c r="CK1081" s="53"/>
      <c r="CL1081" s="53"/>
      <c r="CN1081" s="53"/>
      <c r="CO1081" s="53"/>
      <c r="CP1081" s="53"/>
      <c r="CQ1081" s="53"/>
      <c r="CR1081" s="53"/>
      <c r="CS1081" s="53"/>
    </row>
    <row r="1082" spans="1:103" ht="10.25" customHeight="1">
      <c r="A1082" s="216"/>
      <c r="B1082" s="217"/>
      <c r="C1082" s="218"/>
      <c r="D1082" s="219"/>
      <c r="E1082" s="217"/>
      <c r="F1082" s="217"/>
      <c r="G1082" s="217"/>
      <c r="H1082" s="220"/>
      <c r="I1082" s="217"/>
      <c r="J1082" s="217"/>
      <c r="K1082" s="217"/>
      <c r="L1082" s="217"/>
      <c r="M1082" s="217"/>
      <c r="N1082" s="217"/>
      <c r="O1082" s="44"/>
      <c r="P1082" s="44"/>
      <c r="Q1082" s="44"/>
      <c r="R1082" s="44"/>
      <c r="S1082" s="44"/>
      <c r="T1082" s="44"/>
      <c r="U1082" s="44"/>
      <c r="V1082" s="44"/>
      <c r="W1082" s="44"/>
      <c r="X1082" s="44"/>
      <c r="Y1082" s="44"/>
      <c r="Z1082" s="44"/>
      <c r="AA1082" s="44"/>
      <c r="AB1082" s="44"/>
      <c r="AC1082" s="44"/>
      <c r="AD1082" s="44"/>
      <c r="AE1082" s="44"/>
      <c r="AF1082" s="44"/>
      <c r="AG1082" s="44"/>
      <c r="AH1082" s="44"/>
      <c r="AI1082" s="44"/>
      <c r="AJ1082" s="44"/>
      <c r="AK1082" s="44"/>
      <c r="AL1082" s="44"/>
      <c r="AM1082" s="44"/>
      <c r="AN1082" s="44"/>
      <c r="AO1082" s="44"/>
      <c r="AP1082" s="44"/>
      <c r="AQ1082" s="44"/>
      <c r="BA1082" s="5"/>
      <c r="BB1082" s="5"/>
      <c r="BC1082" s="5"/>
      <c r="BD1082" s="5"/>
      <c r="BE1082" s="63"/>
      <c r="BF1082" s="63"/>
      <c r="BG1082" s="63"/>
      <c r="BK1082" s="317"/>
      <c r="BL1082" s="5"/>
      <c r="BM1082" s="5"/>
      <c r="BN1082" s="5"/>
      <c r="BO1082" s="5"/>
      <c r="BP1082" s="5"/>
      <c r="BQ1082" s="5"/>
      <c r="BR1082" s="5"/>
      <c r="BS1082" s="5"/>
      <c r="BT1082" s="5"/>
      <c r="BV1082" s="317"/>
      <c r="CF1082" s="5"/>
      <c r="CG1082" s="53"/>
      <c r="CH1082" s="53"/>
      <c r="CI1082" s="53"/>
      <c r="CJ1082" s="53"/>
      <c r="CK1082" s="53"/>
      <c r="CL1082" s="53"/>
      <c r="CN1082" s="53"/>
      <c r="CO1082" s="53"/>
      <c r="CP1082" s="53"/>
      <c r="CQ1082" s="53"/>
      <c r="CR1082" s="53"/>
      <c r="CS1082" s="53"/>
    </row>
    <row r="1083" spans="1:103" ht="10.25" customHeight="1">
      <c r="A1083" s="216"/>
      <c r="B1083" s="217"/>
      <c r="C1083" s="218"/>
      <c r="D1083" s="219"/>
      <c r="E1083" s="217"/>
      <c r="F1083" s="217"/>
      <c r="G1083" s="217"/>
      <c r="H1083" s="220"/>
      <c r="I1083" s="217"/>
      <c r="J1083" s="217"/>
      <c r="K1083" s="217"/>
      <c r="L1083" s="217"/>
      <c r="M1083" s="217"/>
      <c r="N1083" s="217"/>
      <c r="O1083" s="44"/>
      <c r="P1083" s="44"/>
      <c r="Q1083" s="44"/>
      <c r="R1083" s="44"/>
      <c r="S1083" s="44"/>
      <c r="T1083" s="44"/>
      <c r="U1083" s="44"/>
      <c r="V1083" s="44"/>
      <c r="W1083" s="44"/>
      <c r="X1083" s="44"/>
      <c r="Y1083" s="44"/>
      <c r="Z1083" s="44"/>
      <c r="AA1083" s="44"/>
      <c r="AB1083" s="44"/>
      <c r="AC1083" s="44"/>
      <c r="AD1083" s="44"/>
      <c r="AE1083" s="44"/>
      <c r="AF1083" s="44"/>
      <c r="AG1083" s="44"/>
      <c r="AH1083" s="44"/>
      <c r="AI1083" s="44"/>
      <c r="AJ1083" s="44"/>
      <c r="AK1083" s="44"/>
      <c r="AL1083" s="44"/>
      <c r="AM1083" s="44"/>
      <c r="AN1083" s="44"/>
      <c r="AO1083" s="44"/>
      <c r="AP1083" s="44"/>
      <c r="AQ1083" s="44"/>
      <c r="BA1083" s="5"/>
      <c r="BB1083" s="5"/>
      <c r="BC1083" s="5"/>
      <c r="BD1083" s="5"/>
      <c r="BE1083" s="63"/>
      <c r="BF1083" s="63"/>
      <c r="BG1083" s="63"/>
      <c r="BK1083" s="317"/>
      <c r="BL1083" s="5"/>
      <c r="BM1083" s="5"/>
      <c r="BN1083" s="5"/>
      <c r="BO1083" s="5"/>
      <c r="BP1083" s="5"/>
      <c r="BQ1083" s="5"/>
      <c r="BR1083" s="5"/>
      <c r="BS1083" s="5"/>
      <c r="BT1083" s="5"/>
      <c r="BV1083" s="317"/>
      <c r="CF1083" s="5"/>
      <c r="CG1083" s="53"/>
      <c r="CH1083" s="53"/>
      <c r="CI1083" s="53"/>
      <c r="CJ1083" s="53"/>
      <c r="CK1083" s="53"/>
      <c r="CL1083" s="53"/>
      <c r="CN1083" s="53"/>
      <c r="CO1083" s="53"/>
      <c r="CP1083" s="53"/>
      <c r="CQ1083" s="53"/>
      <c r="CR1083" s="53"/>
      <c r="CS1083" s="53"/>
    </row>
    <row r="1084" spans="1:103" ht="10.25" customHeight="1">
      <c r="A1084" s="216"/>
      <c r="B1084" s="217"/>
      <c r="C1084" s="218"/>
      <c r="D1084" s="219"/>
      <c r="E1084" s="217"/>
      <c r="F1084" s="217"/>
      <c r="G1084" s="217"/>
      <c r="H1084" s="220"/>
      <c r="I1084" s="217"/>
      <c r="J1084" s="217"/>
      <c r="K1084" s="217"/>
      <c r="L1084" s="217"/>
      <c r="M1084" s="217"/>
      <c r="N1084" s="217"/>
      <c r="O1084" s="44"/>
      <c r="P1084" s="44"/>
      <c r="Q1084" s="44"/>
      <c r="R1084" s="44"/>
      <c r="S1084" s="44"/>
      <c r="T1084" s="44"/>
      <c r="U1084" s="44"/>
      <c r="V1084" s="44"/>
      <c r="W1084" s="44"/>
      <c r="X1084" s="44"/>
      <c r="Y1084" s="44"/>
      <c r="Z1084" s="44"/>
      <c r="AA1084" s="44"/>
      <c r="AB1084" s="44"/>
      <c r="AC1084" s="44"/>
      <c r="AD1084" s="44"/>
      <c r="AE1084" s="44"/>
      <c r="AF1084" s="44"/>
      <c r="AG1084" s="44"/>
      <c r="AH1084" s="44"/>
      <c r="AI1084" s="44"/>
      <c r="AJ1084" s="44"/>
      <c r="AK1084" s="44"/>
      <c r="AL1084" s="44"/>
      <c r="AM1084" s="44"/>
      <c r="AN1084" s="44"/>
      <c r="AO1084" s="44"/>
      <c r="AP1084" s="44"/>
      <c r="AQ1084" s="44"/>
      <c r="AW1084" s="63"/>
      <c r="AX1084" s="63"/>
      <c r="AY1084" s="63"/>
      <c r="AZ1084" s="63"/>
      <c r="BA1084" s="5"/>
      <c r="BB1084" s="5"/>
      <c r="BC1084" s="5"/>
      <c r="BD1084" s="5"/>
      <c r="BE1084" s="63"/>
      <c r="BF1084" s="63"/>
      <c r="BG1084" s="63"/>
      <c r="BV1084" s="317"/>
      <c r="CF1084" s="5"/>
      <c r="CG1084" s="53"/>
      <c r="CH1084" s="53"/>
      <c r="CI1084" s="53"/>
      <c r="CJ1084" s="53"/>
      <c r="CK1084" s="53"/>
      <c r="CL1084" s="53"/>
      <c r="CN1084" s="53"/>
      <c r="CO1084" s="53"/>
      <c r="CP1084" s="53"/>
      <c r="CQ1084" s="53"/>
      <c r="CR1084" s="53"/>
      <c r="CS1084" s="53"/>
    </row>
    <row r="1085" spans="1:103" ht="10.25" customHeight="1">
      <c r="A1085" s="216"/>
      <c r="B1085" s="217"/>
      <c r="C1085" s="218"/>
      <c r="D1085" s="219"/>
      <c r="E1085" s="217"/>
      <c r="F1085" s="217"/>
      <c r="G1085" s="217"/>
      <c r="H1085" s="220"/>
      <c r="I1085" s="217"/>
      <c r="J1085" s="217"/>
      <c r="K1085" s="217"/>
      <c r="L1085" s="217"/>
      <c r="M1085" s="217"/>
      <c r="N1085" s="217"/>
      <c r="O1085" s="44"/>
      <c r="P1085" s="44"/>
      <c r="Q1085" s="44"/>
      <c r="R1085" s="44"/>
      <c r="S1085" s="44"/>
      <c r="T1085" s="44"/>
      <c r="U1085" s="44"/>
      <c r="V1085" s="44"/>
      <c r="W1085" s="44"/>
      <c r="X1085" s="44"/>
      <c r="Y1085" s="44"/>
      <c r="Z1085" s="44"/>
      <c r="AA1085" s="44"/>
      <c r="AB1085" s="44"/>
      <c r="AC1085" s="44"/>
      <c r="AD1085" s="44"/>
      <c r="AE1085" s="44"/>
      <c r="AF1085" s="44"/>
      <c r="AG1085" s="44"/>
      <c r="AH1085" s="44"/>
      <c r="AI1085" s="44"/>
      <c r="AJ1085" s="44"/>
      <c r="AK1085" s="44"/>
      <c r="AL1085" s="44"/>
      <c r="AM1085" s="44"/>
      <c r="AN1085" s="44"/>
      <c r="AO1085" s="44"/>
      <c r="AP1085" s="44"/>
      <c r="AQ1085" s="44"/>
      <c r="AW1085" s="63"/>
      <c r="AX1085" s="63"/>
      <c r="AY1085" s="63"/>
      <c r="AZ1085" s="63"/>
      <c r="BA1085" s="5"/>
      <c r="BB1085" s="5"/>
      <c r="BC1085" s="5"/>
      <c r="BD1085" s="5"/>
      <c r="BE1085" s="63"/>
      <c r="BF1085" s="63"/>
      <c r="BG1085" s="63"/>
      <c r="BV1085" s="317"/>
      <c r="CF1085" s="5"/>
      <c r="CG1085" s="53"/>
      <c r="CH1085" s="53"/>
      <c r="CI1085" s="53"/>
      <c r="CJ1085" s="53"/>
      <c r="CK1085" s="53"/>
      <c r="CL1085" s="53"/>
      <c r="CN1085" s="53"/>
      <c r="CO1085" s="53"/>
      <c r="CP1085" s="53"/>
      <c r="CQ1085" s="53"/>
      <c r="CR1085" s="53"/>
      <c r="CS1085" s="53"/>
    </row>
    <row r="1086" spans="1:103" ht="10.25" customHeight="1">
      <c r="A1086" s="216"/>
      <c r="B1086" s="217"/>
      <c r="C1086" s="218"/>
      <c r="D1086" s="219"/>
      <c r="E1086" s="217"/>
      <c r="F1086" s="217"/>
      <c r="G1086" s="217"/>
      <c r="H1086" s="220"/>
      <c r="I1086" s="217"/>
      <c r="J1086" s="217"/>
      <c r="K1086" s="217"/>
      <c r="L1086" s="217"/>
      <c r="M1086" s="217"/>
      <c r="N1086" s="217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W1086" s="63"/>
      <c r="AX1086" s="63"/>
      <c r="AY1086" s="63"/>
      <c r="AZ1086" s="63"/>
      <c r="BA1086" s="5"/>
      <c r="BB1086" s="5"/>
      <c r="BC1086" s="5"/>
      <c r="BD1086" s="5"/>
      <c r="BE1086" s="63"/>
      <c r="BF1086" s="63"/>
      <c r="BG1086" s="63"/>
      <c r="BV1086" s="317"/>
      <c r="CF1086" s="5"/>
      <c r="CG1086" s="53"/>
      <c r="CH1086" s="53"/>
      <c r="CI1086" s="53"/>
      <c r="CJ1086" s="53"/>
      <c r="CK1086" s="53"/>
      <c r="CL1086" s="53"/>
      <c r="CN1086" s="53"/>
      <c r="CO1086" s="53"/>
      <c r="CP1086" s="53"/>
      <c r="CQ1086" s="53"/>
      <c r="CR1086" s="53"/>
      <c r="CS1086" s="53"/>
      <c r="CT1086" s="5"/>
      <c r="CU1086" s="5"/>
      <c r="CV1086" s="5"/>
      <c r="CW1086" s="5"/>
      <c r="CX1086" s="5"/>
      <c r="CY1086" s="5"/>
    </row>
    <row r="1087" spans="1:103" ht="10.25" customHeight="1">
      <c r="A1087" s="216"/>
      <c r="B1087" s="217"/>
      <c r="C1087" s="218"/>
      <c r="D1087" s="219"/>
      <c r="E1087" s="217"/>
      <c r="F1087" s="217"/>
      <c r="G1087" s="217"/>
      <c r="H1087" s="220"/>
      <c r="I1087" s="217"/>
      <c r="J1087" s="217"/>
      <c r="K1087" s="217"/>
      <c r="L1087" s="217"/>
      <c r="M1087" s="217"/>
      <c r="N1087" s="217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W1087" s="63"/>
      <c r="AX1087" s="63"/>
      <c r="AY1087" s="63"/>
      <c r="AZ1087" s="63"/>
      <c r="BA1087" s="5"/>
      <c r="BB1087" s="5"/>
      <c r="BC1087" s="5"/>
      <c r="BD1087" s="5"/>
      <c r="BE1087" s="63"/>
      <c r="BF1087" s="63"/>
      <c r="BG1087" s="63"/>
      <c r="BV1087" s="317"/>
      <c r="CF1087" s="5"/>
      <c r="CG1087" s="53"/>
      <c r="CH1087" s="53"/>
      <c r="CI1087" s="53"/>
      <c r="CJ1087" s="53"/>
      <c r="CK1087" s="53"/>
      <c r="CL1087" s="53"/>
      <c r="CN1087" s="53"/>
      <c r="CO1087" s="53"/>
      <c r="CP1087" s="53"/>
      <c r="CQ1087" s="53"/>
      <c r="CR1087" s="53"/>
      <c r="CS1087" s="53"/>
      <c r="CT1087" s="5"/>
      <c r="CU1087" s="5"/>
      <c r="CV1087" s="5"/>
      <c r="CW1087" s="5"/>
      <c r="CX1087" s="5"/>
      <c r="CY1087" s="5"/>
    </row>
    <row r="1088" spans="1:103" ht="10.25" customHeight="1">
      <c r="A1088" s="216"/>
      <c r="B1088" s="217"/>
      <c r="C1088" s="218"/>
      <c r="D1088" s="219"/>
      <c r="E1088" s="217"/>
      <c r="F1088" s="217"/>
      <c r="G1088" s="217"/>
      <c r="H1088" s="220"/>
      <c r="I1088" s="217"/>
      <c r="J1088" s="217"/>
      <c r="K1088" s="217"/>
      <c r="L1088" s="217"/>
      <c r="M1088" s="217"/>
      <c r="N1088" s="217"/>
      <c r="O1088" s="44"/>
      <c r="P1088" s="44"/>
      <c r="Q1088" s="44"/>
      <c r="R1088" s="44"/>
      <c r="S1088" s="44"/>
      <c r="T1088" s="44"/>
      <c r="U1088" s="44"/>
      <c r="V1088" s="44"/>
      <c r="W1088" s="44"/>
      <c r="X1088" s="44"/>
      <c r="Y1088" s="44"/>
      <c r="Z1088" s="44"/>
      <c r="AA1088" s="44"/>
      <c r="AB1088" s="44"/>
      <c r="AC1088" s="44"/>
      <c r="AD1088" s="44"/>
      <c r="AE1088" s="44"/>
      <c r="AF1088" s="44"/>
      <c r="AG1088" s="44"/>
      <c r="AH1088" s="44"/>
      <c r="AI1088" s="44"/>
      <c r="AJ1088" s="44"/>
      <c r="AK1088" s="44"/>
      <c r="AL1088" s="44"/>
      <c r="AM1088" s="44"/>
      <c r="AN1088" s="44"/>
      <c r="AO1088" s="44"/>
      <c r="AP1088" s="44"/>
      <c r="AQ1088" s="44"/>
      <c r="AW1088" s="63"/>
      <c r="AX1088" s="63"/>
      <c r="AY1088" s="63"/>
      <c r="AZ1088" s="63"/>
      <c r="BA1088" s="5"/>
      <c r="BB1088" s="5"/>
      <c r="BC1088" s="5"/>
      <c r="BD1088" s="5"/>
      <c r="BE1088" s="63"/>
      <c r="BF1088" s="63"/>
      <c r="BG1088" s="63"/>
      <c r="BV1088" s="317"/>
      <c r="CF1088" s="5"/>
      <c r="CG1088" s="53"/>
      <c r="CH1088" s="53"/>
      <c r="CI1088" s="53"/>
      <c r="CJ1088" s="53"/>
      <c r="CK1088" s="53"/>
      <c r="CL1088" s="53"/>
      <c r="CN1088" s="53"/>
      <c r="CO1088" s="53"/>
      <c r="CP1088" s="53"/>
      <c r="CQ1088" s="53"/>
      <c r="CR1088" s="53"/>
      <c r="CS1088" s="53"/>
      <c r="CT1088" s="5"/>
      <c r="CU1088" s="5"/>
      <c r="CV1088" s="5"/>
      <c r="CW1088" s="5"/>
      <c r="CX1088" s="5"/>
      <c r="CY1088" s="5"/>
    </row>
    <row r="1089" spans="1:103" ht="10.25" customHeight="1">
      <c r="A1089" s="216"/>
      <c r="B1089" s="217"/>
      <c r="C1089" s="218"/>
      <c r="D1089" s="219"/>
      <c r="E1089" s="217"/>
      <c r="F1089" s="217"/>
      <c r="G1089" s="217"/>
      <c r="H1089" s="220"/>
      <c r="I1089" s="217"/>
      <c r="J1089" s="217"/>
      <c r="K1089" s="217"/>
      <c r="L1089" s="217"/>
      <c r="M1089" s="217"/>
      <c r="N1089" s="217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44"/>
      <c r="AL1089" s="44"/>
      <c r="AM1089" s="44"/>
      <c r="AN1089" s="44"/>
      <c r="AO1089" s="44"/>
      <c r="AP1089" s="44"/>
      <c r="AQ1089" s="44"/>
      <c r="BA1089" s="5"/>
      <c r="BB1089" s="5"/>
      <c r="BC1089" s="5"/>
      <c r="BD1089" s="5"/>
      <c r="BE1089" s="63"/>
      <c r="BF1089" s="63"/>
      <c r="BG1089" s="63"/>
      <c r="BV1089" s="317"/>
      <c r="CF1089" s="5"/>
      <c r="CG1089" s="53"/>
      <c r="CH1089" s="53"/>
      <c r="CI1089" s="53"/>
      <c r="CJ1089" s="53"/>
      <c r="CK1089" s="53"/>
      <c r="CL1089" s="53"/>
      <c r="CN1089" s="53"/>
      <c r="CO1089" s="53"/>
      <c r="CP1089" s="53"/>
      <c r="CQ1089" s="53"/>
      <c r="CR1089" s="53"/>
      <c r="CS1089" s="53"/>
      <c r="CT1089" s="5"/>
      <c r="CU1089" s="5"/>
      <c r="CV1089" s="5"/>
      <c r="CW1089" s="5"/>
      <c r="CX1089" s="5"/>
      <c r="CY1089" s="5"/>
    </row>
    <row r="1090" spans="1:103" ht="10.25" customHeight="1">
      <c r="A1090" s="216"/>
      <c r="B1090" s="217"/>
      <c r="C1090" s="218"/>
      <c r="D1090" s="219"/>
      <c r="E1090" s="217"/>
      <c r="F1090" s="217"/>
      <c r="G1090" s="217"/>
      <c r="H1090" s="220"/>
      <c r="I1090" s="217"/>
      <c r="J1090" s="217"/>
      <c r="K1090" s="217"/>
      <c r="L1090" s="217"/>
      <c r="M1090" s="217"/>
      <c r="N1090" s="217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BA1090" s="5"/>
      <c r="BB1090" s="5"/>
      <c r="BC1090" s="5"/>
      <c r="BD1090" s="5"/>
      <c r="BE1090" s="63"/>
      <c r="BF1090" s="63"/>
      <c r="BG1090" s="63"/>
      <c r="BV1090" s="317"/>
      <c r="CF1090" s="5"/>
      <c r="CG1090" s="53"/>
      <c r="CH1090" s="53"/>
      <c r="CI1090" s="53"/>
      <c r="CJ1090" s="53"/>
      <c r="CK1090" s="53"/>
      <c r="CL1090" s="53"/>
      <c r="CN1090" s="53"/>
      <c r="CO1090" s="53"/>
      <c r="CP1090" s="53"/>
      <c r="CQ1090" s="53"/>
      <c r="CR1090" s="53"/>
      <c r="CS1090" s="53"/>
      <c r="CT1090" s="5"/>
      <c r="CU1090" s="5"/>
      <c r="CV1090" s="5"/>
      <c r="CW1090" s="5"/>
      <c r="CX1090" s="5"/>
      <c r="CY1090" s="5"/>
    </row>
    <row r="1091" spans="1:103" ht="10.25" customHeight="1">
      <c r="A1091" s="216"/>
      <c r="B1091" s="217"/>
      <c r="C1091" s="218"/>
      <c r="D1091" s="219"/>
      <c r="E1091" s="217"/>
      <c r="F1091" s="217"/>
      <c r="G1091" s="217"/>
      <c r="H1091" s="220"/>
      <c r="I1091" s="217"/>
      <c r="J1091" s="217"/>
      <c r="K1091" s="217"/>
      <c r="L1091" s="217"/>
      <c r="M1091" s="217"/>
      <c r="N1091" s="217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BA1091" s="5"/>
      <c r="BB1091" s="5"/>
      <c r="BC1091" s="5"/>
      <c r="BD1091" s="5"/>
      <c r="BE1091" s="63"/>
      <c r="BF1091" s="63"/>
      <c r="BG1091" s="63"/>
      <c r="CA1091" s="317"/>
      <c r="CF1091" s="5"/>
      <c r="CG1091" s="53"/>
      <c r="CH1091" s="53"/>
      <c r="CI1091" s="53"/>
      <c r="CJ1091" s="53"/>
      <c r="CK1091" s="53"/>
      <c r="CL1091" s="53"/>
      <c r="CN1091" s="53"/>
      <c r="CO1091" s="53"/>
      <c r="CP1091" s="53"/>
      <c r="CQ1091" s="53"/>
      <c r="CR1091" s="53"/>
      <c r="CS1091" s="53"/>
      <c r="CT1091" s="5"/>
      <c r="CU1091" s="5"/>
      <c r="CV1091" s="5"/>
      <c r="CW1091" s="5"/>
      <c r="CX1091" s="5"/>
      <c r="CY1091" s="5"/>
    </row>
    <row r="1092" spans="1:103" ht="10.25" customHeight="1">
      <c r="A1092" s="216"/>
      <c r="B1092" s="217"/>
      <c r="C1092" s="218"/>
      <c r="D1092" s="219"/>
      <c r="E1092" s="217"/>
      <c r="F1092" s="217"/>
      <c r="G1092" s="217"/>
      <c r="H1092" s="220"/>
      <c r="I1092" s="217"/>
      <c r="J1092" s="217"/>
      <c r="K1092" s="217"/>
      <c r="L1092" s="217"/>
      <c r="M1092" s="217"/>
      <c r="N1092" s="217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BA1092" s="5"/>
      <c r="BB1092" s="5"/>
      <c r="BC1092" s="5"/>
      <c r="BD1092" s="5"/>
      <c r="BE1092" s="63"/>
      <c r="BF1092" s="63"/>
      <c r="BG1092" s="63"/>
      <c r="CA1092" s="317"/>
      <c r="CF1092" s="5"/>
      <c r="CG1092" s="53"/>
      <c r="CH1092" s="53"/>
      <c r="CI1092" s="53"/>
      <c r="CJ1092" s="53"/>
      <c r="CK1092" s="53"/>
      <c r="CL1092" s="53"/>
      <c r="CN1092" s="53"/>
      <c r="CO1092" s="53"/>
      <c r="CP1092" s="53"/>
      <c r="CQ1092" s="53"/>
      <c r="CR1092" s="53"/>
      <c r="CS1092" s="53"/>
      <c r="CT1092" s="5"/>
      <c r="CU1092" s="5"/>
      <c r="CV1092" s="5"/>
      <c r="CW1092" s="5"/>
      <c r="CX1092" s="5"/>
      <c r="CY1092" s="5"/>
    </row>
    <row r="1093" spans="1:103" ht="10.25" customHeight="1">
      <c r="A1093" s="216"/>
      <c r="B1093" s="217"/>
      <c r="C1093" s="218"/>
      <c r="D1093" s="219"/>
      <c r="E1093" s="217"/>
      <c r="F1093" s="217"/>
      <c r="G1093" s="217"/>
      <c r="H1093" s="220"/>
      <c r="I1093" s="217"/>
      <c r="J1093" s="217"/>
      <c r="K1093" s="217"/>
      <c r="L1093" s="217"/>
      <c r="M1093" s="217"/>
      <c r="N1093" s="217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BA1093" s="5"/>
      <c r="BB1093" s="5"/>
      <c r="BC1093" s="5"/>
      <c r="BD1093" s="5"/>
      <c r="BE1093" s="63"/>
      <c r="BF1093" s="63"/>
      <c r="BG1093" s="63"/>
      <c r="CA1093" s="317"/>
      <c r="CF1093" s="5"/>
      <c r="CG1093" s="53"/>
      <c r="CH1093" s="53"/>
      <c r="CI1093" s="53"/>
      <c r="CJ1093" s="53"/>
      <c r="CK1093" s="53"/>
      <c r="CL1093" s="53"/>
      <c r="CN1093" s="53"/>
      <c r="CO1093" s="53"/>
      <c r="CP1093" s="53"/>
      <c r="CQ1093" s="53"/>
      <c r="CR1093" s="53"/>
      <c r="CS1093" s="53"/>
      <c r="CT1093" s="5"/>
      <c r="CU1093" s="5"/>
      <c r="CV1093" s="5"/>
      <c r="CW1093" s="5"/>
      <c r="CX1093" s="5"/>
      <c r="CY1093" s="5"/>
    </row>
    <row r="1094" spans="1:103" ht="10.25" customHeight="1">
      <c r="A1094" s="216"/>
      <c r="B1094" s="217"/>
      <c r="C1094" s="218"/>
      <c r="D1094" s="219"/>
      <c r="E1094" s="217"/>
      <c r="F1094" s="217"/>
      <c r="G1094" s="217"/>
      <c r="H1094" s="220"/>
      <c r="I1094" s="217"/>
      <c r="J1094" s="217"/>
      <c r="K1094" s="217"/>
      <c r="L1094" s="217"/>
      <c r="M1094" s="217"/>
      <c r="N1094" s="217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BA1094" s="5"/>
      <c r="BB1094" s="5"/>
      <c r="BC1094" s="5"/>
      <c r="BD1094" s="5"/>
      <c r="BE1094" s="63"/>
      <c r="BF1094" s="63"/>
      <c r="BG1094" s="63"/>
      <c r="CA1094" s="317"/>
      <c r="CF1094" s="5"/>
      <c r="CG1094" s="53"/>
      <c r="CH1094" s="53"/>
      <c r="CI1094" s="53"/>
      <c r="CJ1094" s="53"/>
      <c r="CK1094" s="53"/>
      <c r="CL1094" s="53"/>
      <c r="CN1094" s="53"/>
      <c r="CO1094" s="53"/>
      <c r="CP1094" s="53"/>
      <c r="CQ1094" s="53"/>
      <c r="CR1094" s="53"/>
      <c r="CS1094" s="53"/>
      <c r="CT1094" s="5"/>
      <c r="CU1094" s="5"/>
      <c r="CV1094" s="5"/>
      <c r="CW1094" s="5"/>
      <c r="CX1094" s="5"/>
      <c r="CY1094" s="5"/>
    </row>
    <row r="1095" spans="1:103" ht="10.25" customHeight="1">
      <c r="A1095" s="216"/>
      <c r="B1095" s="217"/>
      <c r="C1095" s="218"/>
      <c r="D1095" s="219"/>
      <c r="E1095" s="217"/>
      <c r="F1095" s="217"/>
      <c r="G1095" s="217"/>
      <c r="H1095" s="220"/>
      <c r="I1095" s="217"/>
      <c r="J1095" s="217"/>
      <c r="K1095" s="217"/>
      <c r="L1095" s="217"/>
      <c r="M1095" s="217"/>
      <c r="N1095" s="217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BA1095" s="5"/>
      <c r="BB1095" s="5"/>
      <c r="BC1095" s="5"/>
      <c r="BD1095" s="5"/>
      <c r="BE1095" s="63"/>
      <c r="BF1095" s="63"/>
      <c r="BG1095" s="63"/>
      <c r="CA1095" s="317"/>
      <c r="CF1095" s="5"/>
      <c r="CG1095" s="53"/>
      <c r="CH1095" s="53"/>
      <c r="CI1095" s="53"/>
      <c r="CJ1095" s="53"/>
      <c r="CK1095" s="53"/>
      <c r="CL1095" s="53"/>
      <c r="CN1095" s="53"/>
      <c r="CO1095" s="53"/>
      <c r="CP1095" s="53"/>
      <c r="CQ1095" s="53"/>
      <c r="CR1095" s="53"/>
      <c r="CS1095" s="53"/>
      <c r="CT1095" s="5"/>
      <c r="CU1095" s="5"/>
      <c r="CV1095" s="5"/>
      <c r="CW1095" s="5"/>
      <c r="CX1095" s="5"/>
      <c r="CY1095" s="5"/>
    </row>
    <row r="1096" spans="1:103" ht="10.25" customHeight="1">
      <c r="A1096" s="216"/>
      <c r="B1096" s="217"/>
      <c r="C1096" s="218"/>
      <c r="D1096" s="219"/>
      <c r="E1096" s="217"/>
      <c r="F1096" s="217"/>
      <c r="G1096" s="217"/>
      <c r="H1096" s="220"/>
      <c r="I1096" s="217"/>
      <c r="J1096" s="217"/>
      <c r="K1096" s="217"/>
      <c r="L1096" s="217"/>
      <c r="M1096" s="217"/>
      <c r="N1096" s="217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BA1096" s="5"/>
      <c r="BB1096" s="5"/>
      <c r="BC1096" s="5"/>
      <c r="BD1096" s="5"/>
      <c r="BE1096" s="63"/>
      <c r="BF1096" s="63"/>
      <c r="BG1096" s="63"/>
      <c r="CA1096" s="317"/>
      <c r="CF1096" s="5"/>
      <c r="CG1096" s="53"/>
      <c r="CH1096" s="53"/>
      <c r="CI1096" s="53"/>
      <c r="CJ1096" s="53"/>
      <c r="CK1096" s="53"/>
      <c r="CL1096" s="53"/>
      <c r="CN1096" s="53"/>
      <c r="CO1096" s="53"/>
      <c r="CP1096" s="53"/>
      <c r="CQ1096" s="53"/>
      <c r="CR1096" s="53"/>
      <c r="CS1096" s="53"/>
      <c r="CT1096" s="5"/>
      <c r="CU1096" s="5"/>
      <c r="CV1096" s="5"/>
      <c r="CW1096" s="5"/>
      <c r="CX1096" s="5"/>
      <c r="CY1096" s="5"/>
    </row>
    <row r="1097" spans="1:103" ht="10.25" customHeight="1">
      <c r="A1097" s="216"/>
      <c r="B1097" s="217"/>
      <c r="C1097" s="218"/>
      <c r="D1097" s="219"/>
      <c r="E1097" s="217"/>
      <c r="F1097" s="217"/>
      <c r="G1097" s="217"/>
      <c r="H1097" s="220"/>
      <c r="I1097" s="217"/>
      <c r="J1097" s="217"/>
      <c r="K1097" s="217"/>
      <c r="L1097" s="217"/>
      <c r="M1097" s="217"/>
      <c r="N1097" s="217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BA1097" s="5"/>
      <c r="BB1097" s="5"/>
      <c r="BC1097" s="5"/>
      <c r="BD1097" s="5"/>
      <c r="BE1097" s="63"/>
      <c r="BF1097" s="63"/>
      <c r="BG1097" s="63"/>
      <c r="CA1097" s="317"/>
      <c r="CF1097" s="5"/>
      <c r="CG1097" s="53"/>
      <c r="CH1097" s="53"/>
      <c r="CI1097" s="53"/>
      <c r="CJ1097" s="53"/>
      <c r="CK1097" s="53"/>
      <c r="CL1097" s="53"/>
      <c r="CN1097" s="53"/>
      <c r="CO1097" s="53"/>
      <c r="CP1097" s="53"/>
      <c r="CQ1097" s="53"/>
      <c r="CR1097" s="53"/>
      <c r="CS1097" s="53"/>
      <c r="CT1097" s="5"/>
      <c r="CU1097" s="5"/>
      <c r="CV1097" s="5"/>
      <c r="CW1097" s="5"/>
      <c r="CX1097" s="5"/>
      <c r="CY1097" s="5"/>
    </row>
    <row r="1098" spans="1:103" ht="10.25" customHeight="1">
      <c r="A1098" s="216"/>
      <c r="B1098" s="217"/>
      <c r="C1098" s="218"/>
      <c r="D1098" s="219"/>
      <c r="E1098" s="217"/>
      <c r="F1098" s="217"/>
      <c r="G1098" s="217"/>
      <c r="H1098" s="220"/>
      <c r="I1098" s="217"/>
      <c r="J1098" s="217"/>
      <c r="K1098" s="217"/>
      <c r="L1098" s="217"/>
      <c r="M1098" s="217"/>
      <c r="N1098" s="217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BA1098" s="5"/>
      <c r="BB1098" s="5"/>
      <c r="BC1098" s="5"/>
      <c r="BD1098" s="5"/>
      <c r="BE1098" s="63"/>
      <c r="BF1098" s="63"/>
      <c r="BG1098" s="63"/>
      <c r="CA1098" s="317"/>
      <c r="CF1098" s="5"/>
      <c r="CG1098" s="53"/>
      <c r="CH1098" s="53"/>
      <c r="CI1098" s="53"/>
      <c r="CJ1098" s="53"/>
      <c r="CK1098" s="53"/>
      <c r="CL1098" s="53"/>
      <c r="CN1098" s="53"/>
      <c r="CO1098" s="53"/>
      <c r="CP1098" s="53"/>
      <c r="CQ1098" s="53"/>
      <c r="CR1098" s="53"/>
      <c r="CS1098" s="53"/>
      <c r="CT1098" s="5"/>
      <c r="CU1098" s="5"/>
      <c r="CV1098" s="5"/>
      <c r="CW1098" s="5"/>
      <c r="CX1098" s="5"/>
      <c r="CY1098" s="5"/>
    </row>
    <row r="1099" spans="1:103" ht="10.25" customHeight="1">
      <c r="A1099" s="216"/>
      <c r="B1099" s="217"/>
      <c r="C1099" s="218"/>
      <c r="D1099" s="219"/>
      <c r="E1099" s="217"/>
      <c r="F1099" s="217"/>
      <c r="G1099" s="217"/>
      <c r="H1099" s="220"/>
      <c r="I1099" s="217"/>
      <c r="J1099" s="217"/>
      <c r="K1099" s="217"/>
      <c r="L1099" s="217"/>
      <c r="M1099" s="217"/>
      <c r="N1099" s="217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BA1099" s="5"/>
      <c r="BB1099" s="5"/>
      <c r="BC1099" s="5"/>
      <c r="BD1099" s="5"/>
      <c r="BE1099" s="63"/>
      <c r="BF1099" s="63"/>
      <c r="BG1099" s="63"/>
      <c r="CA1099" s="317"/>
      <c r="CF1099" s="5"/>
      <c r="CG1099" s="53"/>
      <c r="CH1099" s="53"/>
      <c r="CI1099" s="53"/>
      <c r="CJ1099" s="53"/>
      <c r="CK1099" s="53"/>
      <c r="CL1099" s="53"/>
      <c r="CN1099" s="53"/>
      <c r="CO1099" s="53"/>
      <c r="CP1099" s="53"/>
      <c r="CQ1099" s="53"/>
      <c r="CR1099" s="53"/>
      <c r="CS1099" s="53"/>
      <c r="CT1099" s="5"/>
      <c r="CU1099" s="5"/>
      <c r="CV1099" s="5"/>
      <c r="CW1099" s="5"/>
      <c r="CX1099" s="5"/>
      <c r="CY1099" s="5"/>
    </row>
    <row r="1100" spans="1:103" ht="10.25" customHeight="1">
      <c r="A1100" s="216"/>
      <c r="B1100" s="217"/>
      <c r="C1100" s="218"/>
      <c r="D1100" s="219"/>
      <c r="E1100" s="217"/>
      <c r="F1100" s="217"/>
      <c r="G1100" s="217"/>
      <c r="H1100" s="220"/>
      <c r="I1100" s="217"/>
      <c r="J1100" s="217"/>
      <c r="K1100" s="217"/>
      <c r="L1100" s="217"/>
      <c r="M1100" s="217"/>
      <c r="N1100" s="217"/>
      <c r="O1100" s="44"/>
      <c r="P1100" s="44"/>
      <c r="Q1100" s="44"/>
      <c r="R1100" s="44"/>
      <c r="S1100" s="44"/>
      <c r="T1100" s="44"/>
      <c r="U1100" s="44"/>
      <c r="V1100" s="44"/>
      <c r="W1100" s="44"/>
      <c r="X1100" s="44"/>
      <c r="Y1100" s="44"/>
      <c r="Z1100" s="44"/>
      <c r="AA1100" s="44"/>
      <c r="AB1100" s="44"/>
      <c r="AC1100" s="44"/>
      <c r="AD1100" s="44"/>
      <c r="AE1100" s="44"/>
      <c r="AF1100" s="44"/>
      <c r="AG1100" s="44"/>
      <c r="AH1100" s="44"/>
      <c r="AI1100" s="44"/>
      <c r="AJ1100" s="44"/>
      <c r="AK1100" s="44"/>
      <c r="AL1100" s="44"/>
      <c r="AM1100" s="44"/>
      <c r="AN1100" s="44"/>
      <c r="AO1100" s="44"/>
      <c r="AP1100" s="44"/>
      <c r="AQ1100" s="44"/>
      <c r="BA1100" s="5"/>
      <c r="BB1100" s="5"/>
      <c r="BC1100" s="5"/>
      <c r="BD1100" s="5"/>
      <c r="BE1100" s="63"/>
      <c r="BF1100" s="63"/>
      <c r="BG1100" s="63"/>
      <c r="CA1100" s="317"/>
      <c r="CF1100" s="5"/>
      <c r="CG1100" s="53"/>
      <c r="CH1100" s="53"/>
      <c r="CI1100" s="53"/>
      <c r="CJ1100" s="53"/>
      <c r="CK1100" s="53"/>
      <c r="CL1100" s="53"/>
      <c r="CN1100" s="53"/>
      <c r="CO1100" s="53"/>
      <c r="CP1100" s="53"/>
      <c r="CQ1100" s="53"/>
      <c r="CR1100" s="53"/>
      <c r="CS1100" s="53"/>
      <c r="CT1100" s="5"/>
      <c r="CU1100" s="5"/>
      <c r="CV1100" s="5"/>
      <c r="CW1100" s="5"/>
      <c r="CX1100" s="5"/>
      <c r="CY1100" s="5"/>
    </row>
    <row r="1101" spans="1:103" ht="10.25" customHeight="1">
      <c r="A1101" s="216"/>
      <c r="B1101" s="217"/>
      <c r="C1101" s="218"/>
      <c r="D1101" s="219"/>
      <c r="E1101" s="217"/>
      <c r="F1101" s="217"/>
      <c r="G1101" s="217"/>
      <c r="H1101" s="220"/>
      <c r="I1101" s="217"/>
      <c r="J1101" s="217"/>
      <c r="K1101" s="217"/>
      <c r="L1101" s="217"/>
      <c r="M1101" s="217"/>
      <c r="N1101" s="217"/>
      <c r="O1101" s="44"/>
      <c r="P1101" s="44"/>
      <c r="Q1101" s="44"/>
      <c r="R1101" s="44"/>
      <c r="S1101" s="44"/>
      <c r="T1101" s="44"/>
      <c r="U1101" s="44"/>
      <c r="V1101" s="44"/>
      <c r="W1101" s="44"/>
      <c r="X1101" s="44"/>
      <c r="Y1101" s="44"/>
      <c r="Z1101" s="44"/>
      <c r="AA1101" s="44"/>
      <c r="AB1101" s="44"/>
      <c r="AC1101" s="44"/>
      <c r="AD1101" s="44"/>
      <c r="AE1101" s="44"/>
      <c r="AF1101" s="44"/>
      <c r="AG1101" s="44"/>
      <c r="AH1101" s="44"/>
      <c r="AI1101" s="44"/>
      <c r="AJ1101" s="44"/>
      <c r="AK1101" s="44"/>
      <c r="AL1101" s="44"/>
      <c r="AM1101" s="44"/>
      <c r="AN1101" s="44"/>
      <c r="AO1101" s="44"/>
      <c r="AP1101" s="44"/>
      <c r="AQ1101" s="44"/>
      <c r="BA1101" s="5"/>
      <c r="BB1101" s="5"/>
      <c r="BC1101" s="5"/>
      <c r="BD1101" s="5"/>
      <c r="BE1101" s="63"/>
      <c r="BF1101" s="63"/>
      <c r="BG1101" s="63"/>
      <c r="CA1101" s="317"/>
      <c r="CF1101" s="5"/>
      <c r="CG1101" s="53"/>
      <c r="CH1101" s="53"/>
      <c r="CI1101" s="53"/>
      <c r="CJ1101" s="53"/>
      <c r="CK1101" s="53"/>
      <c r="CL1101" s="53"/>
      <c r="CN1101" s="53"/>
      <c r="CO1101" s="53"/>
      <c r="CP1101" s="53"/>
      <c r="CQ1101" s="53"/>
      <c r="CR1101" s="53"/>
      <c r="CS1101" s="53"/>
      <c r="CT1101" s="5"/>
      <c r="CU1101" s="5"/>
      <c r="CV1101" s="5"/>
      <c r="CW1101" s="5"/>
      <c r="CX1101" s="5"/>
      <c r="CY1101" s="5"/>
    </row>
    <row r="1102" spans="1:103" ht="10.25" customHeight="1">
      <c r="A1102" s="216"/>
      <c r="B1102" s="217"/>
      <c r="C1102" s="218"/>
      <c r="D1102" s="219"/>
      <c r="E1102" s="217"/>
      <c r="F1102" s="217"/>
      <c r="G1102" s="217"/>
      <c r="H1102" s="220"/>
      <c r="I1102" s="217"/>
      <c r="J1102" s="217"/>
      <c r="K1102" s="217"/>
      <c r="L1102" s="217"/>
      <c r="M1102" s="217"/>
      <c r="N1102" s="217"/>
      <c r="O1102" s="44"/>
      <c r="P1102" s="44"/>
      <c r="Q1102" s="44"/>
      <c r="R1102" s="44"/>
      <c r="S1102" s="44"/>
      <c r="T1102" s="44"/>
      <c r="U1102" s="44"/>
      <c r="V1102" s="44"/>
      <c r="W1102" s="44"/>
      <c r="X1102" s="44"/>
      <c r="Y1102" s="44"/>
      <c r="Z1102" s="44"/>
      <c r="AA1102" s="44"/>
      <c r="AB1102" s="44"/>
      <c r="AC1102" s="44"/>
      <c r="AD1102" s="44"/>
      <c r="AE1102" s="44"/>
      <c r="AF1102" s="44"/>
      <c r="AG1102" s="44"/>
      <c r="AH1102" s="44"/>
      <c r="AI1102" s="44"/>
      <c r="AJ1102" s="44"/>
      <c r="AK1102" s="44"/>
      <c r="AL1102" s="44"/>
      <c r="AM1102" s="44"/>
      <c r="AN1102" s="44"/>
      <c r="AO1102" s="44"/>
      <c r="AP1102" s="44"/>
      <c r="AQ1102" s="44"/>
      <c r="BA1102" s="5"/>
      <c r="BB1102" s="5"/>
      <c r="BC1102" s="5"/>
      <c r="BD1102" s="5"/>
      <c r="BE1102" s="63"/>
      <c r="BF1102" s="63"/>
      <c r="BG1102" s="63"/>
      <c r="CA1102" s="317"/>
      <c r="CF1102" s="5"/>
      <c r="CG1102" s="53"/>
      <c r="CH1102" s="53"/>
      <c r="CI1102" s="53"/>
      <c r="CJ1102" s="53"/>
      <c r="CK1102" s="53"/>
      <c r="CL1102" s="53"/>
      <c r="CN1102" s="53"/>
      <c r="CO1102" s="53"/>
      <c r="CP1102" s="53"/>
      <c r="CQ1102" s="53"/>
      <c r="CR1102" s="53"/>
      <c r="CS1102" s="53"/>
      <c r="CT1102" s="5"/>
      <c r="CU1102" s="5"/>
      <c r="CV1102" s="5"/>
      <c r="CW1102" s="5"/>
      <c r="CX1102" s="5"/>
      <c r="CY1102" s="5"/>
    </row>
    <row r="1103" spans="1:103" ht="10.25" customHeight="1">
      <c r="A1103" s="216"/>
      <c r="B1103" s="217"/>
      <c r="C1103" s="218"/>
      <c r="D1103" s="219"/>
      <c r="E1103" s="217"/>
      <c r="F1103" s="217"/>
      <c r="G1103" s="217"/>
      <c r="H1103" s="220"/>
      <c r="I1103" s="217"/>
      <c r="J1103" s="217"/>
      <c r="K1103" s="217"/>
      <c r="L1103" s="217"/>
      <c r="M1103" s="217"/>
      <c r="N1103" s="217"/>
      <c r="O1103" s="44"/>
      <c r="P1103" s="44"/>
      <c r="Q1103" s="44"/>
      <c r="R1103" s="44"/>
      <c r="S1103" s="44"/>
      <c r="T1103" s="44"/>
      <c r="U1103" s="44"/>
      <c r="V1103" s="44"/>
      <c r="W1103" s="44"/>
      <c r="X1103" s="44"/>
      <c r="Y1103" s="44"/>
      <c r="Z1103" s="44"/>
      <c r="AA1103" s="44"/>
      <c r="AB1103" s="44"/>
      <c r="AC1103" s="44"/>
      <c r="AD1103" s="44"/>
      <c r="AE1103" s="44"/>
      <c r="AF1103" s="44"/>
      <c r="AG1103" s="44"/>
      <c r="AH1103" s="44"/>
      <c r="AI1103" s="44"/>
      <c r="AJ1103" s="44"/>
      <c r="AK1103" s="44"/>
      <c r="AL1103" s="44"/>
      <c r="AM1103" s="44"/>
      <c r="AN1103" s="44"/>
      <c r="AO1103" s="44"/>
      <c r="AP1103" s="44"/>
      <c r="AQ1103" s="44"/>
      <c r="BA1103" s="5"/>
      <c r="BB1103" s="5"/>
      <c r="BC1103" s="5"/>
      <c r="BD1103" s="5"/>
      <c r="BE1103" s="63"/>
      <c r="BF1103" s="63"/>
      <c r="BG1103" s="63"/>
      <c r="CA1103" s="256"/>
      <c r="CB1103" s="261"/>
      <c r="CC1103" s="261"/>
      <c r="CD1103" s="261"/>
      <c r="CE1103" s="261"/>
      <c r="CF1103" s="255"/>
      <c r="CG1103" s="53"/>
      <c r="CH1103" s="53"/>
      <c r="CI1103" s="53"/>
      <c r="CJ1103" s="53"/>
      <c r="CK1103" s="53"/>
      <c r="CL1103" s="53"/>
      <c r="CN1103" s="53"/>
      <c r="CO1103" s="53"/>
      <c r="CP1103" s="53"/>
      <c r="CQ1103" s="53"/>
      <c r="CR1103" s="53"/>
      <c r="CS1103" s="53"/>
      <c r="CT1103" s="261"/>
      <c r="CU1103" s="255"/>
      <c r="CV1103" s="261"/>
      <c r="CW1103" s="261"/>
      <c r="CX1103" s="261"/>
      <c r="CY1103" s="255"/>
    </row>
    <row r="1104" spans="1:103" ht="10.25" customHeight="1">
      <c r="A1104" s="216"/>
      <c r="B1104" s="217"/>
      <c r="C1104" s="218"/>
      <c r="D1104" s="219"/>
      <c r="E1104" s="217"/>
      <c r="F1104" s="217"/>
      <c r="G1104" s="217"/>
      <c r="H1104" s="220"/>
      <c r="I1104" s="217"/>
      <c r="J1104" s="217"/>
      <c r="K1104" s="217"/>
      <c r="L1104" s="217"/>
      <c r="M1104" s="217"/>
      <c r="N1104" s="217"/>
      <c r="O1104" s="44"/>
      <c r="P1104" s="44"/>
      <c r="Q1104" s="44"/>
      <c r="R1104" s="44"/>
      <c r="S1104" s="44"/>
      <c r="T1104" s="44"/>
      <c r="U1104" s="44"/>
      <c r="V1104" s="44"/>
      <c r="W1104" s="44"/>
      <c r="X1104" s="44"/>
      <c r="Y1104" s="44"/>
      <c r="Z1104" s="44"/>
      <c r="AA1104" s="44"/>
      <c r="AB1104" s="44"/>
      <c r="AC1104" s="44"/>
      <c r="AD1104" s="44"/>
      <c r="AE1104" s="44"/>
      <c r="AF1104" s="44"/>
      <c r="AG1104" s="44"/>
      <c r="AH1104" s="44"/>
      <c r="AI1104" s="44"/>
      <c r="AJ1104" s="44"/>
      <c r="AK1104" s="44"/>
      <c r="AL1104" s="44"/>
      <c r="AM1104" s="44"/>
      <c r="AN1104" s="44"/>
      <c r="AO1104" s="44"/>
      <c r="AP1104" s="44"/>
      <c r="AQ1104" s="44"/>
      <c r="BA1104" s="5"/>
      <c r="BB1104" s="5"/>
      <c r="BC1104" s="5"/>
      <c r="BD1104" s="5"/>
      <c r="BE1104" s="63"/>
      <c r="BF1104" s="63"/>
      <c r="BG1104" s="63"/>
      <c r="CA1104" s="256"/>
      <c r="CB1104" s="261"/>
      <c r="CC1104" s="261"/>
      <c r="CD1104" s="261"/>
      <c r="CE1104" s="261"/>
      <c r="CF1104" s="255"/>
      <c r="CG1104" s="53"/>
      <c r="CH1104" s="53"/>
      <c r="CI1104" s="53"/>
      <c r="CJ1104" s="53"/>
      <c r="CK1104" s="53"/>
      <c r="CL1104" s="53"/>
      <c r="CN1104" s="53"/>
      <c r="CO1104" s="53"/>
      <c r="CP1104" s="53"/>
      <c r="CQ1104" s="53"/>
      <c r="CR1104" s="53"/>
      <c r="CS1104" s="53"/>
      <c r="CT1104" s="261"/>
      <c r="CU1104" s="255"/>
      <c r="CV1104" s="261"/>
      <c r="CW1104" s="261"/>
      <c r="CX1104" s="261"/>
      <c r="CY1104" s="255"/>
    </row>
    <row r="1105" spans="1:103" ht="10.25" customHeight="1">
      <c r="A1105" s="216"/>
      <c r="B1105" s="217"/>
      <c r="C1105" s="218"/>
      <c r="D1105" s="219"/>
      <c r="E1105" s="217"/>
      <c r="F1105" s="217"/>
      <c r="G1105" s="217"/>
      <c r="H1105" s="220"/>
      <c r="I1105" s="217"/>
      <c r="J1105" s="217"/>
      <c r="K1105" s="217"/>
      <c r="L1105" s="217"/>
      <c r="M1105" s="217"/>
      <c r="N1105" s="217"/>
      <c r="O1105" s="44"/>
      <c r="P1105" s="44"/>
      <c r="Q1105" s="44"/>
      <c r="R1105" s="44"/>
      <c r="S1105" s="44"/>
      <c r="T1105" s="44"/>
      <c r="U1105" s="44"/>
      <c r="V1105" s="44"/>
      <c r="W1105" s="44"/>
      <c r="X1105" s="44"/>
      <c r="Y1105" s="44"/>
      <c r="Z1105" s="44"/>
      <c r="AA1105" s="44"/>
      <c r="AB1105" s="44"/>
      <c r="AC1105" s="44"/>
      <c r="AD1105" s="44"/>
      <c r="AE1105" s="44"/>
      <c r="AF1105" s="44"/>
      <c r="AG1105" s="44"/>
      <c r="AH1105" s="44"/>
      <c r="AI1105" s="44"/>
      <c r="AJ1105" s="44"/>
      <c r="AK1105" s="44"/>
      <c r="AL1105" s="44"/>
      <c r="AM1105" s="44"/>
      <c r="AN1105" s="44"/>
      <c r="AO1105" s="44"/>
      <c r="AP1105" s="44"/>
      <c r="AQ1105" s="44"/>
      <c r="BA1105" s="5"/>
      <c r="BB1105" s="5"/>
      <c r="BC1105" s="5"/>
      <c r="BD1105" s="5"/>
      <c r="BE1105" s="63"/>
      <c r="BF1105" s="63"/>
      <c r="BG1105" s="63"/>
      <c r="CA1105" s="256"/>
      <c r="CB1105" s="261"/>
      <c r="CC1105" s="261"/>
      <c r="CD1105" s="261"/>
      <c r="CE1105" s="261"/>
      <c r="CF1105" s="255"/>
      <c r="CG1105" s="53"/>
      <c r="CH1105" s="53"/>
      <c r="CI1105" s="53"/>
      <c r="CJ1105" s="53"/>
      <c r="CK1105" s="53"/>
      <c r="CL1105" s="53"/>
      <c r="CN1105" s="53"/>
      <c r="CO1105" s="53"/>
      <c r="CP1105" s="53"/>
      <c r="CQ1105" s="53"/>
      <c r="CR1105" s="53"/>
      <c r="CS1105" s="53"/>
      <c r="CT1105" s="261"/>
      <c r="CU1105" s="255"/>
      <c r="CV1105" s="261"/>
      <c r="CW1105" s="255"/>
      <c r="CX1105" s="261"/>
      <c r="CY1105" s="255"/>
    </row>
    <row r="1106" spans="1:103" ht="10.25" customHeight="1">
      <c r="A1106" s="216"/>
      <c r="B1106" s="217"/>
      <c r="C1106" s="218"/>
      <c r="D1106" s="219"/>
      <c r="E1106" s="217"/>
      <c r="F1106" s="217"/>
      <c r="G1106" s="217"/>
      <c r="H1106" s="220"/>
      <c r="I1106" s="217"/>
      <c r="J1106" s="217"/>
      <c r="K1106" s="217"/>
      <c r="L1106" s="217"/>
      <c r="M1106" s="217"/>
      <c r="N1106" s="217"/>
      <c r="O1106" s="44"/>
      <c r="P1106" s="44"/>
      <c r="Q1106" s="44"/>
      <c r="R1106" s="44"/>
      <c r="S1106" s="44"/>
      <c r="T1106" s="44"/>
      <c r="U1106" s="44"/>
      <c r="V1106" s="44"/>
      <c r="W1106" s="44"/>
      <c r="X1106" s="44"/>
      <c r="Y1106" s="44"/>
      <c r="Z1106" s="44"/>
      <c r="AA1106" s="44"/>
      <c r="AB1106" s="44"/>
      <c r="AC1106" s="44"/>
      <c r="AD1106" s="44"/>
      <c r="AE1106" s="44"/>
      <c r="AF1106" s="44"/>
      <c r="AG1106" s="44"/>
      <c r="AH1106" s="44"/>
      <c r="AI1106" s="44"/>
      <c r="AJ1106" s="44"/>
      <c r="AK1106" s="44"/>
      <c r="AL1106" s="44"/>
      <c r="AM1106" s="44"/>
      <c r="AN1106" s="44"/>
      <c r="AO1106" s="44"/>
      <c r="AP1106" s="44"/>
      <c r="AQ1106" s="44"/>
      <c r="BA1106" s="5"/>
      <c r="BB1106" s="5"/>
      <c r="BC1106" s="5"/>
      <c r="BD1106" s="5"/>
      <c r="BE1106" s="63"/>
      <c r="BF1106" s="63"/>
      <c r="BG1106" s="63"/>
      <c r="CA1106" s="256"/>
      <c r="CB1106" s="261"/>
      <c r="CC1106" s="261"/>
      <c r="CD1106" s="261"/>
      <c r="CE1106" s="261"/>
      <c r="CF1106" s="255"/>
      <c r="CG1106" s="53"/>
      <c r="CH1106" s="53"/>
      <c r="CI1106" s="53"/>
      <c r="CJ1106" s="53"/>
      <c r="CK1106" s="53"/>
      <c r="CL1106" s="53"/>
      <c r="CN1106" s="53"/>
      <c r="CO1106" s="53"/>
      <c r="CP1106" s="53"/>
      <c r="CQ1106" s="53"/>
      <c r="CR1106" s="53"/>
      <c r="CS1106" s="53"/>
      <c r="CT1106" s="261"/>
      <c r="CU1106" s="255"/>
      <c r="CV1106" s="255"/>
      <c r="CW1106" s="261"/>
      <c r="CX1106" s="261"/>
      <c r="CY1106" s="255"/>
    </row>
    <row r="1107" spans="1:103" ht="10.25" customHeight="1">
      <c r="A1107" s="216"/>
      <c r="B1107" s="217"/>
      <c r="C1107" s="218"/>
      <c r="D1107" s="219"/>
      <c r="E1107" s="217"/>
      <c r="F1107" s="217"/>
      <c r="G1107" s="217"/>
      <c r="H1107" s="220"/>
      <c r="I1107" s="217"/>
      <c r="J1107" s="217"/>
      <c r="K1107" s="217"/>
      <c r="L1107" s="217"/>
      <c r="M1107" s="217"/>
      <c r="N1107" s="217"/>
      <c r="O1107" s="44"/>
      <c r="P1107" s="44"/>
      <c r="Q1107" s="44"/>
      <c r="R1107" s="44"/>
      <c r="S1107" s="44"/>
      <c r="T1107" s="44"/>
      <c r="U1107" s="44"/>
      <c r="V1107" s="44"/>
      <c r="W1107" s="44"/>
      <c r="X1107" s="44"/>
      <c r="Y1107" s="44"/>
      <c r="Z1107" s="44"/>
      <c r="AA1107" s="44"/>
      <c r="AB1107" s="44"/>
      <c r="AC1107" s="44"/>
      <c r="AD1107" s="44"/>
      <c r="AE1107" s="44"/>
      <c r="AF1107" s="44"/>
      <c r="AG1107" s="44"/>
      <c r="AH1107" s="44"/>
      <c r="AI1107" s="44"/>
      <c r="AJ1107" s="44"/>
      <c r="AK1107" s="44"/>
      <c r="AL1107" s="44"/>
      <c r="AM1107" s="44"/>
      <c r="AN1107" s="44"/>
      <c r="AO1107" s="44"/>
      <c r="AP1107" s="44"/>
      <c r="AQ1107" s="44"/>
      <c r="BA1107" s="5"/>
      <c r="BB1107" s="5"/>
      <c r="BC1107" s="5"/>
      <c r="BD1107" s="5"/>
      <c r="BE1107" s="63"/>
      <c r="BF1107" s="63"/>
      <c r="BG1107" s="63"/>
      <c r="CA1107" s="256"/>
      <c r="CB1107" s="261"/>
      <c r="CC1107" s="261"/>
      <c r="CD1107" s="261"/>
      <c r="CE1107" s="261"/>
      <c r="CF1107" s="255"/>
      <c r="CG1107" s="53"/>
      <c r="CH1107" s="53"/>
      <c r="CI1107" s="53"/>
      <c r="CJ1107" s="53"/>
      <c r="CK1107" s="53"/>
      <c r="CL1107" s="53"/>
      <c r="CN1107" s="53"/>
      <c r="CO1107" s="53"/>
      <c r="CP1107" s="53"/>
      <c r="CQ1107" s="53"/>
      <c r="CR1107" s="53"/>
      <c r="CS1107" s="53"/>
      <c r="CT1107" s="261"/>
      <c r="CU1107" s="255"/>
      <c r="CV1107" s="261"/>
      <c r="CW1107" s="255"/>
      <c r="CX1107" s="261"/>
      <c r="CY1107" s="255"/>
    </row>
    <row r="1108" spans="1:103" ht="10.25" customHeight="1">
      <c r="A1108" s="216"/>
      <c r="B1108" s="217"/>
      <c r="C1108" s="218"/>
      <c r="D1108" s="219"/>
      <c r="E1108" s="217"/>
      <c r="F1108" s="217"/>
      <c r="G1108" s="217"/>
      <c r="H1108" s="220"/>
      <c r="I1108" s="217"/>
      <c r="J1108" s="217"/>
      <c r="K1108" s="217"/>
      <c r="L1108" s="217"/>
      <c r="M1108" s="217"/>
      <c r="N1108" s="217"/>
      <c r="O1108" s="44"/>
      <c r="P1108" s="44"/>
      <c r="Q1108" s="44"/>
      <c r="R1108" s="44"/>
      <c r="S1108" s="44"/>
      <c r="T1108" s="44"/>
      <c r="U1108" s="44"/>
      <c r="V1108" s="44"/>
      <c r="W1108" s="44"/>
      <c r="X1108" s="44"/>
      <c r="Y1108" s="44"/>
      <c r="Z1108" s="44"/>
      <c r="AA1108" s="44"/>
      <c r="AB1108" s="44"/>
      <c r="AC1108" s="44"/>
      <c r="AD1108" s="44"/>
      <c r="AE1108" s="44"/>
      <c r="AF1108" s="44"/>
      <c r="AG1108" s="44"/>
      <c r="AH1108" s="44"/>
      <c r="AI1108" s="44"/>
      <c r="AJ1108" s="44"/>
      <c r="AK1108" s="44"/>
      <c r="AL1108" s="44"/>
      <c r="AM1108" s="44"/>
      <c r="AN1108" s="44"/>
      <c r="AO1108" s="44"/>
      <c r="AP1108" s="44"/>
      <c r="AQ1108" s="44"/>
      <c r="BA1108" s="5"/>
      <c r="BB1108" s="5"/>
      <c r="BC1108" s="5"/>
      <c r="BD1108" s="5"/>
      <c r="BE1108" s="63"/>
      <c r="BF1108" s="63"/>
      <c r="BG1108" s="63"/>
      <c r="CA1108" s="256"/>
      <c r="CB1108" s="261"/>
      <c r="CC1108" s="261"/>
      <c r="CD1108" s="261"/>
      <c r="CE1108" s="255"/>
      <c r="CF1108" s="261"/>
      <c r="CG1108" s="53"/>
      <c r="CH1108" s="53"/>
      <c r="CI1108" s="53"/>
      <c r="CJ1108" s="53"/>
      <c r="CK1108" s="53"/>
      <c r="CL1108" s="53"/>
      <c r="CN1108" s="53"/>
      <c r="CO1108" s="53"/>
      <c r="CP1108" s="53"/>
      <c r="CQ1108" s="53"/>
      <c r="CR1108" s="53"/>
      <c r="CS1108" s="53"/>
      <c r="CT1108" s="255"/>
      <c r="CU1108" s="261"/>
      <c r="CV1108" s="255"/>
      <c r="CW1108" s="261"/>
      <c r="CX1108" s="261"/>
      <c r="CY1108" s="255"/>
    </row>
    <row r="1109" spans="1:103" ht="10.25" customHeight="1">
      <c r="A1109" s="216"/>
      <c r="B1109" s="217"/>
      <c r="C1109" s="218"/>
      <c r="D1109" s="219"/>
      <c r="E1109" s="217"/>
      <c r="F1109" s="217"/>
      <c r="G1109" s="217"/>
      <c r="H1109" s="220"/>
      <c r="I1109" s="217"/>
      <c r="J1109" s="217"/>
      <c r="K1109" s="217"/>
      <c r="L1109" s="217"/>
      <c r="M1109" s="217"/>
      <c r="N1109" s="217"/>
      <c r="O1109" s="44"/>
      <c r="P1109" s="44"/>
      <c r="Q1109" s="44"/>
      <c r="R1109" s="44"/>
      <c r="S1109" s="44"/>
      <c r="T1109" s="44"/>
      <c r="U1109" s="44"/>
      <c r="V1109" s="44"/>
      <c r="W1109" s="44"/>
      <c r="X1109" s="44"/>
      <c r="Y1109" s="44"/>
      <c r="Z1109" s="44"/>
      <c r="AA1109" s="44"/>
      <c r="AB1109" s="44"/>
      <c r="AC1109" s="44"/>
      <c r="AD1109" s="44"/>
      <c r="AE1109" s="44"/>
      <c r="AF1109" s="44"/>
      <c r="AG1109" s="44"/>
      <c r="AH1109" s="44"/>
      <c r="AI1109" s="44"/>
      <c r="AJ1109" s="44"/>
      <c r="AK1109" s="44"/>
      <c r="AL1109" s="44"/>
      <c r="AM1109" s="44"/>
      <c r="AN1109" s="44"/>
      <c r="AO1109" s="44"/>
      <c r="AP1109" s="44"/>
      <c r="AQ1109" s="44"/>
      <c r="BA1109" s="5"/>
      <c r="BB1109" s="5"/>
      <c r="BC1109" s="5"/>
      <c r="BD1109" s="5"/>
      <c r="BE1109" s="63"/>
      <c r="BF1109" s="63"/>
      <c r="BG1109" s="63"/>
      <c r="CA1109" s="256"/>
      <c r="CB1109" s="261"/>
      <c r="CC1109" s="261"/>
      <c r="CD1109" s="261"/>
      <c r="CE1109" s="255"/>
      <c r="CF1109" s="261"/>
      <c r="CG1109" s="53"/>
      <c r="CH1109" s="53"/>
      <c r="CI1109" s="53"/>
      <c r="CJ1109" s="53"/>
      <c r="CK1109" s="53"/>
      <c r="CL1109" s="53"/>
      <c r="CN1109" s="53"/>
      <c r="CO1109" s="53"/>
      <c r="CP1109" s="53"/>
      <c r="CQ1109" s="53"/>
      <c r="CR1109" s="53"/>
      <c r="CS1109" s="53"/>
      <c r="CT1109" s="255"/>
      <c r="CU1109" s="261"/>
      <c r="CV1109" s="261"/>
      <c r="CW1109" s="255"/>
      <c r="CX1109" s="261"/>
      <c r="CY1109" s="255"/>
    </row>
    <row r="1110" spans="1:103" ht="10.25" customHeight="1">
      <c r="A1110" s="216"/>
      <c r="B1110" s="217"/>
      <c r="C1110" s="218"/>
      <c r="D1110" s="219"/>
      <c r="E1110" s="217"/>
      <c r="F1110" s="217"/>
      <c r="G1110" s="217"/>
      <c r="H1110" s="220"/>
      <c r="I1110" s="217"/>
      <c r="J1110" s="217"/>
      <c r="K1110" s="217"/>
      <c r="L1110" s="217"/>
      <c r="M1110" s="217"/>
      <c r="N1110" s="217"/>
      <c r="O1110" s="44"/>
      <c r="P1110" s="44"/>
      <c r="Q1110" s="44"/>
      <c r="R1110" s="44"/>
      <c r="S1110" s="44"/>
      <c r="T1110" s="44"/>
      <c r="U1110" s="44"/>
      <c r="V1110" s="44"/>
      <c r="W1110" s="44"/>
      <c r="X1110" s="44"/>
      <c r="Y1110" s="44"/>
      <c r="Z1110" s="44"/>
      <c r="AA1110" s="44"/>
      <c r="AB1110" s="44"/>
      <c r="AC1110" s="44"/>
      <c r="AD1110" s="44"/>
      <c r="AE1110" s="44"/>
      <c r="AF1110" s="44"/>
      <c r="AG1110" s="44"/>
      <c r="AH1110" s="44"/>
      <c r="AI1110" s="44"/>
      <c r="AJ1110" s="44"/>
      <c r="AK1110" s="44"/>
      <c r="AL1110" s="44"/>
      <c r="AM1110" s="44"/>
      <c r="AN1110" s="44"/>
      <c r="AO1110" s="44"/>
      <c r="AP1110" s="44"/>
      <c r="AQ1110" s="44"/>
      <c r="BA1110" s="5"/>
      <c r="BB1110" s="5"/>
      <c r="BC1110" s="5"/>
      <c r="BD1110" s="5"/>
      <c r="BE1110" s="63"/>
      <c r="BF1110" s="63"/>
      <c r="BG1110" s="63"/>
      <c r="CA1110" s="256"/>
      <c r="CB1110" s="261"/>
      <c r="CC1110" s="261"/>
      <c r="CD1110" s="255"/>
      <c r="CE1110" s="261"/>
      <c r="CF1110" s="261"/>
      <c r="CG1110" s="53"/>
      <c r="CH1110" s="53"/>
      <c r="CI1110" s="53"/>
      <c r="CJ1110" s="53"/>
      <c r="CK1110" s="53"/>
      <c r="CL1110" s="53"/>
      <c r="CN1110" s="53"/>
      <c r="CO1110" s="53"/>
      <c r="CP1110" s="53"/>
      <c r="CQ1110" s="53"/>
      <c r="CR1110" s="53"/>
      <c r="CS1110" s="53"/>
      <c r="CT1110" s="261"/>
      <c r="CU1110" s="261"/>
      <c r="CV1110" s="255"/>
      <c r="CW1110" s="261"/>
      <c r="CX1110" s="261"/>
      <c r="CY1110" s="255"/>
    </row>
    <row r="1111" spans="1:103" ht="10.25" customHeight="1">
      <c r="A1111" s="216"/>
      <c r="B1111" s="217"/>
      <c r="C1111" s="218"/>
      <c r="D1111" s="219"/>
      <c r="E1111" s="217"/>
      <c r="F1111" s="217"/>
      <c r="G1111" s="217"/>
      <c r="H1111" s="220"/>
      <c r="I1111" s="217"/>
      <c r="J1111" s="217"/>
      <c r="K1111" s="217"/>
      <c r="L1111" s="217"/>
      <c r="M1111" s="217"/>
      <c r="N1111" s="217"/>
      <c r="O1111" s="44"/>
      <c r="P1111" s="44"/>
      <c r="Q1111" s="44"/>
      <c r="R1111" s="44"/>
      <c r="S1111" s="44"/>
      <c r="T1111" s="44"/>
      <c r="U1111" s="44"/>
      <c r="V1111" s="44"/>
      <c r="W1111" s="44"/>
      <c r="X1111" s="44"/>
      <c r="Y1111" s="44"/>
      <c r="Z1111" s="44"/>
      <c r="AA1111" s="44"/>
      <c r="AB1111" s="44"/>
      <c r="AC1111" s="44"/>
      <c r="AD1111" s="44"/>
      <c r="AE1111" s="44"/>
      <c r="AF1111" s="44"/>
      <c r="AG1111" s="44"/>
      <c r="AH1111" s="44"/>
      <c r="AI1111" s="44"/>
      <c r="AJ1111" s="44"/>
      <c r="AK1111" s="44"/>
      <c r="AL1111" s="44"/>
      <c r="AM1111" s="44"/>
      <c r="AN1111" s="44"/>
      <c r="AO1111" s="44"/>
      <c r="AP1111" s="44"/>
      <c r="AQ1111" s="44"/>
      <c r="BA1111" s="5"/>
      <c r="BB1111" s="5"/>
      <c r="BC1111" s="5"/>
      <c r="BD1111" s="5"/>
      <c r="BE1111" s="63"/>
      <c r="BF1111" s="63"/>
      <c r="BG1111" s="63"/>
      <c r="CA1111" s="256"/>
      <c r="CB1111" s="261"/>
      <c r="CC1111" s="261"/>
      <c r="CD1111" s="255"/>
      <c r="CE1111" s="261"/>
      <c r="CF1111" s="261"/>
      <c r="CG1111" s="53"/>
      <c r="CH1111" s="53"/>
      <c r="CI1111" s="53"/>
      <c r="CJ1111" s="53"/>
      <c r="CK1111" s="53"/>
      <c r="CL1111" s="53"/>
      <c r="CN1111" s="53"/>
      <c r="CO1111" s="53"/>
      <c r="CP1111" s="53"/>
      <c r="CQ1111" s="53"/>
      <c r="CR1111" s="53"/>
      <c r="CS1111" s="53"/>
      <c r="CT1111" s="261"/>
      <c r="CU1111" s="261"/>
      <c r="CV1111" s="261"/>
      <c r="CW1111" s="255"/>
      <c r="CX1111" s="261"/>
      <c r="CY1111" s="255"/>
    </row>
    <row r="1112" spans="1:103" ht="10.25" customHeight="1">
      <c r="A1112" s="216"/>
      <c r="B1112" s="217"/>
      <c r="C1112" s="218"/>
      <c r="D1112" s="219"/>
      <c r="E1112" s="217"/>
      <c r="F1112" s="217"/>
      <c r="G1112" s="217"/>
      <c r="H1112" s="220"/>
      <c r="I1112" s="217"/>
      <c r="J1112" s="217"/>
      <c r="K1112" s="217"/>
      <c r="L1112" s="217"/>
      <c r="M1112" s="217"/>
      <c r="N1112" s="217"/>
      <c r="O1112" s="44"/>
      <c r="P1112" s="44"/>
      <c r="Q1112" s="44"/>
      <c r="R1112" s="44"/>
      <c r="S1112" s="44"/>
      <c r="T1112" s="44"/>
      <c r="U1112" s="44"/>
      <c r="V1112" s="44"/>
      <c r="W1112" s="44"/>
      <c r="X1112" s="44"/>
      <c r="Y1112" s="44"/>
      <c r="Z1112" s="44"/>
      <c r="AA1112" s="44"/>
      <c r="AB1112" s="44"/>
      <c r="AC1112" s="44"/>
      <c r="AD1112" s="44"/>
      <c r="AE1112" s="44"/>
      <c r="AF1112" s="44"/>
      <c r="AG1112" s="44"/>
      <c r="AH1112" s="44"/>
      <c r="AI1112" s="44"/>
      <c r="AJ1112" s="44"/>
      <c r="AK1112" s="44"/>
      <c r="AL1112" s="44"/>
      <c r="AM1112" s="44"/>
      <c r="AN1112" s="44"/>
      <c r="AO1112" s="44"/>
      <c r="AP1112" s="44"/>
      <c r="AQ1112" s="44"/>
      <c r="BA1112" s="5"/>
      <c r="BB1112" s="5"/>
      <c r="BC1112" s="5"/>
      <c r="BD1112" s="5"/>
      <c r="BE1112" s="63"/>
      <c r="BF1112" s="63"/>
      <c r="BG1112" s="63"/>
      <c r="CA1112" s="256"/>
      <c r="CB1112" s="261"/>
      <c r="CC1112" s="261"/>
      <c r="CD1112" s="255"/>
      <c r="CE1112" s="261"/>
      <c r="CF1112" s="261"/>
      <c r="CG1112" s="53"/>
      <c r="CH1112" s="53"/>
      <c r="CI1112" s="53"/>
      <c r="CJ1112" s="53"/>
      <c r="CK1112" s="53"/>
      <c r="CL1112" s="53"/>
      <c r="CN1112" s="53"/>
      <c r="CO1112" s="53"/>
      <c r="CP1112" s="53"/>
      <c r="CQ1112" s="53"/>
      <c r="CR1112" s="53"/>
      <c r="CS1112" s="53"/>
      <c r="CT1112" s="261"/>
      <c r="CU1112" s="261"/>
      <c r="CV1112" s="261"/>
      <c r="CW1112" s="261"/>
      <c r="CX1112" s="261"/>
      <c r="CY1112" s="255"/>
    </row>
    <row r="1113" spans="1:103" ht="10.25" customHeight="1">
      <c r="A1113" s="216"/>
      <c r="B1113" s="217"/>
      <c r="C1113" s="218"/>
      <c r="D1113" s="219"/>
      <c r="E1113" s="217"/>
      <c r="F1113" s="217"/>
      <c r="G1113" s="217"/>
      <c r="H1113" s="220"/>
      <c r="I1113" s="217"/>
      <c r="J1113" s="217"/>
      <c r="K1113" s="217"/>
      <c r="L1113" s="217"/>
      <c r="M1113" s="217"/>
      <c r="N1113" s="217"/>
      <c r="O1113" s="44"/>
      <c r="P1113" s="44"/>
      <c r="Q1113" s="44"/>
      <c r="R1113" s="44"/>
      <c r="S1113" s="44"/>
      <c r="T1113" s="44"/>
      <c r="U1113" s="44"/>
      <c r="V1113" s="44"/>
      <c r="W1113" s="44"/>
      <c r="X1113" s="44"/>
      <c r="Y1113" s="44"/>
      <c r="Z1113" s="44"/>
      <c r="AA1113" s="44"/>
      <c r="AB1113" s="44"/>
      <c r="AC1113" s="44"/>
      <c r="AD1113" s="44"/>
      <c r="AE1113" s="44"/>
      <c r="AF1113" s="44"/>
      <c r="AG1113" s="44"/>
      <c r="AH1113" s="44"/>
      <c r="AI1113" s="44"/>
      <c r="AJ1113" s="44"/>
      <c r="AK1113" s="44"/>
      <c r="AL1113" s="44"/>
      <c r="AM1113" s="44"/>
      <c r="AN1113" s="44"/>
      <c r="AO1113" s="44"/>
      <c r="AP1113" s="44"/>
      <c r="AQ1113" s="44"/>
      <c r="BA1113" s="5"/>
      <c r="BB1113" s="5"/>
      <c r="BC1113" s="5"/>
      <c r="BD1113" s="5"/>
      <c r="BE1113" s="63"/>
      <c r="BF1113" s="63"/>
      <c r="BG1113" s="63"/>
      <c r="CA1113" s="256"/>
      <c r="CB1113" s="261"/>
      <c r="CC1113" s="261"/>
      <c r="CD1113" s="261"/>
      <c r="CE1113" s="261"/>
      <c r="CF1113" s="261"/>
      <c r="CG1113" s="53"/>
      <c r="CH1113" s="53"/>
      <c r="CI1113" s="53"/>
      <c r="CJ1113" s="53"/>
      <c r="CK1113" s="53"/>
      <c r="CL1113" s="53"/>
      <c r="CN1113" s="53"/>
      <c r="CO1113" s="53"/>
      <c r="CP1113" s="53"/>
      <c r="CQ1113" s="53"/>
      <c r="CR1113" s="53"/>
      <c r="CS1113" s="53"/>
      <c r="CT1113" s="261"/>
      <c r="CU1113" s="261"/>
      <c r="CV1113" s="255"/>
      <c r="CW1113" s="255"/>
      <c r="CX1113" s="261"/>
      <c r="CY1113" s="255"/>
    </row>
    <row r="1114" spans="1:103" ht="10.25" customHeight="1">
      <c r="A1114" s="216"/>
      <c r="B1114" s="217"/>
      <c r="C1114" s="218"/>
      <c r="D1114" s="219"/>
      <c r="E1114" s="217"/>
      <c r="F1114" s="217"/>
      <c r="G1114" s="217"/>
      <c r="H1114" s="220"/>
      <c r="I1114" s="217"/>
      <c r="J1114" s="217"/>
      <c r="K1114" s="217"/>
      <c r="L1114" s="217"/>
      <c r="M1114" s="217"/>
      <c r="N1114" s="217"/>
      <c r="O1114" s="44"/>
      <c r="P1114" s="44"/>
      <c r="Q1114" s="44"/>
      <c r="R1114" s="44"/>
      <c r="S1114" s="44"/>
      <c r="T1114" s="44"/>
      <c r="U1114" s="44"/>
      <c r="V1114" s="44"/>
      <c r="W1114" s="44"/>
      <c r="X1114" s="44"/>
      <c r="Y1114" s="44"/>
      <c r="Z1114" s="44"/>
      <c r="AA1114" s="44"/>
      <c r="AB1114" s="44"/>
      <c r="AC1114" s="44"/>
      <c r="AD1114" s="44"/>
      <c r="AE1114" s="44"/>
      <c r="AF1114" s="44"/>
      <c r="AG1114" s="44"/>
      <c r="AH1114" s="44"/>
      <c r="AI1114" s="44"/>
      <c r="AJ1114" s="44"/>
      <c r="AK1114" s="44"/>
      <c r="AL1114" s="44"/>
      <c r="AM1114" s="44"/>
      <c r="AN1114" s="44"/>
      <c r="AO1114" s="44"/>
      <c r="AP1114" s="44"/>
      <c r="AQ1114" s="44"/>
      <c r="BA1114" s="5"/>
      <c r="BB1114" s="5"/>
      <c r="BC1114" s="5"/>
      <c r="BD1114" s="5"/>
      <c r="BE1114" s="63"/>
      <c r="BF1114" s="63"/>
      <c r="BG1114" s="63"/>
      <c r="CA1114" s="256"/>
      <c r="CB1114" s="261"/>
      <c r="CC1114" s="261"/>
      <c r="CD1114" s="261"/>
      <c r="CE1114" s="261"/>
      <c r="CF1114" s="261"/>
      <c r="CG1114" s="53"/>
      <c r="CH1114" s="53"/>
      <c r="CI1114" s="53"/>
      <c r="CJ1114" s="53"/>
      <c r="CK1114" s="53"/>
      <c r="CL1114" s="53"/>
      <c r="CN1114" s="53"/>
      <c r="CO1114" s="53"/>
      <c r="CP1114" s="53"/>
      <c r="CQ1114" s="53"/>
      <c r="CR1114" s="53"/>
      <c r="CS1114" s="53"/>
      <c r="CT1114" s="261"/>
      <c r="CU1114" s="261"/>
      <c r="CV1114" s="261"/>
      <c r="CW1114" s="261"/>
      <c r="CX1114" s="261"/>
      <c r="CY1114" s="255"/>
    </row>
    <row r="1115" spans="1:103" ht="10.25" customHeight="1">
      <c r="A1115" s="216"/>
      <c r="B1115" s="217"/>
      <c r="C1115" s="218"/>
      <c r="D1115" s="219"/>
      <c r="E1115" s="217"/>
      <c r="F1115" s="217"/>
      <c r="G1115" s="217"/>
      <c r="H1115" s="220"/>
      <c r="I1115" s="217"/>
      <c r="J1115" s="217"/>
      <c r="K1115" s="217"/>
      <c r="L1115" s="217"/>
      <c r="M1115" s="217"/>
      <c r="N1115" s="217"/>
      <c r="O1115" s="44"/>
      <c r="P1115" s="44"/>
      <c r="Q1115" s="44"/>
      <c r="R1115" s="44"/>
      <c r="S1115" s="44"/>
      <c r="T1115" s="44"/>
      <c r="U1115" s="44"/>
      <c r="V1115" s="44"/>
      <c r="W1115" s="44"/>
      <c r="X1115" s="44"/>
      <c r="Y1115" s="44"/>
      <c r="Z1115" s="44"/>
      <c r="AA1115" s="44"/>
      <c r="AB1115" s="44"/>
      <c r="AC1115" s="44"/>
      <c r="AD1115" s="44"/>
      <c r="AE1115" s="44"/>
      <c r="AF1115" s="44"/>
      <c r="AG1115" s="44"/>
      <c r="AH1115" s="44"/>
      <c r="AI1115" s="44"/>
      <c r="AJ1115" s="44"/>
      <c r="AK1115" s="44"/>
      <c r="AL1115" s="44"/>
      <c r="AM1115" s="44"/>
      <c r="AN1115" s="44"/>
      <c r="AO1115" s="44"/>
      <c r="AP1115" s="44"/>
      <c r="AQ1115" s="44"/>
      <c r="BA1115" s="5"/>
      <c r="BB1115" s="5"/>
      <c r="BC1115" s="5"/>
      <c r="BD1115" s="5"/>
      <c r="BE1115" s="63"/>
      <c r="BF1115" s="63"/>
      <c r="BG1115" s="63"/>
      <c r="CA1115" s="256"/>
      <c r="CB1115" s="261"/>
      <c r="CC1115" s="261"/>
      <c r="CD1115" s="261"/>
      <c r="CE1115" s="261"/>
      <c r="CF1115" s="261"/>
      <c r="CG1115" s="53"/>
      <c r="CH1115" s="53"/>
      <c r="CI1115" s="53"/>
      <c r="CJ1115" s="53"/>
      <c r="CK1115" s="53"/>
      <c r="CL1115" s="53"/>
      <c r="CN1115" s="53"/>
      <c r="CO1115" s="53"/>
      <c r="CP1115" s="53"/>
      <c r="CQ1115" s="53"/>
      <c r="CR1115" s="53"/>
      <c r="CS1115" s="53"/>
      <c r="CT1115" s="261"/>
      <c r="CU1115" s="261"/>
      <c r="CV1115" s="255"/>
      <c r="CW1115" s="255"/>
      <c r="CX1115" s="261"/>
      <c r="CY1115" s="255"/>
    </row>
    <row r="1116" spans="1:103" ht="10.25" customHeight="1">
      <c r="A1116" s="216"/>
      <c r="B1116" s="217"/>
      <c r="C1116" s="218"/>
      <c r="D1116" s="219"/>
      <c r="E1116" s="217"/>
      <c r="F1116" s="217"/>
      <c r="G1116" s="217"/>
      <c r="H1116" s="220"/>
      <c r="I1116" s="217"/>
      <c r="J1116" s="217"/>
      <c r="K1116" s="217"/>
      <c r="L1116" s="217"/>
      <c r="M1116" s="217"/>
      <c r="N1116" s="217"/>
      <c r="O1116" s="44"/>
      <c r="P1116" s="44"/>
      <c r="Q1116" s="44"/>
      <c r="R1116" s="44"/>
      <c r="S1116" s="44"/>
      <c r="T1116" s="44"/>
      <c r="U1116" s="44"/>
      <c r="V1116" s="44"/>
      <c r="W1116" s="44"/>
      <c r="X1116" s="44"/>
      <c r="Y1116" s="44"/>
      <c r="Z1116" s="44"/>
      <c r="AA1116" s="44"/>
      <c r="AB1116" s="44"/>
      <c r="AC1116" s="44"/>
      <c r="AD1116" s="44"/>
      <c r="AE1116" s="44"/>
      <c r="AF1116" s="44"/>
      <c r="AG1116" s="44"/>
      <c r="AH1116" s="44"/>
      <c r="AI1116" s="44"/>
      <c r="AJ1116" s="44"/>
      <c r="AK1116" s="44"/>
      <c r="AL1116" s="44"/>
      <c r="AM1116" s="44"/>
      <c r="AN1116" s="44"/>
      <c r="AO1116" s="44"/>
      <c r="AP1116" s="44"/>
      <c r="AQ1116" s="44"/>
      <c r="BA1116" s="5"/>
      <c r="BB1116" s="5"/>
      <c r="BC1116" s="5"/>
      <c r="BD1116" s="5"/>
      <c r="BE1116" s="63"/>
      <c r="BF1116" s="63"/>
      <c r="BG1116" s="63"/>
      <c r="CA1116" s="256"/>
      <c r="CB1116" s="261"/>
      <c r="CC1116" s="261"/>
      <c r="CD1116" s="261"/>
      <c r="CE1116" s="261"/>
      <c r="CF1116" s="261"/>
      <c r="CG1116" s="53"/>
      <c r="CH1116" s="53"/>
      <c r="CI1116" s="53"/>
      <c r="CJ1116" s="53"/>
      <c r="CK1116" s="53"/>
      <c r="CL1116" s="53"/>
      <c r="CN1116" s="53"/>
      <c r="CO1116" s="53"/>
      <c r="CP1116" s="53"/>
      <c r="CQ1116" s="53"/>
      <c r="CR1116" s="53"/>
      <c r="CS1116" s="53"/>
      <c r="CT1116" s="261"/>
      <c r="CU1116" s="261"/>
      <c r="CV1116" s="261"/>
      <c r="CW1116" s="261"/>
      <c r="CX1116" s="255"/>
      <c r="CY1116" s="255"/>
    </row>
    <row r="1117" spans="1:103" ht="10.25" customHeight="1">
      <c r="A1117" s="216"/>
      <c r="B1117" s="217"/>
      <c r="C1117" s="218"/>
      <c r="D1117" s="219"/>
      <c r="E1117" s="217"/>
      <c r="F1117" s="217"/>
      <c r="G1117" s="217"/>
      <c r="H1117" s="220"/>
      <c r="I1117" s="217"/>
      <c r="J1117" s="217"/>
      <c r="K1117" s="217"/>
      <c r="L1117" s="217"/>
      <c r="M1117" s="217"/>
      <c r="N1117" s="217"/>
      <c r="O1117" s="44"/>
      <c r="P1117" s="44"/>
      <c r="Q1117" s="44"/>
      <c r="R1117" s="44"/>
      <c r="S1117" s="44"/>
      <c r="T1117" s="44"/>
      <c r="U1117" s="44"/>
      <c r="V1117" s="44"/>
      <c r="W1117" s="44"/>
      <c r="X1117" s="44"/>
      <c r="Y1117" s="44"/>
      <c r="Z1117" s="44"/>
      <c r="AA1117" s="44"/>
      <c r="AB1117" s="44"/>
      <c r="AC1117" s="44"/>
      <c r="AD1117" s="44"/>
      <c r="AE1117" s="44"/>
      <c r="AF1117" s="44"/>
      <c r="AG1117" s="44"/>
      <c r="AH1117" s="44"/>
      <c r="AI1117" s="44"/>
      <c r="AJ1117" s="44"/>
      <c r="AK1117" s="44"/>
      <c r="AL1117" s="44"/>
      <c r="AM1117" s="44"/>
      <c r="AN1117" s="44"/>
      <c r="AO1117" s="44"/>
      <c r="AP1117" s="44"/>
      <c r="AQ1117" s="44"/>
      <c r="BA1117" s="5"/>
      <c r="BB1117" s="5"/>
      <c r="BC1117" s="5"/>
      <c r="BD1117" s="5"/>
      <c r="BE1117" s="63"/>
      <c r="BF1117" s="63"/>
      <c r="BG1117" s="63"/>
      <c r="CA1117" s="256"/>
      <c r="CB1117" s="261"/>
      <c r="CC1117" s="261"/>
      <c r="CD1117" s="261"/>
      <c r="CE1117" s="261"/>
      <c r="CF1117" s="261"/>
      <c r="CG1117" s="53"/>
      <c r="CH1117" s="53"/>
      <c r="CI1117" s="53"/>
      <c r="CJ1117" s="53"/>
      <c r="CK1117" s="53"/>
      <c r="CL1117" s="53"/>
      <c r="CN1117" s="53"/>
      <c r="CO1117" s="53"/>
      <c r="CP1117" s="53"/>
      <c r="CQ1117" s="53"/>
      <c r="CR1117" s="53"/>
      <c r="CS1117" s="53"/>
      <c r="CT1117" s="261"/>
      <c r="CU1117" s="261"/>
      <c r="CV1117" s="255"/>
      <c r="CW1117" s="255"/>
      <c r="CX1117" s="261"/>
      <c r="CY1117" s="255"/>
    </row>
    <row r="1118" spans="1:103" ht="10.25" customHeight="1">
      <c r="A1118" s="216"/>
      <c r="B1118" s="217"/>
      <c r="C1118" s="218"/>
      <c r="D1118" s="219"/>
      <c r="E1118" s="217"/>
      <c r="F1118" s="217"/>
      <c r="G1118" s="217"/>
      <c r="H1118" s="220"/>
      <c r="I1118" s="217"/>
      <c r="J1118" s="217"/>
      <c r="K1118" s="217"/>
      <c r="L1118" s="217"/>
      <c r="M1118" s="217"/>
      <c r="N1118" s="217"/>
      <c r="O1118" s="44"/>
      <c r="P1118" s="44"/>
      <c r="Q1118" s="44"/>
      <c r="R1118" s="44"/>
      <c r="S1118" s="44"/>
      <c r="T1118" s="44"/>
      <c r="U1118" s="44"/>
      <c r="V1118" s="44"/>
      <c r="W1118" s="44"/>
      <c r="X1118" s="44"/>
      <c r="Y1118" s="44"/>
      <c r="Z1118" s="44"/>
      <c r="AA1118" s="44"/>
      <c r="AB1118" s="44"/>
      <c r="AC1118" s="44"/>
      <c r="AD1118" s="44"/>
      <c r="AE1118" s="44"/>
      <c r="AF1118" s="44"/>
      <c r="AG1118" s="44"/>
      <c r="AH1118" s="44"/>
      <c r="AI1118" s="44"/>
      <c r="AJ1118" s="44"/>
      <c r="AK1118" s="44"/>
      <c r="AL1118" s="44"/>
      <c r="AM1118" s="44"/>
      <c r="AN1118" s="44"/>
      <c r="AO1118" s="44"/>
      <c r="AP1118" s="44"/>
      <c r="AQ1118" s="44"/>
      <c r="BA1118" s="5"/>
      <c r="BB1118" s="5"/>
      <c r="BC1118" s="5"/>
      <c r="BD1118" s="5"/>
      <c r="BE1118" s="63"/>
      <c r="BF1118" s="63"/>
      <c r="BG1118" s="63"/>
      <c r="CA1118" s="256"/>
      <c r="CB1118" s="261"/>
      <c r="CC1118" s="261"/>
      <c r="CD1118" s="261"/>
      <c r="CE1118" s="261"/>
      <c r="CF1118" s="261"/>
      <c r="CG1118" s="53"/>
      <c r="CH1118" s="53"/>
      <c r="CI1118" s="53"/>
      <c r="CJ1118" s="53"/>
      <c r="CK1118" s="53"/>
      <c r="CL1118" s="53"/>
      <c r="CN1118" s="53"/>
      <c r="CO1118" s="53"/>
      <c r="CP1118" s="53"/>
      <c r="CQ1118" s="53"/>
      <c r="CR1118" s="53"/>
      <c r="CS1118" s="53"/>
      <c r="CT1118" s="261"/>
      <c r="CU1118" s="261"/>
      <c r="CV1118" s="261"/>
      <c r="CW1118" s="261"/>
      <c r="CX1118" s="261"/>
      <c r="CY1118" s="255"/>
    </row>
    <row r="1119" spans="1:103" ht="10.25" customHeight="1">
      <c r="A1119" s="216"/>
      <c r="B1119" s="217"/>
      <c r="C1119" s="218"/>
      <c r="D1119" s="219"/>
      <c r="E1119" s="217"/>
      <c r="F1119" s="217"/>
      <c r="G1119" s="217"/>
      <c r="H1119" s="220"/>
      <c r="I1119" s="217"/>
      <c r="J1119" s="217"/>
      <c r="K1119" s="217"/>
      <c r="L1119" s="217"/>
      <c r="M1119" s="217"/>
      <c r="N1119" s="217"/>
      <c r="O1119" s="44"/>
      <c r="P1119" s="44"/>
      <c r="Q1119" s="44"/>
      <c r="R1119" s="44"/>
      <c r="S1119" s="44"/>
      <c r="T1119" s="44"/>
      <c r="U1119" s="44"/>
      <c r="V1119" s="44"/>
      <c r="W1119" s="44"/>
      <c r="X1119" s="44"/>
      <c r="Y1119" s="44"/>
      <c r="Z1119" s="44"/>
      <c r="AA1119" s="44"/>
      <c r="AB1119" s="44"/>
      <c r="AC1119" s="44"/>
      <c r="AD1119" s="44"/>
      <c r="AE1119" s="44"/>
      <c r="AF1119" s="44"/>
      <c r="AG1119" s="44"/>
      <c r="AH1119" s="44"/>
      <c r="AI1119" s="44"/>
      <c r="AJ1119" s="44"/>
      <c r="AK1119" s="44"/>
      <c r="AL1119" s="44"/>
      <c r="AM1119" s="44"/>
      <c r="AN1119" s="44"/>
      <c r="AO1119" s="44"/>
      <c r="AP1119" s="44"/>
      <c r="AQ1119" s="44"/>
      <c r="BA1119" s="5"/>
      <c r="BB1119" s="5"/>
      <c r="BC1119" s="5"/>
      <c r="BD1119" s="5"/>
      <c r="BE1119" s="63"/>
      <c r="BF1119" s="63"/>
      <c r="BG1119" s="63"/>
      <c r="CA1119" s="256"/>
      <c r="CB1119" s="261"/>
      <c r="CC1119" s="261"/>
      <c r="CD1119" s="261"/>
      <c r="CE1119" s="261"/>
      <c r="CF1119" s="261"/>
      <c r="CG1119" s="53"/>
      <c r="CH1119" s="53"/>
      <c r="CI1119" s="53"/>
      <c r="CJ1119" s="53"/>
      <c r="CK1119" s="53"/>
      <c r="CL1119" s="53"/>
      <c r="CN1119" s="53"/>
      <c r="CO1119" s="53"/>
      <c r="CP1119" s="53"/>
      <c r="CQ1119" s="53"/>
      <c r="CR1119" s="53"/>
      <c r="CS1119" s="53"/>
      <c r="CT1119" s="261"/>
      <c r="CU1119" s="261"/>
      <c r="CV1119" s="261"/>
      <c r="CW1119" s="255"/>
      <c r="CX1119" s="261"/>
      <c r="CY1119" s="255"/>
    </row>
    <row r="1120" spans="1:103" ht="10.25" customHeight="1">
      <c r="A1120" s="216"/>
      <c r="B1120" s="217"/>
      <c r="C1120" s="218"/>
      <c r="D1120" s="219"/>
      <c r="E1120" s="217"/>
      <c r="F1120" s="217"/>
      <c r="G1120" s="217"/>
      <c r="H1120" s="220"/>
      <c r="I1120" s="217"/>
      <c r="J1120" s="217"/>
      <c r="K1120" s="217"/>
      <c r="L1120" s="217"/>
      <c r="M1120" s="217"/>
      <c r="N1120" s="217"/>
      <c r="O1120" s="44"/>
      <c r="P1120" s="44"/>
      <c r="Q1120" s="44"/>
      <c r="R1120" s="44"/>
      <c r="S1120" s="44"/>
      <c r="T1120" s="44"/>
      <c r="U1120" s="44"/>
      <c r="V1120" s="44"/>
      <c r="W1120" s="44"/>
      <c r="X1120" s="44"/>
      <c r="Y1120" s="44"/>
      <c r="Z1120" s="44"/>
      <c r="AA1120" s="44"/>
      <c r="AB1120" s="44"/>
      <c r="AC1120" s="44"/>
      <c r="AD1120" s="44"/>
      <c r="AE1120" s="44"/>
      <c r="AF1120" s="44"/>
      <c r="AG1120" s="44"/>
      <c r="AH1120" s="44"/>
      <c r="AI1120" s="44"/>
      <c r="AJ1120" s="44"/>
      <c r="AK1120" s="44"/>
      <c r="AL1120" s="44"/>
      <c r="AM1120" s="44"/>
      <c r="AN1120" s="44"/>
      <c r="AO1120" s="44"/>
      <c r="AP1120" s="44"/>
      <c r="AQ1120" s="44"/>
      <c r="BA1120" s="5"/>
      <c r="BB1120" s="5"/>
      <c r="BC1120" s="5"/>
      <c r="BD1120" s="5"/>
      <c r="BE1120" s="63"/>
      <c r="BF1120" s="63"/>
      <c r="BG1120" s="63"/>
      <c r="CA1120" s="256"/>
      <c r="CB1120" s="261"/>
      <c r="CC1120" s="261"/>
      <c r="CD1120" s="261"/>
      <c r="CE1120" s="261"/>
      <c r="CF1120" s="261"/>
      <c r="CG1120" s="53"/>
      <c r="CH1120" s="53"/>
      <c r="CI1120" s="53"/>
      <c r="CJ1120" s="53"/>
      <c r="CK1120" s="53"/>
      <c r="CL1120" s="53"/>
      <c r="CN1120" s="53"/>
      <c r="CO1120" s="53"/>
      <c r="CP1120" s="53"/>
      <c r="CQ1120" s="53"/>
      <c r="CR1120" s="53"/>
      <c r="CS1120" s="53"/>
      <c r="CT1120" s="261"/>
      <c r="CU1120" s="261"/>
      <c r="CV1120" s="261"/>
      <c r="CW1120" s="261"/>
      <c r="CX1120" s="261"/>
      <c r="CY1120" s="255"/>
    </row>
    <row r="1121" spans="1:103" ht="10.25" customHeight="1">
      <c r="A1121" s="216"/>
      <c r="B1121" s="217"/>
      <c r="C1121" s="218"/>
      <c r="D1121" s="219"/>
      <c r="E1121" s="217"/>
      <c r="F1121" s="217"/>
      <c r="G1121" s="217"/>
      <c r="H1121" s="220"/>
      <c r="I1121" s="217"/>
      <c r="J1121" s="217"/>
      <c r="K1121" s="217"/>
      <c r="L1121" s="217"/>
      <c r="M1121" s="217"/>
      <c r="N1121" s="217"/>
      <c r="O1121" s="44"/>
      <c r="P1121" s="44"/>
      <c r="Q1121" s="44"/>
      <c r="R1121" s="44"/>
      <c r="S1121" s="44"/>
      <c r="T1121" s="44"/>
      <c r="U1121" s="44"/>
      <c r="V1121" s="44"/>
      <c r="W1121" s="44"/>
      <c r="X1121" s="44"/>
      <c r="Y1121" s="44"/>
      <c r="Z1121" s="44"/>
      <c r="AA1121" s="44"/>
      <c r="AB1121" s="44"/>
      <c r="AC1121" s="44"/>
      <c r="AD1121" s="44"/>
      <c r="AE1121" s="44"/>
      <c r="AF1121" s="44"/>
      <c r="AG1121" s="44"/>
      <c r="AH1121" s="44"/>
      <c r="AI1121" s="44"/>
      <c r="AJ1121" s="44"/>
      <c r="AK1121" s="44"/>
      <c r="AL1121" s="44"/>
      <c r="AM1121" s="44"/>
      <c r="AN1121" s="44"/>
      <c r="AO1121" s="44"/>
      <c r="AP1121" s="44"/>
      <c r="AQ1121" s="44"/>
      <c r="BA1121" s="5"/>
      <c r="BB1121" s="5"/>
      <c r="BC1121" s="5"/>
      <c r="BD1121" s="5"/>
      <c r="BE1121" s="63"/>
      <c r="BF1121" s="63"/>
      <c r="BG1121" s="63"/>
      <c r="CA1121" s="256"/>
      <c r="CB1121" s="261"/>
      <c r="CC1121" s="261"/>
      <c r="CD1121" s="261"/>
      <c r="CE1121" s="261"/>
      <c r="CF1121" s="261"/>
      <c r="CG1121" s="53"/>
      <c r="CH1121" s="53"/>
      <c r="CI1121" s="53"/>
      <c r="CJ1121" s="53"/>
      <c r="CK1121" s="53"/>
      <c r="CL1121" s="53"/>
      <c r="CN1121" s="53"/>
      <c r="CO1121" s="53"/>
      <c r="CP1121" s="53"/>
      <c r="CQ1121" s="53"/>
      <c r="CR1121" s="53"/>
      <c r="CS1121" s="53"/>
      <c r="CT1121" s="261"/>
      <c r="CU1121" s="261"/>
      <c r="CV1121" s="255"/>
      <c r="CW1121" s="255"/>
      <c r="CX1121" s="261"/>
      <c r="CY1121" s="255"/>
    </row>
    <row r="1122" spans="1:103" ht="10.25" customHeight="1">
      <c r="A1122" s="216"/>
      <c r="B1122" s="217"/>
      <c r="C1122" s="218"/>
      <c r="D1122" s="219"/>
      <c r="E1122" s="217"/>
      <c r="F1122" s="217"/>
      <c r="G1122" s="217"/>
      <c r="H1122" s="220"/>
      <c r="I1122" s="217"/>
      <c r="J1122" s="217"/>
      <c r="K1122" s="217"/>
      <c r="L1122" s="217"/>
      <c r="M1122" s="217"/>
      <c r="N1122" s="217"/>
      <c r="O1122" s="44"/>
      <c r="P1122" s="44"/>
      <c r="Q1122" s="44"/>
      <c r="R1122" s="44"/>
      <c r="S1122" s="44"/>
      <c r="T1122" s="44"/>
      <c r="U1122" s="44"/>
      <c r="V1122" s="44"/>
      <c r="W1122" s="44"/>
      <c r="X1122" s="44"/>
      <c r="Y1122" s="44"/>
      <c r="Z1122" s="44"/>
      <c r="AA1122" s="44"/>
      <c r="AB1122" s="44"/>
      <c r="AC1122" s="44"/>
      <c r="AD1122" s="44"/>
      <c r="AE1122" s="44"/>
      <c r="AF1122" s="44"/>
      <c r="AG1122" s="44"/>
      <c r="AH1122" s="44"/>
      <c r="AI1122" s="44"/>
      <c r="AJ1122" s="44"/>
      <c r="AK1122" s="44"/>
      <c r="AL1122" s="44"/>
      <c r="AM1122" s="44"/>
      <c r="AN1122" s="44"/>
      <c r="AO1122" s="44"/>
      <c r="AP1122" s="44"/>
      <c r="AQ1122" s="44"/>
      <c r="BA1122" s="5"/>
      <c r="BB1122" s="5"/>
      <c r="BC1122" s="5"/>
      <c r="BD1122" s="5"/>
      <c r="BE1122" s="63"/>
      <c r="BF1122" s="63"/>
      <c r="BG1122" s="63"/>
      <c r="CA1122" s="256"/>
      <c r="CB1122" s="261"/>
      <c r="CC1122" s="261"/>
      <c r="CD1122" s="261"/>
      <c r="CE1122" s="261"/>
      <c r="CF1122" s="261"/>
      <c r="CG1122" s="53"/>
      <c r="CH1122" s="53"/>
      <c r="CI1122" s="53"/>
      <c r="CJ1122" s="53"/>
      <c r="CK1122" s="53"/>
      <c r="CL1122" s="53"/>
      <c r="CN1122" s="53"/>
      <c r="CO1122" s="53"/>
      <c r="CP1122" s="53"/>
      <c r="CQ1122" s="53"/>
      <c r="CR1122" s="53"/>
      <c r="CS1122" s="53"/>
      <c r="CT1122" s="261"/>
      <c r="CU1122" s="261"/>
      <c r="CV1122" s="261"/>
      <c r="CW1122" s="261"/>
      <c r="CX1122" s="261"/>
      <c r="CY1122" s="255"/>
    </row>
    <row r="1123" spans="1:103" ht="10.25" customHeight="1">
      <c r="A1123" s="216"/>
      <c r="B1123" s="217"/>
      <c r="C1123" s="218"/>
      <c r="D1123" s="219"/>
      <c r="E1123" s="217"/>
      <c r="F1123" s="217"/>
      <c r="G1123" s="217"/>
      <c r="H1123" s="220"/>
      <c r="I1123" s="217"/>
      <c r="J1123" s="217"/>
      <c r="K1123" s="217"/>
      <c r="L1123" s="217"/>
      <c r="M1123" s="217"/>
      <c r="N1123" s="217"/>
      <c r="O1123" s="44"/>
      <c r="P1123" s="44"/>
      <c r="Q1123" s="44"/>
      <c r="R1123" s="44"/>
      <c r="S1123" s="44"/>
      <c r="T1123" s="44"/>
      <c r="U1123" s="44"/>
      <c r="V1123" s="44"/>
      <c r="W1123" s="44"/>
      <c r="X1123" s="44"/>
      <c r="Y1123" s="44"/>
      <c r="Z1123" s="44"/>
      <c r="AA1123" s="44"/>
      <c r="AB1123" s="44"/>
      <c r="AC1123" s="44"/>
      <c r="AD1123" s="44"/>
      <c r="AE1123" s="44"/>
      <c r="AF1123" s="44"/>
      <c r="AG1123" s="44"/>
      <c r="AH1123" s="44"/>
      <c r="AI1123" s="44"/>
      <c r="AJ1123" s="44"/>
      <c r="AK1123" s="44"/>
      <c r="AL1123" s="44"/>
      <c r="AM1123" s="44"/>
      <c r="AN1123" s="44"/>
      <c r="AO1123" s="44"/>
      <c r="AP1123" s="44"/>
      <c r="AQ1123" s="44"/>
      <c r="BA1123" s="5"/>
      <c r="BB1123" s="5"/>
      <c r="BC1123" s="5"/>
      <c r="BD1123" s="5"/>
      <c r="BE1123" s="63"/>
      <c r="BF1123" s="63"/>
      <c r="BG1123" s="63"/>
      <c r="CA1123" s="256"/>
      <c r="CB1123" s="261"/>
      <c r="CC1123" s="261"/>
      <c r="CD1123" s="261"/>
      <c r="CE1123" s="261"/>
      <c r="CF1123" s="261"/>
      <c r="CG1123" s="53"/>
      <c r="CH1123" s="53"/>
      <c r="CI1123" s="53"/>
      <c r="CJ1123" s="53"/>
      <c r="CK1123" s="53"/>
      <c r="CL1123" s="53"/>
      <c r="CN1123" s="53"/>
      <c r="CO1123" s="53"/>
      <c r="CP1123" s="53"/>
      <c r="CQ1123" s="53"/>
      <c r="CR1123" s="53"/>
      <c r="CS1123" s="53"/>
      <c r="CT1123" s="261"/>
      <c r="CU1123" s="261"/>
      <c r="CV1123" s="255"/>
      <c r="CW1123" s="255"/>
      <c r="CX1123" s="255"/>
      <c r="CY1123" s="255"/>
    </row>
    <row r="1124" spans="1:103" ht="10.25" customHeight="1">
      <c r="A1124" s="216"/>
      <c r="B1124" s="217"/>
      <c r="C1124" s="218"/>
      <c r="D1124" s="219"/>
      <c r="E1124" s="217"/>
      <c r="F1124" s="217"/>
      <c r="G1124" s="217"/>
      <c r="H1124" s="220"/>
      <c r="I1124" s="217"/>
      <c r="J1124" s="217"/>
      <c r="K1124" s="217"/>
      <c r="L1124" s="217"/>
      <c r="M1124" s="217"/>
      <c r="N1124" s="217"/>
      <c r="O1124" s="44"/>
      <c r="P1124" s="44"/>
      <c r="Q1124" s="44"/>
      <c r="R1124" s="44"/>
      <c r="S1124" s="44"/>
      <c r="T1124" s="44"/>
      <c r="U1124" s="44"/>
      <c r="V1124" s="44"/>
      <c r="W1124" s="44"/>
      <c r="X1124" s="44"/>
      <c r="Y1124" s="44"/>
      <c r="Z1124" s="44"/>
      <c r="AA1124" s="44"/>
      <c r="AB1124" s="44"/>
      <c r="AC1124" s="44"/>
      <c r="AD1124" s="44"/>
      <c r="AE1124" s="44"/>
      <c r="AF1124" s="44"/>
      <c r="AG1124" s="44"/>
      <c r="AH1124" s="44"/>
      <c r="AI1124" s="44"/>
      <c r="AJ1124" s="44"/>
      <c r="AK1124" s="44"/>
      <c r="AL1124" s="44"/>
      <c r="AM1124" s="44"/>
      <c r="AN1124" s="44"/>
      <c r="AO1124" s="44"/>
      <c r="AP1124" s="44"/>
      <c r="AQ1124" s="44"/>
      <c r="BA1124" s="5"/>
      <c r="BB1124" s="5"/>
      <c r="BC1124" s="5"/>
      <c r="BD1124" s="5"/>
      <c r="BE1124" s="63"/>
      <c r="BF1124" s="63"/>
      <c r="BG1124" s="63"/>
      <c r="CA1124" s="256"/>
      <c r="CB1124" s="261"/>
      <c r="CC1124" s="261"/>
      <c r="CD1124" s="261"/>
      <c r="CE1124" s="261"/>
      <c r="CF1124" s="261"/>
      <c r="CG1124" s="53"/>
      <c r="CH1124" s="53"/>
      <c r="CI1124" s="53"/>
      <c r="CJ1124" s="53"/>
      <c r="CK1124" s="53"/>
      <c r="CL1124" s="53"/>
      <c r="CN1124" s="53"/>
      <c r="CO1124" s="53"/>
      <c r="CP1124" s="53"/>
      <c r="CQ1124" s="53"/>
      <c r="CR1124" s="53"/>
      <c r="CS1124" s="53"/>
      <c r="CT1124" s="261"/>
      <c r="CU1124" s="261"/>
      <c r="CV1124" s="261"/>
      <c r="CW1124" s="255"/>
      <c r="CX1124" s="261"/>
      <c r="CY1124" s="255"/>
    </row>
    <row r="1125" spans="1:103" ht="10.25" customHeight="1">
      <c r="A1125" s="216"/>
      <c r="B1125" s="217"/>
      <c r="C1125" s="218"/>
      <c r="D1125" s="219"/>
      <c r="E1125" s="217"/>
      <c r="F1125" s="217"/>
      <c r="G1125" s="217"/>
      <c r="H1125" s="220"/>
      <c r="I1125" s="217"/>
      <c r="J1125" s="217"/>
      <c r="K1125" s="217"/>
      <c r="L1125" s="217"/>
      <c r="M1125" s="217"/>
      <c r="N1125" s="217"/>
      <c r="O1125" s="44"/>
      <c r="P1125" s="44"/>
      <c r="Q1125" s="44"/>
      <c r="R1125" s="44"/>
      <c r="S1125" s="44"/>
      <c r="T1125" s="44"/>
      <c r="U1125" s="44"/>
      <c r="V1125" s="44"/>
      <c r="W1125" s="44"/>
      <c r="X1125" s="44"/>
      <c r="Y1125" s="44"/>
      <c r="Z1125" s="44"/>
      <c r="AA1125" s="44"/>
      <c r="AB1125" s="44"/>
      <c r="AC1125" s="44"/>
      <c r="AD1125" s="44"/>
      <c r="AE1125" s="44"/>
      <c r="AF1125" s="44"/>
      <c r="AG1125" s="44"/>
      <c r="AH1125" s="44"/>
      <c r="AI1125" s="44"/>
      <c r="AJ1125" s="44"/>
      <c r="AK1125" s="44"/>
      <c r="AL1125" s="44"/>
      <c r="AM1125" s="44"/>
      <c r="AN1125" s="44"/>
      <c r="AO1125" s="44"/>
      <c r="AP1125" s="44"/>
      <c r="AQ1125" s="44"/>
      <c r="BA1125" s="5"/>
      <c r="BB1125" s="5"/>
      <c r="BC1125" s="5"/>
      <c r="BD1125" s="5"/>
      <c r="BE1125" s="63"/>
      <c r="BF1125" s="63"/>
      <c r="BG1125" s="63"/>
      <c r="CA1125" s="256"/>
      <c r="CB1125" s="261"/>
      <c r="CC1125" s="261"/>
      <c r="CD1125" s="261"/>
      <c r="CE1125" s="261"/>
      <c r="CF1125" s="261"/>
      <c r="CG1125" s="53"/>
      <c r="CH1125" s="53"/>
      <c r="CI1125" s="53"/>
      <c r="CJ1125" s="53"/>
      <c r="CK1125" s="53"/>
      <c r="CL1125" s="53"/>
      <c r="CN1125" s="53"/>
      <c r="CO1125" s="53"/>
      <c r="CP1125" s="53"/>
      <c r="CQ1125" s="53"/>
      <c r="CR1125" s="53"/>
      <c r="CS1125" s="53"/>
      <c r="CT1125" s="261"/>
      <c r="CU1125" s="261"/>
      <c r="CV1125" s="255"/>
      <c r="CW1125" s="255"/>
      <c r="CX1125" s="261"/>
      <c r="CY1125" s="255"/>
    </row>
    <row r="1126" spans="1:103" ht="10.25" customHeight="1">
      <c r="A1126" s="216"/>
      <c r="B1126" s="217"/>
      <c r="C1126" s="218"/>
      <c r="D1126" s="219"/>
      <c r="E1126" s="217"/>
      <c r="F1126" s="217"/>
      <c r="G1126" s="217"/>
      <c r="H1126" s="220"/>
      <c r="I1126" s="217"/>
      <c r="J1126" s="217"/>
      <c r="K1126" s="217"/>
      <c r="L1126" s="217"/>
      <c r="M1126" s="217"/>
      <c r="N1126" s="217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BA1126" s="5"/>
      <c r="BB1126" s="5"/>
      <c r="BC1126" s="5"/>
      <c r="BD1126" s="5"/>
      <c r="BE1126" s="63"/>
      <c r="BF1126" s="63"/>
      <c r="BG1126" s="63"/>
      <c r="CA1126" s="256"/>
      <c r="CB1126" s="261"/>
      <c r="CC1126" s="261"/>
      <c r="CD1126" s="261"/>
      <c r="CE1126" s="261"/>
      <c r="CF1126" s="261"/>
      <c r="CG1126" s="53"/>
      <c r="CH1126" s="53"/>
      <c r="CI1126" s="53"/>
      <c r="CJ1126" s="53"/>
      <c r="CK1126" s="53"/>
      <c r="CL1126" s="53"/>
      <c r="CN1126" s="53"/>
      <c r="CO1126" s="53"/>
      <c r="CP1126" s="53"/>
      <c r="CQ1126" s="53"/>
      <c r="CR1126" s="53"/>
      <c r="CS1126" s="53"/>
      <c r="CT1126" s="261"/>
      <c r="CU1126" s="261"/>
      <c r="CV1126" s="261"/>
      <c r="CW1126" s="261"/>
      <c r="CX1126" s="261"/>
      <c r="CY1126" s="255"/>
    </row>
    <row r="1127" spans="1:103" ht="10.25" customHeight="1">
      <c r="A1127" s="216"/>
      <c r="B1127" s="217"/>
      <c r="C1127" s="218"/>
      <c r="D1127" s="219"/>
      <c r="E1127" s="217"/>
      <c r="F1127" s="217"/>
      <c r="G1127" s="217"/>
      <c r="H1127" s="220"/>
      <c r="I1127" s="217"/>
      <c r="J1127" s="217"/>
      <c r="K1127" s="217"/>
      <c r="L1127" s="217"/>
      <c r="M1127" s="217"/>
      <c r="N1127" s="217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BA1127" s="5"/>
      <c r="BB1127" s="5"/>
      <c r="BC1127" s="5"/>
      <c r="BD1127" s="5"/>
      <c r="BE1127" s="63"/>
      <c r="BF1127" s="63"/>
      <c r="BG1127" s="63"/>
      <c r="CA1127" s="256"/>
      <c r="CB1127" s="261"/>
      <c r="CC1127" s="261"/>
      <c r="CD1127" s="261"/>
      <c r="CE1127" s="261"/>
      <c r="CF1127" s="261"/>
      <c r="CG1127" s="53"/>
      <c r="CH1127" s="53"/>
      <c r="CI1127" s="53"/>
      <c r="CJ1127" s="53"/>
      <c r="CK1127" s="53"/>
      <c r="CL1127" s="53"/>
      <c r="CN1127" s="53"/>
      <c r="CO1127" s="53"/>
      <c r="CP1127" s="53"/>
      <c r="CQ1127" s="53"/>
      <c r="CR1127" s="53"/>
      <c r="CS1127" s="53"/>
      <c r="CT1127" s="261"/>
      <c r="CU1127" s="261"/>
      <c r="CV1127" s="255"/>
      <c r="CW1127" s="255"/>
      <c r="CX1127" s="261"/>
      <c r="CY1127" s="255"/>
    </row>
    <row r="1128" spans="1:103" ht="10.25" customHeight="1">
      <c r="A1128" s="216"/>
      <c r="B1128" s="217"/>
      <c r="C1128" s="218"/>
      <c r="D1128" s="219"/>
      <c r="E1128" s="217"/>
      <c r="F1128" s="217"/>
      <c r="G1128" s="217"/>
      <c r="H1128" s="220"/>
      <c r="I1128" s="217"/>
      <c r="J1128" s="217"/>
      <c r="K1128" s="217"/>
      <c r="L1128" s="217"/>
      <c r="M1128" s="217"/>
      <c r="N1128" s="217"/>
      <c r="O1128" s="44"/>
      <c r="P1128" s="44"/>
      <c r="Q1128" s="44"/>
      <c r="R1128" s="44"/>
      <c r="S1128" s="44"/>
      <c r="T1128" s="44"/>
      <c r="U1128" s="44"/>
      <c r="V1128" s="44"/>
      <c r="W1128" s="44"/>
      <c r="X1128" s="44"/>
      <c r="Y1128" s="44"/>
      <c r="Z1128" s="44"/>
      <c r="AA1128" s="44"/>
      <c r="AB1128" s="44"/>
      <c r="AC1128" s="44"/>
      <c r="AD1128" s="44"/>
      <c r="AE1128" s="44"/>
      <c r="AF1128" s="44"/>
      <c r="AG1128" s="44"/>
      <c r="AH1128" s="44"/>
      <c r="AI1128" s="44"/>
      <c r="AJ1128" s="44"/>
      <c r="AK1128" s="44"/>
      <c r="AL1128" s="44"/>
      <c r="AM1128" s="44"/>
      <c r="AN1128" s="44"/>
      <c r="AO1128" s="44"/>
      <c r="AP1128" s="44"/>
      <c r="AQ1128" s="44"/>
      <c r="BA1128" s="5"/>
      <c r="BB1128" s="5"/>
      <c r="BC1128" s="5"/>
      <c r="BD1128" s="5"/>
      <c r="BE1128" s="63"/>
      <c r="BF1128" s="63"/>
      <c r="BG1128" s="63"/>
      <c r="CA1128" s="256"/>
      <c r="CB1128" s="261"/>
      <c r="CC1128" s="261"/>
      <c r="CD1128" s="261"/>
      <c r="CE1128" s="261"/>
      <c r="CF1128" s="255"/>
      <c r="CG1128" s="53"/>
      <c r="CH1128" s="53"/>
      <c r="CI1128" s="53"/>
      <c r="CJ1128" s="53"/>
      <c r="CK1128" s="53"/>
      <c r="CL1128" s="53"/>
      <c r="CN1128" s="53"/>
      <c r="CO1128" s="53"/>
      <c r="CP1128" s="53"/>
      <c r="CQ1128" s="53"/>
      <c r="CR1128" s="53"/>
      <c r="CS1128" s="53"/>
      <c r="CT1128" s="261"/>
      <c r="CU1128" s="255"/>
      <c r="CV1128" s="261"/>
      <c r="CW1128" s="261"/>
      <c r="CX1128" s="261"/>
      <c r="CY1128" s="255"/>
    </row>
    <row r="1129" spans="1:103" ht="10.25" customHeight="1">
      <c r="A1129" s="216"/>
      <c r="B1129" s="217"/>
      <c r="C1129" s="218"/>
      <c r="D1129" s="219"/>
      <c r="E1129" s="217"/>
      <c r="F1129" s="217"/>
      <c r="G1129" s="217"/>
      <c r="H1129" s="220"/>
      <c r="I1129" s="217"/>
      <c r="J1129" s="217"/>
      <c r="K1129" s="217"/>
      <c r="L1129" s="217"/>
      <c r="M1129" s="217"/>
      <c r="N1129" s="217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44"/>
      <c r="AL1129" s="44"/>
      <c r="AM1129" s="44"/>
      <c r="AN1129" s="44"/>
      <c r="AO1129" s="44"/>
      <c r="AP1129" s="44"/>
      <c r="AQ1129" s="44"/>
      <c r="BA1129" s="5"/>
      <c r="BB1129" s="5"/>
      <c r="BC1129" s="5"/>
      <c r="BD1129" s="5"/>
      <c r="BE1129" s="63"/>
      <c r="BF1129" s="63"/>
      <c r="BG1129" s="63"/>
      <c r="CA1129" s="256"/>
      <c r="CB1129" s="261"/>
      <c r="CC1129" s="261"/>
      <c r="CD1129" s="261"/>
      <c r="CE1129" s="261"/>
      <c r="CF1129" s="255"/>
      <c r="CG1129" s="53"/>
      <c r="CH1129" s="53"/>
      <c r="CI1129" s="53"/>
      <c r="CJ1129" s="53"/>
      <c r="CK1129" s="53"/>
      <c r="CL1129" s="53"/>
      <c r="CN1129" s="53"/>
      <c r="CO1129" s="53"/>
      <c r="CP1129" s="53"/>
      <c r="CQ1129" s="53"/>
      <c r="CR1129" s="53"/>
      <c r="CS1129" s="53"/>
      <c r="CT1129" s="261"/>
      <c r="CU1129" s="255"/>
      <c r="CV1129" s="255"/>
      <c r="CW1129" s="255"/>
      <c r="CX1129" s="261"/>
      <c r="CY1129" s="255"/>
    </row>
    <row r="1130" spans="1:103" ht="10.25" customHeight="1">
      <c r="A1130" s="216"/>
      <c r="B1130" s="217"/>
      <c r="C1130" s="218"/>
      <c r="D1130" s="219"/>
      <c r="E1130" s="217"/>
      <c r="F1130" s="217"/>
      <c r="G1130" s="217"/>
      <c r="H1130" s="220"/>
      <c r="I1130" s="217"/>
      <c r="J1130" s="217"/>
      <c r="K1130" s="217"/>
      <c r="L1130" s="217"/>
      <c r="M1130" s="217"/>
      <c r="N1130" s="217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BA1130" s="5"/>
      <c r="BB1130" s="5"/>
      <c r="BC1130" s="5"/>
      <c r="BD1130" s="5"/>
      <c r="BE1130" s="63"/>
      <c r="BF1130" s="63"/>
      <c r="BG1130" s="63"/>
      <c r="CA1130" s="256"/>
      <c r="CB1130" s="261"/>
      <c r="CC1130" s="261"/>
      <c r="CD1130" s="261"/>
      <c r="CE1130" s="255"/>
      <c r="CF1130" s="261"/>
      <c r="CG1130" s="53"/>
      <c r="CH1130" s="53"/>
      <c r="CI1130" s="53"/>
      <c r="CJ1130" s="53"/>
      <c r="CK1130" s="53"/>
      <c r="CL1130" s="53"/>
      <c r="CN1130" s="53"/>
      <c r="CO1130" s="53"/>
      <c r="CP1130" s="53"/>
      <c r="CQ1130" s="53"/>
      <c r="CR1130" s="53"/>
      <c r="CS1130" s="53"/>
      <c r="CT1130" s="255"/>
      <c r="CU1130" s="261"/>
      <c r="CV1130" s="261"/>
      <c r="CW1130" s="261"/>
      <c r="CX1130" s="261"/>
      <c r="CY1130" s="255"/>
    </row>
    <row r="1131" spans="1:103" ht="10.25" customHeight="1">
      <c r="A1131" s="216"/>
      <c r="B1131" s="217"/>
      <c r="C1131" s="218"/>
      <c r="D1131" s="219"/>
      <c r="E1131" s="217"/>
      <c r="F1131" s="217"/>
      <c r="G1131" s="217"/>
      <c r="H1131" s="220"/>
      <c r="I1131" s="217"/>
      <c r="J1131" s="217"/>
      <c r="K1131" s="217"/>
      <c r="L1131" s="217"/>
      <c r="M1131" s="217"/>
      <c r="N1131" s="217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BA1131" s="5"/>
      <c r="BB1131" s="5"/>
      <c r="BC1131" s="5"/>
      <c r="BD1131" s="5"/>
      <c r="BE1131" s="63"/>
      <c r="BF1131" s="63"/>
      <c r="BG1131" s="63"/>
      <c r="CA1131" s="256"/>
      <c r="CB1131" s="261"/>
      <c r="CC1131" s="261"/>
      <c r="CD1131" s="261"/>
      <c r="CE1131" s="255"/>
      <c r="CF1131" s="261"/>
      <c r="CG1131" s="53"/>
      <c r="CH1131" s="53"/>
      <c r="CI1131" s="53"/>
      <c r="CJ1131" s="53"/>
      <c r="CK1131" s="53"/>
      <c r="CL1131" s="53"/>
      <c r="CN1131" s="53"/>
      <c r="CO1131" s="53"/>
      <c r="CP1131" s="53"/>
      <c r="CQ1131" s="53"/>
      <c r="CR1131" s="53"/>
      <c r="CS1131" s="53"/>
      <c r="CT1131" s="255"/>
      <c r="CU1131" s="261"/>
      <c r="CV1131" s="255"/>
      <c r="CW1131" s="255"/>
      <c r="CX1131" s="261"/>
      <c r="CY1131" s="255"/>
    </row>
    <row r="1132" spans="1:103" ht="10.25" customHeight="1">
      <c r="A1132" s="216"/>
      <c r="B1132" s="217"/>
      <c r="C1132" s="218"/>
      <c r="D1132" s="219"/>
      <c r="E1132" s="217"/>
      <c r="F1132" s="217"/>
      <c r="G1132" s="217"/>
      <c r="H1132" s="220"/>
      <c r="I1132" s="217"/>
      <c r="J1132" s="217"/>
      <c r="K1132" s="217"/>
      <c r="L1132" s="217"/>
      <c r="M1132" s="217"/>
      <c r="N1132" s="217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BA1132" s="5"/>
      <c r="BB1132" s="5"/>
      <c r="BC1132" s="5"/>
      <c r="BD1132" s="5"/>
      <c r="BE1132" s="63"/>
      <c r="BF1132" s="63"/>
      <c r="BG1132" s="63"/>
      <c r="CA1132" s="256"/>
      <c r="CB1132" s="261"/>
      <c r="CC1132" s="261"/>
      <c r="CD1132" s="261"/>
      <c r="CE1132" s="261"/>
      <c r="CF1132" s="261"/>
      <c r="CG1132" s="53"/>
      <c r="CH1132" s="53"/>
      <c r="CI1132" s="53"/>
      <c r="CJ1132" s="53"/>
      <c r="CK1132" s="53"/>
      <c r="CL1132" s="53"/>
      <c r="CN1132" s="53"/>
      <c r="CO1132" s="53"/>
      <c r="CP1132" s="53"/>
      <c r="CQ1132" s="53"/>
      <c r="CR1132" s="53"/>
      <c r="CS1132" s="53"/>
      <c r="CT1132" s="261"/>
      <c r="CU1132" s="261"/>
      <c r="CV1132" s="261"/>
      <c r="CW1132" s="261"/>
      <c r="CX1132" s="255"/>
      <c r="CY1132" s="255"/>
    </row>
    <row r="1133" spans="1:103" ht="10.25" customHeight="1">
      <c r="A1133" s="216"/>
      <c r="B1133" s="217"/>
      <c r="C1133" s="218"/>
      <c r="D1133" s="219"/>
      <c r="E1133" s="217"/>
      <c r="F1133" s="217"/>
      <c r="G1133" s="217"/>
      <c r="H1133" s="220"/>
      <c r="I1133" s="217"/>
      <c r="J1133" s="217"/>
      <c r="K1133" s="217"/>
      <c r="L1133" s="217"/>
      <c r="M1133" s="217"/>
      <c r="N1133" s="217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BA1133" s="5"/>
      <c r="BB1133" s="5"/>
      <c r="BC1133" s="5"/>
      <c r="BD1133" s="5"/>
      <c r="BE1133" s="63"/>
      <c r="BF1133" s="63"/>
      <c r="BG1133" s="63"/>
      <c r="CA1133" s="256"/>
      <c r="CB1133" s="261"/>
      <c r="CC1133" s="261"/>
      <c r="CD1133" s="261"/>
      <c r="CE1133" s="261"/>
      <c r="CF1133" s="261"/>
      <c r="CG1133" s="53"/>
      <c r="CH1133" s="53"/>
      <c r="CI1133" s="53"/>
      <c r="CJ1133" s="53"/>
      <c r="CK1133" s="53"/>
      <c r="CL1133" s="53"/>
      <c r="CN1133" s="53"/>
      <c r="CO1133" s="53"/>
      <c r="CP1133" s="53"/>
      <c r="CQ1133" s="53"/>
      <c r="CR1133" s="53"/>
      <c r="CS1133" s="53"/>
      <c r="CT1133" s="261"/>
      <c r="CU1133" s="261"/>
      <c r="CV1133" s="255"/>
      <c r="CW1133" s="255"/>
      <c r="CX1133" s="261"/>
      <c r="CY1133" s="255"/>
    </row>
    <row r="1134" spans="1:103" ht="10.25" customHeight="1">
      <c r="A1134" s="216"/>
      <c r="B1134" s="217"/>
      <c r="C1134" s="218"/>
      <c r="D1134" s="219"/>
      <c r="E1134" s="217"/>
      <c r="F1134" s="217"/>
      <c r="G1134" s="217"/>
      <c r="H1134" s="220"/>
      <c r="I1134" s="217"/>
      <c r="J1134" s="217"/>
      <c r="K1134" s="217"/>
      <c r="L1134" s="217"/>
      <c r="M1134" s="217"/>
      <c r="N1134" s="217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BA1134" s="5"/>
      <c r="BB1134" s="5"/>
      <c r="BC1134" s="5"/>
      <c r="BD1134" s="5"/>
      <c r="BE1134" s="63"/>
      <c r="BF1134" s="63"/>
      <c r="BG1134" s="63"/>
      <c r="CA1134" s="256"/>
      <c r="CB1134" s="261"/>
      <c r="CC1134" s="261"/>
      <c r="CD1134" s="261"/>
      <c r="CE1134" s="261"/>
      <c r="CF1134" s="261"/>
      <c r="CG1134" s="53"/>
      <c r="CH1134" s="53"/>
      <c r="CI1134" s="53"/>
      <c r="CJ1134" s="53"/>
      <c r="CK1134" s="53"/>
      <c r="CL1134" s="53"/>
      <c r="CN1134" s="53"/>
      <c r="CO1134" s="53"/>
      <c r="CP1134" s="53"/>
      <c r="CQ1134" s="53"/>
      <c r="CR1134" s="53"/>
      <c r="CS1134" s="53"/>
      <c r="CT1134" s="261"/>
      <c r="CU1134" s="261"/>
      <c r="CV1134" s="261"/>
      <c r="CW1134" s="255"/>
      <c r="CX1134" s="261"/>
      <c r="CY1134" s="255"/>
    </row>
    <row r="1135" spans="1:103" ht="10.25" customHeight="1">
      <c r="A1135" s="216"/>
      <c r="B1135" s="217"/>
      <c r="C1135" s="218"/>
      <c r="D1135" s="219"/>
      <c r="E1135" s="217"/>
      <c r="F1135" s="217"/>
      <c r="G1135" s="217"/>
      <c r="H1135" s="220"/>
      <c r="I1135" s="217"/>
      <c r="J1135" s="217"/>
      <c r="K1135" s="217"/>
      <c r="L1135" s="217"/>
      <c r="M1135" s="217"/>
      <c r="N1135" s="217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BA1135" s="5"/>
      <c r="BB1135" s="5"/>
      <c r="BC1135" s="5"/>
      <c r="BD1135" s="5"/>
      <c r="BE1135" s="63"/>
      <c r="BF1135" s="63"/>
      <c r="BG1135" s="63"/>
      <c r="CA1135" s="256"/>
      <c r="CB1135" s="261"/>
      <c r="CC1135" s="261"/>
      <c r="CD1135" s="261"/>
      <c r="CE1135" s="261"/>
      <c r="CF1135" s="261"/>
      <c r="CG1135" s="53"/>
      <c r="CH1135" s="53"/>
      <c r="CI1135" s="53"/>
      <c r="CJ1135" s="53"/>
      <c r="CK1135" s="53"/>
      <c r="CL1135" s="53"/>
      <c r="CN1135" s="53"/>
      <c r="CO1135" s="53"/>
      <c r="CP1135" s="53"/>
      <c r="CQ1135" s="53"/>
      <c r="CR1135" s="53"/>
      <c r="CS1135" s="53"/>
      <c r="CT1135" s="261"/>
      <c r="CU1135" s="261"/>
      <c r="CV1135" s="255"/>
      <c r="CW1135" s="255"/>
      <c r="CX1135" s="261"/>
      <c r="CY1135" s="255"/>
    </row>
    <row r="1136" spans="1:103" ht="10.25" customHeight="1">
      <c r="A1136" s="216"/>
      <c r="B1136" s="217"/>
      <c r="C1136" s="218"/>
      <c r="D1136" s="219"/>
      <c r="E1136" s="217"/>
      <c r="F1136" s="217"/>
      <c r="G1136" s="217"/>
      <c r="H1136" s="220"/>
      <c r="I1136" s="217"/>
      <c r="J1136" s="217"/>
      <c r="K1136" s="217"/>
      <c r="L1136" s="217"/>
      <c r="M1136" s="217"/>
      <c r="N1136" s="217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BA1136" s="5"/>
      <c r="BB1136" s="5"/>
      <c r="BC1136" s="5"/>
      <c r="BD1136" s="5"/>
      <c r="BE1136" s="63"/>
      <c r="BF1136" s="63"/>
      <c r="BG1136" s="63"/>
      <c r="CA1136" s="256"/>
      <c r="CB1136" s="261"/>
      <c r="CC1136" s="261"/>
      <c r="CD1136" s="261"/>
      <c r="CE1136" s="261"/>
      <c r="CF1136" s="261"/>
      <c r="CG1136" s="53"/>
      <c r="CH1136" s="53"/>
      <c r="CI1136" s="53"/>
      <c r="CJ1136" s="53"/>
      <c r="CK1136" s="53"/>
      <c r="CL1136" s="53"/>
      <c r="CN1136" s="53"/>
      <c r="CO1136" s="53"/>
      <c r="CP1136" s="53"/>
      <c r="CQ1136" s="53"/>
      <c r="CR1136" s="53"/>
      <c r="CS1136" s="53"/>
      <c r="CT1136" s="261"/>
      <c r="CU1136" s="261"/>
      <c r="CV1136" s="261"/>
      <c r="CW1136" s="261"/>
      <c r="CX1136" s="261"/>
      <c r="CY1136" s="255"/>
    </row>
    <row r="1137" spans="1:103" ht="10.25" customHeight="1">
      <c r="A1137" s="216"/>
      <c r="B1137" s="217"/>
      <c r="C1137" s="218"/>
      <c r="D1137" s="219"/>
      <c r="E1137" s="217"/>
      <c r="F1137" s="217"/>
      <c r="G1137" s="217"/>
      <c r="H1137" s="220"/>
      <c r="I1137" s="217"/>
      <c r="J1137" s="217"/>
      <c r="K1137" s="217"/>
      <c r="L1137" s="217"/>
      <c r="M1137" s="217"/>
      <c r="N1137" s="217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BA1137" s="5"/>
      <c r="BB1137" s="5"/>
      <c r="BC1137" s="5"/>
      <c r="BD1137" s="5"/>
      <c r="BE1137" s="63"/>
      <c r="BF1137" s="63"/>
      <c r="BG1137" s="63"/>
      <c r="CA1137" s="256"/>
      <c r="CB1137" s="261"/>
      <c r="CC1137" s="261"/>
      <c r="CD1137" s="255"/>
      <c r="CE1137" s="261"/>
      <c r="CF1137" s="261"/>
      <c r="CG1137" s="53"/>
      <c r="CH1137" s="53"/>
      <c r="CI1137" s="53"/>
      <c r="CJ1137" s="53"/>
      <c r="CK1137" s="53"/>
      <c r="CL1137" s="53"/>
      <c r="CN1137" s="53"/>
      <c r="CO1137" s="53"/>
      <c r="CP1137" s="53"/>
      <c r="CQ1137" s="53"/>
      <c r="CR1137" s="53"/>
      <c r="CS1137" s="53"/>
      <c r="CT1137" s="261"/>
      <c r="CU1137" s="261"/>
      <c r="CV1137" s="261"/>
      <c r="CW1137" s="261"/>
      <c r="CX1137" s="261"/>
      <c r="CY1137" s="255"/>
    </row>
    <row r="1138" spans="1:103" ht="10.25" customHeight="1">
      <c r="A1138" s="216"/>
      <c r="B1138" s="217"/>
      <c r="C1138" s="218"/>
      <c r="D1138" s="219"/>
      <c r="E1138" s="217"/>
      <c r="F1138" s="217"/>
      <c r="G1138" s="217"/>
      <c r="H1138" s="220"/>
      <c r="I1138" s="217"/>
      <c r="J1138" s="217"/>
      <c r="K1138" s="217"/>
      <c r="L1138" s="217"/>
      <c r="M1138" s="217"/>
      <c r="N1138" s="217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BA1138" s="5"/>
      <c r="BB1138" s="5"/>
      <c r="BC1138" s="5"/>
      <c r="BD1138" s="5"/>
      <c r="BE1138" s="63"/>
      <c r="BF1138" s="63"/>
      <c r="BG1138" s="63"/>
      <c r="CA1138" s="256"/>
      <c r="CB1138" s="261"/>
      <c r="CC1138" s="261"/>
      <c r="CD1138" s="255"/>
      <c r="CE1138" s="261"/>
      <c r="CF1138" s="261"/>
      <c r="CG1138" s="53"/>
      <c r="CH1138" s="53"/>
      <c r="CI1138" s="53"/>
      <c r="CJ1138" s="53"/>
      <c r="CK1138" s="53"/>
      <c r="CL1138" s="53"/>
      <c r="CN1138" s="53"/>
      <c r="CO1138" s="53"/>
      <c r="CP1138" s="53"/>
      <c r="CQ1138" s="53"/>
      <c r="CR1138" s="53"/>
      <c r="CS1138" s="53"/>
      <c r="CT1138" s="261"/>
      <c r="CU1138" s="261"/>
      <c r="CV1138" s="261"/>
      <c r="CW1138" s="261"/>
      <c r="CX1138" s="261"/>
      <c r="CY1138" s="255"/>
    </row>
    <row r="1139" spans="1:103" ht="10.25" customHeight="1">
      <c r="A1139" s="216"/>
      <c r="B1139" s="217"/>
      <c r="C1139" s="218"/>
      <c r="D1139" s="219"/>
      <c r="E1139" s="217"/>
      <c r="F1139" s="217"/>
      <c r="G1139" s="217"/>
      <c r="H1139" s="220"/>
      <c r="I1139" s="217"/>
      <c r="J1139" s="217"/>
      <c r="K1139" s="217"/>
      <c r="L1139" s="217"/>
      <c r="M1139" s="217"/>
      <c r="N1139" s="217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BA1139" s="5"/>
      <c r="BB1139" s="5"/>
      <c r="BC1139" s="5"/>
      <c r="BD1139" s="5"/>
      <c r="BE1139" s="63"/>
      <c r="BF1139" s="63"/>
      <c r="BG1139" s="63"/>
      <c r="CA1139" s="256"/>
      <c r="CB1139" s="261"/>
      <c r="CC1139" s="261"/>
      <c r="CD1139" s="255"/>
      <c r="CE1139" s="261"/>
      <c r="CF1139" s="261"/>
      <c r="CG1139" s="53"/>
      <c r="CH1139" s="53"/>
      <c r="CI1139" s="53"/>
      <c r="CJ1139" s="53"/>
      <c r="CK1139" s="53"/>
      <c r="CL1139" s="53"/>
      <c r="CN1139" s="53"/>
      <c r="CO1139" s="53"/>
      <c r="CP1139" s="53"/>
      <c r="CQ1139" s="53"/>
      <c r="CR1139" s="53"/>
      <c r="CS1139" s="53"/>
      <c r="CT1139" s="261"/>
      <c r="CU1139" s="261"/>
      <c r="CV1139" s="261"/>
      <c r="CW1139" s="261"/>
      <c r="CX1139" s="261"/>
      <c r="CY1139" s="255"/>
    </row>
    <row r="1140" spans="1:103" ht="10.25" customHeight="1">
      <c r="A1140" s="216"/>
      <c r="B1140" s="217"/>
      <c r="C1140" s="218"/>
      <c r="D1140" s="219"/>
      <c r="E1140" s="217"/>
      <c r="F1140" s="217"/>
      <c r="G1140" s="217"/>
      <c r="H1140" s="220"/>
      <c r="I1140" s="217"/>
      <c r="J1140" s="217"/>
      <c r="K1140" s="217"/>
      <c r="L1140" s="217"/>
      <c r="M1140" s="217"/>
      <c r="N1140" s="217"/>
      <c r="O1140" s="44"/>
      <c r="P1140" s="44"/>
      <c r="Q1140" s="44"/>
      <c r="R1140" s="44"/>
      <c r="S1140" s="44"/>
      <c r="T1140" s="44"/>
      <c r="U1140" s="44"/>
      <c r="V1140" s="44"/>
      <c r="W1140" s="44"/>
      <c r="X1140" s="44"/>
      <c r="Y1140" s="44"/>
      <c r="Z1140" s="44"/>
      <c r="AA1140" s="44"/>
      <c r="AB1140" s="44"/>
      <c r="AC1140" s="44"/>
      <c r="AD1140" s="44"/>
      <c r="AE1140" s="44"/>
      <c r="AF1140" s="44"/>
      <c r="AG1140" s="44"/>
      <c r="AH1140" s="44"/>
      <c r="AI1140" s="44"/>
      <c r="AJ1140" s="44"/>
      <c r="AK1140" s="44"/>
      <c r="AL1140" s="44"/>
      <c r="AM1140" s="44"/>
      <c r="AN1140" s="44"/>
      <c r="AO1140" s="44"/>
      <c r="AP1140" s="44"/>
      <c r="AQ1140" s="44"/>
      <c r="BA1140" s="5"/>
      <c r="BB1140" s="5"/>
      <c r="BC1140" s="5"/>
      <c r="BD1140" s="5"/>
      <c r="BE1140" s="63"/>
      <c r="BF1140" s="63"/>
      <c r="BG1140" s="63"/>
      <c r="CA1140" s="256"/>
      <c r="CB1140" s="261"/>
      <c r="CC1140" s="255"/>
      <c r="CD1140" s="261"/>
      <c r="CE1140" s="261"/>
      <c r="CF1140" s="261"/>
      <c r="CG1140" s="53"/>
      <c r="CH1140" s="53"/>
      <c r="CI1140" s="53"/>
      <c r="CJ1140" s="53"/>
      <c r="CK1140" s="53"/>
      <c r="CL1140" s="53"/>
      <c r="CN1140" s="53"/>
      <c r="CO1140" s="53"/>
      <c r="CP1140" s="53"/>
      <c r="CQ1140" s="53"/>
      <c r="CR1140" s="53"/>
      <c r="CS1140" s="53"/>
      <c r="CT1140" s="261"/>
      <c r="CU1140" s="261"/>
      <c r="CV1140" s="261"/>
      <c r="CW1140" s="261"/>
      <c r="CX1140" s="261"/>
      <c r="CY1140" s="255"/>
    </row>
    <row r="1141" spans="1:103" ht="10.25" customHeight="1">
      <c r="A1141" s="216"/>
      <c r="B1141" s="217"/>
      <c r="C1141" s="218"/>
      <c r="D1141" s="219"/>
      <c r="E1141" s="217"/>
      <c r="F1141" s="217"/>
      <c r="G1141" s="217"/>
      <c r="H1141" s="220"/>
      <c r="I1141" s="217"/>
      <c r="J1141" s="217"/>
      <c r="K1141" s="217"/>
      <c r="L1141" s="217"/>
      <c r="M1141" s="217"/>
      <c r="N1141" s="217"/>
      <c r="O1141" s="44"/>
      <c r="P1141" s="44"/>
      <c r="Q1141" s="44"/>
      <c r="R1141" s="44"/>
      <c r="S1141" s="44"/>
      <c r="T1141" s="44"/>
      <c r="U1141" s="44"/>
      <c r="V1141" s="44"/>
      <c r="W1141" s="44"/>
      <c r="X1141" s="44"/>
      <c r="Y1141" s="44"/>
      <c r="Z1141" s="44"/>
      <c r="AA1141" s="44"/>
      <c r="AB1141" s="44"/>
      <c r="AC1141" s="44"/>
      <c r="AD1141" s="44"/>
      <c r="AE1141" s="44"/>
      <c r="AF1141" s="44"/>
      <c r="AG1141" s="44"/>
      <c r="AH1141" s="44"/>
      <c r="AI1141" s="44"/>
      <c r="AJ1141" s="44"/>
      <c r="AK1141" s="44"/>
      <c r="AL1141" s="44"/>
      <c r="AM1141" s="44"/>
      <c r="AN1141" s="44"/>
      <c r="AO1141" s="44"/>
      <c r="AP1141" s="44"/>
      <c r="AQ1141" s="44"/>
      <c r="BA1141" s="5"/>
      <c r="BB1141" s="5"/>
      <c r="BC1141" s="5"/>
      <c r="BD1141" s="5"/>
      <c r="BE1141" s="63"/>
      <c r="BF1141" s="63"/>
      <c r="BG1141" s="63"/>
      <c r="CA1141" s="256"/>
      <c r="CB1141" s="261"/>
      <c r="CC1141" s="255"/>
      <c r="CD1141" s="261"/>
      <c r="CE1141" s="261"/>
      <c r="CF1141" s="261"/>
      <c r="CG1141" s="53"/>
      <c r="CH1141" s="53"/>
      <c r="CI1141" s="53"/>
      <c r="CJ1141" s="53"/>
      <c r="CK1141" s="53"/>
      <c r="CL1141" s="53"/>
      <c r="CN1141" s="53"/>
      <c r="CO1141" s="53"/>
      <c r="CP1141" s="53"/>
      <c r="CQ1141" s="53"/>
      <c r="CR1141" s="53"/>
      <c r="CS1141" s="53"/>
      <c r="CT1141" s="261"/>
      <c r="CU1141" s="261"/>
      <c r="CV1141" s="261"/>
      <c r="CW1141" s="261"/>
      <c r="CX1141" s="261"/>
      <c r="CY1141" s="255"/>
    </row>
    <row r="1142" spans="1:103" ht="10.25" customHeight="1">
      <c r="A1142" s="371"/>
      <c r="B1142" s="371"/>
      <c r="C1142" s="371"/>
      <c r="D1142" s="269"/>
      <c r="L1142" s="269"/>
      <c r="M1142" s="269"/>
      <c r="N1142" s="269"/>
      <c r="O1142" s="63"/>
      <c r="P1142" s="63"/>
      <c r="Q1142" s="63"/>
      <c r="R1142" s="63"/>
      <c r="S1142" s="63"/>
      <c r="T1142" s="63"/>
      <c r="U1142" s="63"/>
      <c r="V1142" s="63"/>
      <c r="W1142" s="63"/>
      <c r="X1142" s="63"/>
      <c r="Y1142" s="63"/>
      <c r="Z1142" s="63"/>
      <c r="AA1142" s="63"/>
      <c r="AB1142" s="63"/>
      <c r="AC1142" s="63"/>
      <c r="AD1142" s="63"/>
      <c r="AE1142" s="63"/>
      <c r="AF1142" s="63"/>
      <c r="AG1142" s="63"/>
      <c r="AH1142" s="63"/>
      <c r="AI1142" s="63"/>
      <c r="AJ1142" s="63"/>
      <c r="AK1142" s="63"/>
      <c r="AL1142" s="63"/>
      <c r="AM1142" s="63"/>
      <c r="AN1142" s="63"/>
      <c r="AO1142" s="63"/>
      <c r="AP1142" s="63"/>
      <c r="AQ1142" s="63"/>
      <c r="CA1142" s="256"/>
      <c r="CB1142" s="261"/>
      <c r="CC1142" s="255"/>
      <c r="CD1142" s="261"/>
      <c r="CE1142" s="261"/>
      <c r="CF1142" s="261"/>
      <c r="CG1142" s="261"/>
      <c r="CH1142" s="261"/>
      <c r="CI1142" s="261"/>
      <c r="CJ1142" s="261"/>
      <c r="CK1142" s="261"/>
      <c r="CL1142" s="255"/>
      <c r="CN1142" s="256"/>
      <c r="CO1142" s="256"/>
      <c r="CP1142" s="261"/>
      <c r="CQ1142" s="261"/>
      <c r="CR1142" s="255"/>
      <c r="CS1142" s="261"/>
      <c r="CT1142" s="261"/>
      <c r="CU1142" s="261"/>
      <c r="CV1142" s="261"/>
      <c r="CW1142" s="261"/>
      <c r="CX1142" s="261"/>
      <c r="CY1142" s="255"/>
    </row>
    <row r="1143" spans="1:103" ht="12.65" customHeight="1">
      <c r="A1143" s="270"/>
      <c r="C1143" s="271"/>
      <c r="D1143" s="372"/>
      <c r="E1143" s="372"/>
      <c r="F1143" s="272"/>
      <c r="G1143" s="272"/>
      <c r="H1143" s="273"/>
      <c r="L1143" s="269"/>
      <c r="M1143" s="269"/>
      <c r="N1143" s="269"/>
      <c r="O1143" s="63"/>
      <c r="P1143" s="63"/>
      <c r="Q1143" s="63"/>
      <c r="R1143" s="63"/>
      <c r="S1143" s="63"/>
      <c r="T1143" s="63"/>
      <c r="U1143" s="63"/>
      <c r="V1143" s="63"/>
      <c r="W1143" s="63"/>
      <c r="X1143" s="63"/>
      <c r="Y1143" s="63"/>
      <c r="Z1143" s="63"/>
      <c r="AA1143" s="63"/>
      <c r="AB1143" s="63"/>
      <c r="AC1143" s="63"/>
      <c r="AD1143" s="63"/>
      <c r="AE1143" s="63"/>
      <c r="AF1143" s="63"/>
      <c r="AG1143" s="63"/>
      <c r="AH1143" s="63"/>
      <c r="AI1143" s="63"/>
      <c r="AJ1143" s="63"/>
      <c r="AK1143" s="63"/>
      <c r="AL1143" s="63"/>
      <c r="AM1143" s="63"/>
      <c r="AN1143" s="63"/>
      <c r="AO1143" s="63"/>
      <c r="AP1143" s="63"/>
      <c r="AQ1143" s="63"/>
      <c r="CA1143" s="256"/>
      <c r="CB1143" s="261"/>
      <c r="CC1143" s="255"/>
      <c r="CD1143" s="261"/>
      <c r="CE1143" s="261"/>
      <c r="CF1143" s="261"/>
      <c r="CG1143" s="261"/>
      <c r="CH1143" s="261"/>
      <c r="CI1143" s="261"/>
      <c r="CJ1143" s="261"/>
      <c r="CK1143" s="255"/>
      <c r="CL1143" s="255"/>
      <c r="CN1143" s="256"/>
      <c r="CO1143" s="256"/>
      <c r="CP1143" s="261"/>
      <c r="CQ1143" s="261"/>
      <c r="CR1143" s="255"/>
      <c r="CS1143" s="261"/>
      <c r="CT1143" s="261"/>
      <c r="CU1143" s="261"/>
      <c r="CV1143" s="261"/>
      <c r="CW1143" s="261"/>
      <c r="CX1143" s="255"/>
      <c r="CY1143" s="255"/>
    </row>
    <row r="1144" spans="1:103" ht="10.25" customHeight="1">
      <c r="A1144" s="270"/>
      <c r="D1144" s="372"/>
      <c r="E1144" s="372"/>
      <c r="F1144" s="272"/>
      <c r="G1144" s="272"/>
      <c r="H1144" s="273"/>
      <c r="L1144" s="269"/>
      <c r="M1144" s="269"/>
      <c r="N1144" s="269"/>
      <c r="O1144" s="63"/>
      <c r="P1144" s="63"/>
      <c r="Q1144" s="63"/>
      <c r="R1144" s="63"/>
      <c r="S1144" s="63"/>
      <c r="T1144" s="63"/>
      <c r="U1144" s="63"/>
      <c r="V1144" s="63"/>
      <c r="W1144" s="63"/>
      <c r="X1144" s="63"/>
      <c r="Y1144" s="63"/>
      <c r="Z1144" s="63"/>
      <c r="AA1144" s="63"/>
      <c r="AB1144" s="63"/>
      <c r="AC1144" s="63"/>
      <c r="AD1144" s="63"/>
      <c r="AE1144" s="63"/>
      <c r="AF1144" s="63"/>
      <c r="AG1144" s="63"/>
      <c r="AH1144" s="63"/>
      <c r="AI1144" s="63"/>
      <c r="AJ1144" s="63"/>
      <c r="AK1144" s="63"/>
      <c r="AL1144" s="63"/>
      <c r="AM1144" s="63"/>
      <c r="AN1144" s="63"/>
      <c r="AO1144" s="63"/>
      <c r="AP1144" s="63"/>
      <c r="AQ1144" s="63"/>
      <c r="CA1144" s="256"/>
      <c r="CB1144" s="261"/>
      <c r="CC1144" s="255"/>
      <c r="CD1144" s="261"/>
      <c r="CE1144" s="261"/>
      <c r="CF1144" s="261"/>
      <c r="CG1144" s="261"/>
      <c r="CH1144" s="261"/>
      <c r="CI1144" s="261"/>
      <c r="CJ1144" s="261"/>
      <c r="CK1144" s="261"/>
      <c r="CL1144" s="255"/>
      <c r="CN1144" s="256"/>
      <c r="CO1144" s="256"/>
      <c r="CP1144" s="261"/>
      <c r="CQ1144" s="261"/>
      <c r="CR1144" s="255"/>
      <c r="CS1144" s="261"/>
      <c r="CT1144" s="261"/>
      <c r="CU1144" s="261"/>
      <c r="CV1144" s="261"/>
      <c r="CW1144" s="261"/>
      <c r="CX1144" s="261"/>
      <c r="CY1144" s="255"/>
    </row>
    <row r="1145" spans="1:103" ht="10.25" customHeight="1">
      <c r="C1145" s="270"/>
      <c r="D1145" s="274"/>
      <c r="E1145" s="214"/>
      <c r="F1145" s="272"/>
      <c r="G1145" s="272"/>
      <c r="H1145" s="272"/>
      <c r="I1145" s="273"/>
      <c r="J1145" s="273"/>
      <c r="K1145" s="273"/>
      <c r="L1145" s="275"/>
      <c r="M1145" s="269"/>
      <c r="N1145" s="269"/>
      <c r="O1145" s="63"/>
      <c r="P1145" s="63"/>
      <c r="Q1145" s="63"/>
      <c r="R1145" s="63"/>
      <c r="S1145" s="63"/>
      <c r="T1145" s="63"/>
      <c r="U1145" s="63"/>
      <c r="V1145" s="63"/>
      <c r="W1145" s="63"/>
      <c r="X1145" s="63"/>
      <c r="Y1145" s="63"/>
      <c r="Z1145" s="63"/>
      <c r="AA1145" s="63"/>
      <c r="AB1145" s="63"/>
      <c r="AC1145" s="63"/>
      <c r="AD1145" s="63"/>
      <c r="AE1145" s="63"/>
      <c r="AF1145" s="63"/>
      <c r="AG1145" s="63"/>
      <c r="AH1145" s="63"/>
      <c r="AI1145" s="63"/>
      <c r="AJ1145" s="63"/>
      <c r="AK1145" s="63"/>
      <c r="AL1145" s="63"/>
      <c r="AM1145" s="63"/>
      <c r="AN1145" s="63"/>
      <c r="AO1145" s="63"/>
      <c r="AP1145" s="63"/>
      <c r="AQ1145" s="63"/>
      <c r="CA1145" s="256"/>
      <c r="CB1145" s="261"/>
      <c r="CC1145" s="255"/>
      <c r="CD1145" s="261"/>
      <c r="CE1145" s="261"/>
      <c r="CF1145" s="261"/>
      <c r="CG1145" s="261"/>
      <c r="CH1145" s="261"/>
      <c r="CI1145" s="261"/>
      <c r="CJ1145" s="261"/>
      <c r="CK1145" s="261"/>
      <c r="CL1145" s="255"/>
      <c r="CN1145" s="256"/>
      <c r="CO1145" s="256"/>
      <c r="CP1145" s="261"/>
      <c r="CQ1145" s="261"/>
      <c r="CR1145" s="255"/>
      <c r="CS1145" s="261"/>
      <c r="CT1145" s="261"/>
      <c r="CU1145" s="261"/>
      <c r="CV1145" s="261"/>
      <c r="CW1145" s="261"/>
      <c r="CX1145" s="261"/>
      <c r="CY1145" s="255"/>
    </row>
    <row r="1146" spans="1:103" ht="10.25" customHeight="1">
      <c r="A1146" s="270"/>
      <c r="D1146" s="372"/>
      <c r="E1146" s="372"/>
      <c r="F1146" s="272"/>
      <c r="G1146" s="272"/>
      <c r="H1146" s="272"/>
      <c r="I1146" s="273"/>
      <c r="J1146" s="273"/>
      <c r="K1146" s="273"/>
      <c r="L1146" s="275"/>
      <c r="M1146" s="269"/>
      <c r="N1146" s="269"/>
      <c r="O1146" s="63"/>
      <c r="P1146" s="63"/>
      <c r="Q1146" s="63"/>
      <c r="R1146" s="63"/>
      <c r="S1146" s="63"/>
      <c r="T1146" s="63"/>
      <c r="U1146" s="63"/>
      <c r="V1146" s="63"/>
      <c r="W1146" s="63"/>
      <c r="X1146" s="63"/>
      <c r="Y1146" s="63"/>
      <c r="Z1146" s="63"/>
      <c r="AA1146" s="63"/>
      <c r="AB1146" s="63"/>
      <c r="AC1146" s="63"/>
      <c r="AD1146" s="63"/>
      <c r="AE1146" s="63"/>
      <c r="AF1146" s="63"/>
      <c r="AG1146" s="63"/>
      <c r="AH1146" s="63"/>
      <c r="AI1146" s="63"/>
      <c r="AJ1146" s="63"/>
      <c r="AK1146" s="63"/>
      <c r="AL1146" s="63"/>
      <c r="AM1146" s="63"/>
      <c r="AN1146" s="63"/>
      <c r="AO1146" s="63"/>
      <c r="AP1146" s="63"/>
      <c r="AQ1146" s="63"/>
      <c r="CA1146" s="256"/>
      <c r="CB1146" s="261"/>
      <c r="CC1146" s="255"/>
      <c r="CD1146" s="261"/>
      <c r="CE1146" s="261"/>
      <c r="CF1146" s="261"/>
      <c r="CG1146" s="261"/>
      <c r="CH1146" s="261"/>
      <c r="CI1146" s="255"/>
      <c r="CJ1146" s="255"/>
      <c r="CK1146" s="261"/>
      <c r="CL1146" s="255"/>
      <c r="CN1146" s="256"/>
      <c r="CO1146" s="256"/>
      <c r="CP1146" s="261"/>
      <c r="CQ1146" s="261"/>
      <c r="CR1146" s="255"/>
      <c r="CS1146" s="261"/>
      <c r="CT1146" s="261"/>
      <c r="CU1146" s="261"/>
      <c r="CV1146" s="261"/>
      <c r="CW1146" s="255"/>
      <c r="CX1146" s="261"/>
      <c r="CY1146" s="255"/>
    </row>
    <row r="1147" spans="1:103" ht="10.25" customHeight="1">
      <c r="A1147" s="270"/>
      <c r="D1147" s="372"/>
      <c r="E1147" s="372"/>
      <c r="F1147" s="272"/>
      <c r="G1147" s="272"/>
      <c r="H1147" s="272"/>
      <c r="I1147" s="273"/>
      <c r="J1147" s="273"/>
      <c r="K1147" s="273"/>
      <c r="L1147" s="275"/>
      <c r="M1147" s="269"/>
      <c r="N1147" s="269"/>
      <c r="O1147" s="63"/>
      <c r="P1147" s="63"/>
      <c r="Q1147" s="63"/>
      <c r="R1147" s="63"/>
      <c r="S1147" s="63"/>
      <c r="T1147" s="63"/>
      <c r="U1147" s="63"/>
      <c r="V1147" s="63"/>
      <c r="W1147" s="63"/>
      <c r="X1147" s="63"/>
      <c r="Y1147" s="63"/>
      <c r="Z1147" s="63"/>
      <c r="AA1147" s="63"/>
      <c r="AB1147" s="63"/>
      <c r="AC1147" s="63"/>
      <c r="AD1147" s="63"/>
      <c r="AE1147" s="63"/>
      <c r="AF1147" s="63"/>
      <c r="AG1147" s="63"/>
      <c r="AH1147" s="63"/>
      <c r="AI1147" s="63"/>
      <c r="AJ1147" s="63"/>
      <c r="AK1147" s="63"/>
      <c r="AL1147" s="63"/>
      <c r="AM1147" s="63"/>
      <c r="AN1147" s="63"/>
      <c r="AO1147" s="63"/>
      <c r="AP1147" s="63"/>
      <c r="AQ1147" s="63"/>
      <c r="CA1147" s="256"/>
      <c r="CB1147" s="261"/>
      <c r="CC1147" s="255"/>
      <c r="CD1147" s="261"/>
      <c r="CE1147" s="261"/>
      <c r="CF1147" s="261"/>
      <c r="CG1147" s="255"/>
      <c r="CH1147" s="255"/>
      <c r="CI1147" s="261"/>
      <c r="CJ1147" s="261"/>
      <c r="CK1147" s="261"/>
      <c r="CL1147" s="255"/>
      <c r="CN1147" s="256"/>
      <c r="CO1147" s="256"/>
      <c r="CP1147" s="261"/>
      <c r="CQ1147" s="261"/>
      <c r="CR1147" s="255"/>
      <c r="CS1147" s="261"/>
      <c r="CT1147" s="261"/>
      <c r="CU1147" s="261"/>
      <c r="CV1147" s="255"/>
      <c r="CW1147" s="261"/>
      <c r="CX1147" s="261"/>
      <c r="CY1147" s="255"/>
    </row>
    <row r="1148" spans="1:103" ht="10.25" customHeight="1">
      <c r="A1148" s="270"/>
      <c r="D1148" s="372"/>
      <c r="E1148" s="372"/>
      <c r="F1148" s="272"/>
      <c r="G1148" s="272"/>
      <c r="H1148" s="272"/>
      <c r="I1148" s="273"/>
      <c r="J1148" s="273"/>
      <c r="K1148" s="273"/>
      <c r="L1148" s="275"/>
      <c r="M1148" s="269"/>
      <c r="N1148" s="269"/>
      <c r="O1148" s="63"/>
      <c r="P1148" s="63"/>
      <c r="Q1148" s="63"/>
      <c r="R1148" s="63"/>
      <c r="S1148" s="63"/>
      <c r="T1148" s="63"/>
      <c r="U1148" s="63"/>
      <c r="V1148" s="63"/>
      <c r="W1148" s="63"/>
      <c r="X1148" s="63"/>
      <c r="Y1148" s="63"/>
      <c r="Z1148" s="63"/>
      <c r="AA1148" s="63"/>
      <c r="AB1148" s="63"/>
      <c r="AC1148" s="63"/>
      <c r="AD1148" s="63"/>
      <c r="AE1148" s="63"/>
      <c r="AF1148" s="63"/>
      <c r="AG1148" s="63"/>
      <c r="AH1148" s="63"/>
      <c r="AI1148" s="63"/>
      <c r="AJ1148" s="63"/>
      <c r="AK1148" s="63"/>
      <c r="AL1148" s="63"/>
      <c r="AM1148" s="63"/>
      <c r="AN1148" s="63"/>
      <c r="AO1148" s="63"/>
      <c r="AP1148" s="63"/>
      <c r="AQ1148" s="63"/>
      <c r="CA1148" s="256"/>
      <c r="CB1148" s="261"/>
      <c r="CC1148" s="255"/>
      <c r="CD1148" s="261"/>
      <c r="CE1148" s="261"/>
      <c r="CF1148" s="261"/>
      <c r="CG1148" s="255"/>
      <c r="CH1148" s="255"/>
      <c r="CI1148" s="261"/>
      <c r="CJ1148" s="261"/>
      <c r="CK1148" s="261"/>
      <c r="CL1148" s="255"/>
      <c r="CN1148" s="256"/>
      <c r="CO1148" s="256"/>
      <c r="CP1148" s="261"/>
      <c r="CQ1148" s="261"/>
      <c r="CR1148" s="255"/>
      <c r="CS1148" s="261"/>
      <c r="CT1148" s="261"/>
      <c r="CU1148" s="261"/>
      <c r="CV1148" s="255"/>
      <c r="CW1148" s="261"/>
      <c r="CX1148" s="261"/>
      <c r="CY1148" s="255"/>
    </row>
    <row r="1149" spans="1:103" ht="10.25" customHeight="1">
      <c r="A1149" s="270"/>
      <c r="D1149" s="372"/>
      <c r="E1149" s="372"/>
      <c r="F1149" s="272"/>
      <c r="G1149" s="272"/>
      <c r="H1149" s="272"/>
      <c r="I1149" s="375"/>
      <c r="J1149" s="375"/>
      <c r="K1149" s="375"/>
      <c r="L1149" s="375"/>
      <c r="M1149" s="269"/>
      <c r="N1149" s="269"/>
      <c r="O1149" s="63"/>
      <c r="P1149" s="63"/>
      <c r="Q1149" s="63"/>
      <c r="R1149" s="63"/>
      <c r="S1149" s="63"/>
      <c r="T1149" s="63"/>
      <c r="U1149" s="63"/>
      <c r="V1149" s="63"/>
      <c r="W1149" s="63"/>
      <c r="X1149" s="63"/>
      <c r="Y1149" s="63"/>
      <c r="Z1149" s="63"/>
      <c r="AA1149" s="63"/>
      <c r="AB1149" s="63"/>
      <c r="AC1149" s="63"/>
      <c r="AD1149" s="63"/>
      <c r="AE1149" s="63"/>
      <c r="AF1149" s="63"/>
      <c r="AG1149" s="63"/>
      <c r="AH1149" s="63"/>
      <c r="AI1149" s="63"/>
      <c r="AJ1149" s="63"/>
      <c r="AK1149" s="63"/>
      <c r="AL1149" s="63"/>
      <c r="AM1149" s="63"/>
      <c r="AN1149" s="63"/>
      <c r="AO1149" s="63"/>
      <c r="AP1149" s="63"/>
      <c r="AQ1149" s="63"/>
      <c r="CA1149" s="256"/>
      <c r="CB1149" s="261"/>
      <c r="CC1149" s="255"/>
      <c r="CD1149" s="261"/>
      <c r="CE1149" s="261"/>
      <c r="CF1149" s="261"/>
      <c r="CG1149" s="261"/>
      <c r="CH1149" s="261"/>
      <c r="CI1149" s="261"/>
      <c r="CJ1149" s="261"/>
      <c r="CK1149" s="261"/>
      <c r="CL1149" s="255"/>
      <c r="CN1149" s="256"/>
      <c r="CO1149" s="256"/>
      <c r="CP1149" s="261"/>
      <c r="CQ1149" s="261"/>
      <c r="CR1149" s="255"/>
      <c r="CS1149" s="261"/>
      <c r="CT1149" s="261"/>
      <c r="CU1149" s="261"/>
      <c r="CV1149" s="261"/>
      <c r="CW1149" s="261"/>
      <c r="CX1149" s="261"/>
      <c r="CY1149" s="255"/>
    </row>
    <row r="1150" spans="1:103" ht="10.25" customHeight="1">
      <c r="A1150" s="270"/>
      <c r="D1150" s="372"/>
      <c r="E1150" s="372"/>
      <c r="H1150" s="209"/>
      <c r="I1150" s="213"/>
      <c r="J1150" s="213"/>
      <c r="K1150" s="213"/>
      <c r="L1150" s="213"/>
      <c r="M1150" s="213"/>
      <c r="N1150" s="213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  <c r="CA1150" s="256"/>
      <c r="CB1150" s="261"/>
      <c r="CC1150" s="255"/>
      <c r="CD1150" s="261"/>
      <c r="CE1150" s="261"/>
      <c r="CF1150" s="261"/>
      <c r="CG1150" s="261"/>
      <c r="CH1150" s="261"/>
      <c r="CI1150" s="261"/>
      <c r="CJ1150" s="261"/>
      <c r="CK1150" s="261"/>
      <c r="CL1150" s="255"/>
      <c r="CN1150" s="256"/>
      <c r="CO1150" s="256"/>
      <c r="CP1150" s="261"/>
      <c r="CQ1150" s="261"/>
      <c r="CR1150" s="255"/>
      <c r="CS1150" s="261"/>
      <c r="CT1150" s="261"/>
      <c r="CU1150" s="261"/>
      <c r="CV1150" s="261"/>
      <c r="CW1150" s="261"/>
      <c r="CX1150" s="261"/>
      <c r="CY1150" s="255"/>
    </row>
    <row r="1151" spans="1:103" ht="10.25" customHeight="1">
      <c r="A1151" s="270"/>
      <c r="C1151" s="269"/>
      <c r="D1151" s="275"/>
      <c r="E1151" s="275"/>
      <c r="F1151" s="209"/>
      <c r="G1151" s="209"/>
      <c r="H1151" s="209"/>
      <c r="I1151" s="209"/>
      <c r="J1151" s="209"/>
      <c r="K1151" s="209"/>
      <c r="L1151" s="376"/>
      <c r="M1151" s="376"/>
      <c r="N1151" s="279"/>
      <c r="O1151" s="51"/>
      <c r="P1151" s="51"/>
      <c r="Q1151" s="51"/>
      <c r="R1151" s="51"/>
      <c r="S1151" s="51"/>
      <c r="T1151" s="51"/>
      <c r="U1151" s="51"/>
      <c r="V1151" s="51"/>
      <c r="W1151" s="51"/>
      <c r="X1151" s="51"/>
      <c r="Y1151" s="51"/>
      <c r="Z1151" s="51"/>
      <c r="AA1151" s="51"/>
      <c r="AB1151" s="51"/>
      <c r="AC1151" s="51"/>
      <c r="AD1151" s="51"/>
      <c r="AE1151" s="51"/>
      <c r="AF1151" s="51"/>
      <c r="AG1151" s="51"/>
      <c r="AH1151" s="51"/>
      <c r="AI1151" s="51"/>
      <c r="AJ1151" s="51"/>
      <c r="AK1151" s="51"/>
      <c r="AL1151" s="51"/>
      <c r="AM1151" s="51"/>
      <c r="AN1151" s="51"/>
      <c r="AO1151" s="51"/>
      <c r="AP1151" s="51"/>
      <c r="AQ1151" s="51"/>
      <c r="CA1151" s="256"/>
      <c r="CB1151" s="261"/>
      <c r="CC1151" s="255"/>
      <c r="CD1151" s="261"/>
      <c r="CE1151" s="261"/>
      <c r="CF1151" s="261"/>
      <c r="CG1151" s="261"/>
      <c r="CH1151" s="261"/>
      <c r="CI1151" s="261"/>
      <c r="CJ1151" s="261"/>
      <c r="CK1151" s="261"/>
      <c r="CL1151" s="255"/>
      <c r="CN1151" s="256"/>
      <c r="CO1151" s="256"/>
      <c r="CP1151" s="261"/>
      <c r="CQ1151" s="261"/>
      <c r="CR1151" s="255"/>
      <c r="CS1151" s="261"/>
      <c r="CT1151" s="261"/>
      <c r="CU1151" s="261"/>
      <c r="CV1151" s="261"/>
      <c r="CW1151" s="261"/>
      <c r="CX1151" s="261"/>
      <c r="CY1151" s="255"/>
    </row>
    <row r="1152" spans="1:103" ht="10.25" customHeight="1">
      <c r="A1152" s="270"/>
      <c r="C1152" s="269"/>
      <c r="D1152" s="269"/>
      <c r="F1152" s="209"/>
      <c r="G1152" s="209"/>
      <c r="H1152" s="276"/>
      <c r="I1152" s="276"/>
      <c r="J1152" s="276"/>
      <c r="K1152" s="276"/>
      <c r="L1152" s="374"/>
      <c r="M1152" s="374"/>
      <c r="N1152" s="213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  <c r="AQ1152" s="5"/>
      <c r="CA1152" s="256"/>
      <c r="CB1152" s="261"/>
      <c r="CC1152" s="255"/>
      <c r="CD1152" s="261"/>
      <c r="CE1152" s="261"/>
      <c r="CF1152" s="261"/>
      <c r="CG1152" s="261"/>
      <c r="CH1152" s="261"/>
      <c r="CI1152" s="261"/>
      <c r="CJ1152" s="261"/>
      <c r="CK1152" s="261"/>
      <c r="CL1152" s="255"/>
      <c r="CN1152" s="256"/>
      <c r="CO1152" s="256"/>
      <c r="CP1152" s="261"/>
      <c r="CQ1152" s="261"/>
      <c r="CR1152" s="255"/>
      <c r="CS1152" s="261"/>
      <c r="CT1152" s="261"/>
      <c r="CU1152" s="261"/>
      <c r="CV1152" s="261"/>
      <c r="CW1152" s="261"/>
      <c r="CX1152" s="261"/>
      <c r="CY1152" s="255"/>
    </row>
    <row r="1153" spans="1:103" ht="10.25" customHeight="1">
      <c r="A1153" s="270"/>
      <c r="D1153" s="269"/>
      <c r="F1153" s="208"/>
      <c r="G1153" s="208"/>
      <c r="H1153" s="277"/>
      <c r="I1153" s="277"/>
      <c r="J1153" s="277"/>
      <c r="K1153" s="277"/>
      <c r="L1153" s="372"/>
      <c r="M1153" s="372"/>
      <c r="N1153" s="214"/>
      <c r="O1153" s="41"/>
      <c r="P1153" s="41"/>
      <c r="Q1153" s="41"/>
      <c r="R1153" s="41"/>
      <c r="S1153" s="41"/>
      <c r="T1153" s="41"/>
      <c r="U1153" s="41"/>
      <c r="V1153" s="41"/>
      <c r="W1153" s="41"/>
      <c r="X1153" s="41"/>
      <c r="Y1153" s="41"/>
      <c r="Z1153" s="41"/>
      <c r="AA1153" s="41"/>
      <c r="AB1153" s="41"/>
      <c r="AC1153" s="41"/>
      <c r="AD1153" s="41"/>
      <c r="AE1153" s="41"/>
      <c r="AF1153" s="41"/>
      <c r="AG1153" s="41"/>
      <c r="AH1153" s="41"/>
      <c r="AI1153" s="41"/>
      <c r="AJ1153" s="41"/>
      <c r="AK1153" s="41"/>
      <c r="AL1153" s="41"/>
      <c r="AM1153" s="41"/>
      <c r="AN1153" s="41"/>
      <c r="AO1153" s="41"/>
      <c r="AP1153" s="41"/>
      <c r="AQ1153" s="41"/>
      <c r="CA1153" s="256"/>
      <c r="CB1153" s="261"/>
      <c r="CC1153" s="255"/>
      <c r="CD1153" s="261"/>
      <c r="CE1153" s="261"/>
      <c r="CF1153" s="261"/>
      <c r="CG1153" s="261"/>
      <c r="CH1153" s="261"/>
      <c r="CI1153" s="261"/>
      <c r="CJ1153" s="261"/>
      <c r="CK1153" s="261"/>
      <c r="CL1153" s="255"/>
      <c r="CN1153" s="256"/>
      <c r="CO1153" s="256"/>
      <c r="CP1153" s="261"/>
      <c r="CQ1153" s="261"/>
      <c r="CR1153" s="255"/>
      <c r="CS1153" s="261"/>
      <c r="CT1153" s="261"/>
      <c r="CU1153" s="261"/>
      <c r="CV1153" s="261"/>
      <c r="CW1153" s="261"/>
      <c r="CX1153" s="261"/>
      <c r="CY1153" s="255"/>
    </row>
    <row r="1154" spans="1:103" ht="10.25" customHeight="1">
      <c r="CA1154" s="256"/>
      <c r="CB1154" s="261"/>
      <c r="CC1154" s="255"/>
      <c r="CD1154" s="261"/>
      <c r="CE1154" s="261"/>
      <c r="CF1154" s="255"/>
      <c r="CG1154" s="261"/>
      <c r="CH1154" s="261"/>
      <c r="CI1154" s="261"/>
      <c r="CJ1154" s="261"/>
      <c r="CK1154" s="261"/>
      <c r="CL1154" s="255"/>
      <c r="CN1154" s="256"/>
      <c r="CO1154" s="256"/>
      <c r="CP1154" s="261"/>
      <c r="CQ1154" s="261"/>
      <c r="CR1154" s="255"/>
      <c r="CS1154" s="261"/>
      <c r="CT1154" s="261"/>
      <c r="CU1154" s="255"/>
      <c r="CV1154" s="261"/>
      <c r="CW1154" s="261"/>
      <c r="CX1154" s="261"/>
      <c r="CY1154" s="255"/>
    </row>
    <row r="1155" spans="1:103" ht="10.25" customHeight="1">
      <c r="C1155" s="278"/>
      <c r="CA1155" s="256"/>
      <c r="CB1155" s="261"/>
      <c r="CC1155" s="255"/>
      <c r="CD1155" s="261"/>
      <c r="CE1155" s="261"/>
      <c r="CF1155" s="255"/>
      <c r="CG1155" s="261"/>
      <c r="CH1155" s="261"/>
      <c r="CI1155" s="261"/>
      <c r="CJ1155" s="261"/>
      <c r="CK1155" s="261"/>
      <c r="CL1155" s="255"/>
      <c r="CN1155" s="256"/>
      <c r="CO1155" s="256"/>
      <c r="CP1155" s="261"/>
      <c r="CQ1155" s="261"/>
      <c r="CR1155" s="255"/>
      <c r="CS1155" s="261"/>
      <c r="CT1155" s="261"/>
      <c r="CU1155" s="255"/>
      <c r="CV1155" s="261"/>
      <c r="CW1155" s="261"/>
      <c r="CX1155" s="261"/>
      <c r="CY1155" s="255"/>
    </row>
    <row r="1156" spans="1:103" ht="10.25" customHeight="1">
      <c r="C1156" s="278"/>
      <c r="F1156" s="377"/>
      <c r="G1156" s="377"/>
      <c r="H1156" s="377"/>
      <c r="I1156" s="377"/>
      <c r="J1156" s="377"/>
      <c r="K1156" s="377"/>
      <c r="L1156" s="377"/>
      <c r="M1156" s="377"/>
      <c r="N1156" s="269"/>
      <c r="O1156" s="63"/>
      <c r="P1156" s="63"/>
      <c r="Q1156" s="63"/>
      <c r="R1156" s="63"/>
      <c r="S1156" s="63"/>
      <c r="T1156" s="63"/>
      <c r="U1156" s="63"/>
      <c r="V1156" s="63"/>
      <c r="W1156" s="63"/>
      <c r="X1156" s="63"/>
      <c r="Y1156" s="63"/>
      <c r="Z1156" s="63"/>
      <c r="AA1156" s="63"/>
      <c r="AB1156" s="63"/>
      <c r="AC1156" s="63"/>
      <c r="AD1156" s="63"/>
      <c r="AE1156" s="63"/>
      <c r="AF1156" s="63"/>
      <c r="AG1156" s="63"/>
      <c r="AH1156" s="63"/>
      <c r="AI1156" s="63"/>
      <c r="AJ1156" s="63"/>
      <c r="AK1156" s="63"/>
      <c r="AL1156" s="63"/>
      <c r="AM1156" s="63"/>
      <c r="AN1156" s="63"/>
      <c r="AO1156" s="63"/>
      <c r="AP1156" s="63"/>
      <c r="AQ1156" s="63"/>
      <c r="CA1156" s="256"/>
      <c r="CB1156" s="261"/>
      <c r="CC1156" s="255"/>
      <c r="CD1156" s="261"/>
      <c r="CE1156" s="261"/>
      <c r="CF1156" s="255"/>
      <c r="CG1156" s="261"/>
      <c r="CH1156" s="261"/>
      <c r="CI1156" s="261"/>
      <c r="CJ1156" s="261"/>
      <c r="CK1156" s="261"/>
      <c r="CL1156" s="255"/>
      <c r="CN1156" s="256"/>
      <c r="CO1156" s="256"/>
      <c r="CP1156" s="261"/>
      <c r="CQ1156" s="261"/>
      <c r="CR1156" s="255"/>
      <c r="CS1156" s="261"/>
      <c r="CT1156" s="261"/>
      <c r="CU1156" s="255"/>
      <c r="CV1156" s="261"/>
      <c r="CW1156" s="261"/>
      <c r="CX1156" s="261"/>
      <c r="CY1156" s="255"/>
    </row>
    <row r="1157" spans="1:103" ht="10.4" customHeight="1">
      <c r="C1157" s="278"/>
      <c r="F1157" s="377"/>
      <c r="G1157" s="377"/>
      <c r="H1157" s="377"/>
      <c r="I1157" s="377"/>
      <c r="J1157" s="377"/>
      <c r="K1157" s="377"/>
      <c r="L1157" s="377"/>
      <c r="M1157" s="377"/>
      <c r="N1157" s="269"/>
      <c r="O1157" s="63"/>
      <c r="P1157" s="63"/>
      <c r="Q1157" s="63"/>
      <c r="R1157" s="63"/>
      <c r="S1157" s="63"/>
      <c r="T1157" s="63"/>
      <c r="U1157" s="63"/>
      <c r="V1157" s="63"/>
      <c r="W1157" s="63"/>
      <c r="X1157" s="63"/>
      <c r="Y1157" s="63"/>
      <c r="Z1157" s="63"/>
      <c r="AA1157" s="63"/>
      <c r="AB1157" s="63"/>
      <c r="AC1157" s="63"/>
      <c r="AD1157" s="63"/>
      <c r="AE1157" s="63"/>
      <c r="AF1157" s="63"/>
      <c r="AG1157" s="63"/>
      <c r="AH1157" s="63"/>
      <c r="AI1157" s="63"/>
      <c r="AJ1157" s="63"/>
      <c r="AK1157" s="63"/>
      <c r="AL1157" s="63"/>
      <c r="AM1157" s="63"/>
      <c r="AN1157" s="63"/>
      <c r="AO1157" s="63"/>
      <c r="AP1157" s="63"/>
      <c r="AQ1157" s="63"/>
      <c r="AS1157" s="236"/>
      <c r="BE1157" s="63"/>
      <c r="BF1157" s="63"/>
      <c r="BG1157" s="63"/>
      <c r="BK1157" s="317"/>
      <c r="BL1157" s="5"/>
      <c r="BM1157" s="5"/>
      <c r="BN1157" s="5"/>
      <c r="BO1157" s="5"/>
      <c r="BP1157" s="5"/>
      <c r="BQ1157" s="5"/>
      <c r="BR1157" s="5"/>
      <c r="BS1157" s="5"/>
      <c r="BT1157" s="5"/>
      <c r="BV1157" s="317"/>
      <c r="CF1157" s="5"/>
      <c r="CG1157" s="5"/>
      <c r="CH1157" s="5"/>
      <c r="CI1157" s="5"/>
      <c r="CJ1157" s="5"/>
      <c r="CK1157" s="5"/>
      <c r="CL1157" s="5"/>
    </row>
    <row r="1158" spans="1:103" ht="10.25" customHeight="1">
      <c r="A1158" s="377"/>
      <c r="B1158" s="377"/>
      <c r="C1158" s="377"/>
      <c r="D1158" s="377"/>
      <c r="E1158" s="377"/>
      <c r="F1158" s="377"/>
      <c r="G1158" s="377"/>
      <c r="H1158" s="377"/>
      <c r="I1158" s="377"/>
      <c r="J1158" s="377"/>
      <c r="K1158" s="377"/>
      <c r="L1158" s="377"/>
      <c r="M1158" s="377"/>
      <c r="N1158" s="269"/>
      <c r="O1158" s="63"/>
      <c r="P1158" s="63"/>
      <c r="Q1158" s="63"/>
      <c r="R1158" s="63"/>
      <c r="S1158" s="63"/>
      <c r="T1158" s="63"/>
      <c r="U1158" s="63"/>
      <c r="V1158" s="63"/>
      <c r="W1158" s="63"/>
      <c r="X1158" s="63"/>
      <c r="Y1158" s="63"/>
      <c r="Z1158" s="63"/>
      <c r="AA1158" s="63"/>
      <c r="AB1158" s="63"/>
      <c r="AC1158" s="63"/>
      <c r="AD1158" s="63"/>
      <c r="AE1158" s="63"/>
      <c r="AF1158" s="63"/>
      <c r="AG1158" s="63"/>
      <c r="AH1158" s="63"/>
      <c r="AI1158" s="63"/>
      <c r="AJ1158" s="63"/>
      <c r="AK1158" s="63"/>
      <c r="AL1158" s="63"/>
      <c r="AM1158" s="63"/>
      <c r="AN1158" s="63"/>
      <c r="AO1158" s="63"/>
      <c r="AP1158" s="63"/>
      <c r="AQ1158" s="63"/>
      <c r="BE1158" s="63"/>
      <c r="BF1158" s="63"/>
      <c r="BG1158" s="63"/>
      <c r="BK1158" s="317"/>
      <c r="BL1158" s="5"/>
      <c r="BM1158" s="5"/>
      <c r="BN1158" s="5"/>
      <c r="BO1158" s="5"/>
      <c r="BP1158" s="5"/>
      <c r="BQ1158" s="5"/>
      <c r="BR1158" s="5"/>
      <c r="BS1158" s="5"/>
      <c r="BT1158" s="5"/>
      <c r="BV1158" s="317"/>
      <c r="CF1158" s="5"/>
      <c r="CG1158" s="5"/>
      <c r="CH1158" s="5"/>
      <c r="CI1158" s="5"/>
      <c r="CJ1158" s="5"/>
      <c r="CK1158" s="5"/>
      <c r="CL1158" s="5"/>
    </row>
    <row r="1159" spans="1:103" ht="10.25" customHeight="1">
      <c r="A1159" s="376"/>
      <c r="B1159" s="376"/>
      <c r="C1159" s="376"/>
      <c r="D1159" s="376"/>
      <c r="E1159" s="376"/>
      <c r="F1159" s="376"/>
      <c r="G1159" s="376"/>
      <c r="H1159" s="376"/>
      <c r="I1159" s="376"/>
      <c r="J1159" s="376"/>
      <c r="K1159" s="376"/>
      <c r="L1159" s="376"/>
      <c r="M1159" s="376"/>
      <c r="N1159" s="279"/>
      <c r="O1159" s="51"/>
      <c r="P1159" s="51"/>
      <c r="Q1159" s="51"/>
      <c r="R1159" s="51"/>
      <c r="S1159" s="51"/>
      <c r="T1159" s="51"/>
      <c r="U1159" s="51"/>
      <c r="V1159" s="51"/>
      <c r="W1159" s="51"/>
      <c r="X1159" s="51"/>
      <c r="Y1159" s="51"/>
      <c r="Z1159" s="51"/>
      <c r="AA1159" s="51"/>
      <c r="AB1159" s="51"/>
      <c r="AC1159" s="51"/>
      <c r="AD1159" s="51"/>
      <c r="AE1159" s="51"/>
      <c r="AF1159" s="51"/>
      <c r="AG1159" s="51"/>
      <c r="AH1159" s="51"/>
      <c r="AI1159" s="51"/>
      <c r="AJ1159" s="51"/>
      <c r="AK1159" s="51"/>
      <c r="AL1159" s="51"/>
      <c r="AM1159" s="51"/>
      <c r="AN1159" s="51"/>
      <c r="AO1159" s="51"/>
      <c r="AP1159" s="51"/>
      <c r="AQ1159" s="51"/>
      <c r="BE1159" s="63"/>
      <c r="BF1159" s="63"/>
      <c r="BG1159" s="63"/>
      <c r="BK1159" s="317"/>
      <c r="BL1159" s="5"/>
      <c r="BM1159" s="5"/>
      <c r="BN1159" s="5"/>
      <c r="BO1159" s="5"/>
      <c r="BP1159" s="5"/>
      <c r="BQ1159" s="5"/>
      <c r="BR1159" s="5"/>
      <c r="BS1159" s="5"/>
      <c r="BT1159" s="5"/>
      <c r="BV1159" s="317"/>
      <c r="CF1159" s="5"/>
      <c r="CG1159" s="5"/>
      <c r="CH1159" s="5"/>
      <c r="CI1159" s="5"/>
      <c r="CJ1159" s="5"/>
      <c r="CK1159" s="5"/>
      <c r="CL1159" s="5"/>
    </row>
    <row r="1160" spans="1:103" ht="10.25" customHeight="1">
      <c r="A1160" s="374"/>
      <c r="B1160" s="374"/>
      <c r="C1160" s="374"/>
      <c r="D1160" s="374"/>
      <c r="E1160" s="374"/>
      <c r="F1160" s="374"/>
      <c r="G1160" s="374"/>
      <c r="H1160" s="374"/>
      <c r="I1160" s="374"/>
      <c r="J1160" s="374"/>
      <c r="K1160" s="374"/>
      <c r="L1160" s="374"/>
      <c r="M1160" s="374"/>
      <c r="N1160" s="213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  <c r="BE1160" s="63"/>
      <c r="BF1160" s="63"/>
      <c r="BG1160" s="63"/>
      <c r="BK1160" s="317"/>
      <c r="BL1160" s="5"/>
      <c r="BM1160" s="5"/>
      <c r="BN1160" s="5"/>
      <c r="BO1160" s="5"/>
      <c r="BP1160" s="5"/>
      <c r="BQ1160" s="5"/>
      <c r="BR1160" s="5"/>
      <c r="BS1160" s="5"/>
      <c r="BT1160" s="5"/>
      <c r="BV1160" s="317"/>
      <c r="CF1160" s="5"/>
      <c r="CG1160" s="5"/>
      <c r="CH1160" s="5"/>
      <c r="CI1160" s="5"/>
      <c r="CJ1160" s="5"/>
      <c r="CK1160" s="5"/>
      <c r="CL1160" s="5"/>
    </row>
    <row r="1161" spans="1:103" ht="6" customHeight="1">
      <c r="A1161" s="208"/>
      <c r="B1161" s="209"/>
      <c r="C1161" s="209"/>
      <c r="D1161" s="209"/>
      <c r="E1161" s="209"/>
      <c r="F1161" s="280"/>
      <c r="G1161" s="280"/>
      <c r="H1161" s="280"/>
      <c r="I1161" s="280"/>
      <c r="J1161" s="280"/>
      <c r="K1161" s="280"/>
      <c r="L1161" s="280"/>
      <c r="M1161" s="280"/>
      <c r="N1161" s="280"/>
      <c r="O1161" s="42"/>
      <c r="P1161" s="42"/>
      <c r="Q1161" s="42"/>
      <c r="R1161" s="42"/>
      <c r="S1161" s="42"/>
      <c r="T1161" s="42"/>
      <c r="U1161" s="42"/>
      <c r="V1161" s="42"/>
      <c r="W1161" s="42"/>
      <c r="X1161" s="42"/>
      <c r="Y1161" s="42"/>
      <c r="Z1161" s="42"/>
      <c r="AA1161" s="42"/>
      <c r="AB1161" s="42"/>
      <c r="AC1161" s="42"/>
      <c r="AD1161" s="42"/>
      <c r="AE1161" s="42"/>
      <c r="AF1161" s="42"/>
      <c r="AG1161" s="42"/>
      <c r="AH1161" s="42"/>
      <c r="AI1161" s="42"/>
      <c r="AJ1161" s="42"/>
      <c r="AK1161" s="42"/>
      <c r="AL1161" s="42"/>
      <c r="AM1161" s="42"/>
      <c r="AN1161" s="42"/>
      <c r="AO1161" s="42"/>
      <c r="AP1161" s="42"/>
      <c r="AQ1161" s="42"/>
      <c r="BK1161" s="317"/>
      <c r="BL1161" s="5"/>
      <c r="BM1161" s="5"/>
      <c r="BN1161" s="5"/>
      <c r="BO1161" s="5"/>
      <c r="BP1161" s="5"/>
      <c r="BQ1161" s="5"/>
      <c r="BR1161" s="5"/>
      <c r="BS1161" s="5"/>
      <c r="BT1161" s="5"/>
      <c r="BV1161" s="317"/>
      <c r="CF1161" s="5"/>
      <c r="CG1161" s="5"/>
      <c r="CH1161" s="5"/>
      <c r="CI1161" s="5"/>
      <c r="CJ1161" s="5"/>
      <c r="CK1161" s="5"/>
      <c r="CL1161" s="5"/>
    </row>
    <row r="1162" spans="1:103" ht="10.25" customHeight="1">
      <c r="A1162" s="208"/>
      <c r="B1162" s="209"/>
      <c r="C1162" s="209"/>
      <c r="D1162" s="210"/>
      <c r="E1162" s="211"/>
      <c r="F1162" s="369"/>
      <c r="G1162" s="369"/>
      <c r="H1162" s="369"/>
      <c r="I1162" s="369"/>
      <c r="J1162" s="369"/>
      <c r="K1162" s="369"/>
      <c r="L1162" s="369"/>
      <c r="M1162" s="230"/>
      <c r="N1162" s="230"/>
      <c r="O1162" s="235"/>
      <c r="P1162" s="235"/>
      <c r="Q1162" s="235"/>
      <c r="R1162" s="235"/>
      <c r="S1162" s="235"/>
      <c r="T1162" s="235"/>
      <c r="U1162" s="235"/>
      <c r="V1162" s="235"/>
      <c r="W1162" s="235"/>
      <c r="X1162" s="235"/>
      <c r="Y1162" s="235"/>
      <c r="Z1162" s="235"/>
      <c r="AA1162" s="235"/>
      <c r="AB1162" s="235"/>
      <c r="AC1162" s="235"/>
      <c r="AD1162" s="235"/>
      <c r="AE1162" s="235"/>
      <c r="AF1162" s="235"/>
      <c r="AG1162" s="235"/>
      <c r="AH1162" s="235"/>
      <c r="AI1162" s="235"/>
      <c r="AJ1162" s="235"/>
      <c r="AK1162" s="235"/>
      <c r="AL1162" s="235"/>
      <c r="AM1162" s="235"/>
      <c r="AN1162" s="235"/>
      <c r="AO1162" s="235"/>
      <c r="AP1162" s="235"/>
      <c r="AQ1162" s="235"/>
      <c r="BK1162" s="317"/>
      <c r="BL1162" s="5"/>
      <c r="BM1162" s="5"/>
      <c r="BN1162" s="5"/>
      <c r="BO1162" s="5"/>
      <c r="BP1162" s="5"/>
      <c r="BQ1162" s="5"/>
      <c r="BR1162" s="5"/>
      <c r="BS1162" s="5"/>
      <c r="BT1162" s="5"/>
      <c r="BV1162" s="317"/>
      <c r="CF1162" s="5"/>
      <c r="CG1162" s="5"/>
      <c r="CH1162" s="5"/>
      <c r="CI1162" s="5"/>
      <c r="CJ1162" s="5"/>
      <c r="CK1162" s="5"/>
      <c r="CL1162" s="5"/>
    </row>
    <row r="1163" spans="1:103" ht="2" customHeight="1">
      <c r="A1163" s="209"/>
      <c r="B1163" s="209"/>
      <c r="C1163" s="212"/>
      <c r="D1163" s="213"/>
      <c r="E1163" s="209"/>
      <c r="F1163" s="209"/>
      <c r="G1163" s="209"/>
      <c r="H1163" s="209"/>
      <c r="I1163" s="209"/>
      <c r="J1163" s="209"/>
      <c r="K1163" s="209"/>
      <c r="L1163" s="209"/>
      <c r="M1163" s="209"/>
      <c r="N1163" s="209"/>
      <c r="O1163" s="46"/>
      <c r="P1163" s="46"/>
      <c r="Q1163" s="46"/>
      <c r="R1163" s="46"/>
      <c r="S1163" s="46"/>
      <c r="T1163" s="46"/>
      <c r="U1163" s="46"/>
      <c r="V1163" s="46"/>
      <c r="W1163" s="46"/>
      <c r="X1163" s="46"/>
      <c r="Y1163" s="46"/>
      <c r="Z1163" s="46"/>
      <c r="AA1163" s="46"/>
      <c r="AB1163" s="46"/>
      <c r="AC1163" s="46"/>
      <c r="AD1163" s="46"/>
      <c r="AE1163" s="46"/>
      <c r="AF1163" s="46"/>
      <c r="AG1163" s="46"/>
      <c r="AH1163" s="46"/>
      <c r="AI1163" s="46"/>
      <c r="AJ1163" s="46"/>
      <c r="AK1163" s="46"/>
      <c r="AL1163" s="46"/>
      <c r="AM1163" s="46"/>
      <c r="AN1163" s="46"/>
      <c r="AO1163" s="46"/>
      <c r="AP1163" s="46"/>
      <c r="AQ1163" s="46"/>
      <c r="BK1163" s="317"/>
      <c r="BL1163" s="5"/>
      <c r="BM1163" s="5"/>
      <c r="BN1163" s="5"/>
      <c r="BO1163" s="5"/>
      <c r="BP1163" s="5"/>
      <c r="BQ1163" s="5"/>
      <c r="BR1163" s="5"/>
      <c r="BS1163" s="5"/>
      <c r="BT1163" s="5"/>
      <c r="BV1163" s="317"/>
      <c r="CF1163" s="5"/>
      <c r="CG1163" s="5"/>
      <c r="CH1163" s="5"/>
      <c r="CI1163" s="5"/>
      <c r="CJ1163" s="5"/>
      <c r="CK1163" s="5"/>
      <c r="CL1163" s="5"/>
    </row>
    <row r="1164" spans="1:103" ht="26.4" customHeight="1">
      <c r="A1164" s="374"/>
      <c r="B1164" s="374"/>
      <c r="C1164" s="374"/>
      <c r="D1164" s="372"/>
      <c r="E1164" s="373"/>
      <c r="F1164" s="370"/>
      <c r="G1164" s="215"/>
      <c r="H1164" s="373"/>
      <c r="I1164" s="370"/>
      <c r="J1164" s="370"/>
      <c r="K1164" s="370"/>
      <c r="L1164" s="373"/>
      <c r="M1164" s="374"/>
      <c r="N1164" s="213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  <c r="BK1164" s="317"/>
      <c r="BL1164" s="5"/>
      <c r="BM1164" s="5"/>
      <c r="BN1164" s="5"/>
      <c r="BO1164" s="5"/>
      <c r="BP1164" s="5"/>
      <c r="BQ1164" s="5"/>
      <c r="BR1164" s="5"/>
      <c r="BS1164" s="5"/>
      <c r="BT1164" s="5"/>
      <c r="BV1164" s="317"/>
      <c r="CF1164" s="5"/>
      <c r="CG1164" s="5"/>
      <c r="CH1164" s="5"/>
      <c r="CI1164" s="5"/>
      <c r="CJ1164" s="5"/>
      <c r="CK1164" s="5"/>
      <c r="CL1164" s="5"/>
    </row>
    <row r="1165" spans="1:103" ht="9.65" customHeight="1">
      <c r="A1165" s="374"/>
      <c r="B1165" s="374"/>
      <c r="C1165" s="374"/>
      <c r="D1165" s="372"/>
      <c r="E1165" s="373"/>
      <c r="F1165" s="370"/>
      <c r="G1165" s="215"/>
      <c r="H1165" s="373"/>
      <c r="I1165" s="233"/>
      <c r="J1165" s="233"/>
      <c r="K1165" s="233"/>
      <c r="L1165" s="373"/>
      <c r="M1165" s="374"/>
      <c r="N1165" s="213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BK1165" s="317"/>
      <c r="BL1165" s="5"/>
      <c r="BM1165" s="5"/>
      <c r="BN1165" s="5"/>
      <c r="BO1165" s="5"/>
      <c r="BP1165" s="5"/>
      <c r="BQ1165" s="5"/>
      <c r="BR1165" s="5"/>
      <c r="BS1165" s="5"/>
      <c r="BT1165" s="5"/>
      <c r="BV1165" s="317"/>
      <c r="CF1165" s="5"/>
      <c r="CG1165" s="5"/>
      <c r="CH1165" s="5"/>
      <c r="CI1165" s="5"/>
      <c r="CJ1165" s="5"/>
      <c r="CK1165" s="5"/>
      <c r="CL1165" s="5"/>
    </row>
    <row r="1166" spans="1:103" ht="10.25" customHeight="1">
      <c r="A1166" s="216"/>
      <c r="B1166" s="217"/>
      <c r="C1166" s="218"/>
      <c r="D1166" s="219"/>
      <c r="E1166" s="217"/>
      <c r="F1166" s="217"/>
      <c r="G1166" s="217"/>
      <c r="H1166" s="220"/>
      <c r="I1166" s="217"/>
      <c r="J1166" s="217"/>
      <c r="K1166" s="217"/>
      <c r="L1166" s="217"/>
      <c r="M1166" s="217"/>
      <c r="N1166" s="217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BA1166" s="5"/>
      <c r="BB1166" s="5"/>
      <c r="BC1166" s="5"/>
      <c r="BD1166" s="5"/>
      <c r="BE1166" s="63"/>
      <c r="BF1166" s="63"/>
      <c r="BG1166" s="63"/>
      <c r="BK1166" s="317"/>
      <c r="BL1166" s="5"/>
      <c r="BM1166" s="5"/>
      <c r="BN1166" s="5"/>
      <c r="BO1166" s="5"/>
      <c r="BP1166" s="5"/>
      <c r="BQ1166" s="5"/>
      <c r="BR1166" s="5"/>
      <c r="BS1166" s="5"/>
      <c r="BT1166" s="5"/>
      <c r="BV1166" s="317"/>
      <c r="CF1166" s="5"/>
      <c r="CG1166" s="53"/>
      <c r="CH1166" s="53"/>
      <c r="CI1166" s="53"/>
      <c r="CJ1166" s="53"/>
      <c r="CK1166" s="53"/>
      <c r="CL1166" s="53"/>
      <c r="CN1166" s="53"/>
      <c r="CO1166" s="53"/>
      <c r="CP1166" s="53"/>
      <c r="CQ1166" s="53"/>
      <c r="CR1166" s="53"/>
      <c r="CS1166" s="53"/>
    </row>
    <row r="1167" spans="1:103" ht="10.25" customHeight="1">
      <c r="A1167" s="216"/>
      <c r="B1167" s="217"/>
      <c r="C1167" s="218"/>
      <c r="D1167" s="219"/>
      <c r="E1167" s="217"/>
      <c r="F1167" s="217"/>
      <c r="G1167" s="217"/>
      <c r="H1167" s="220"/>
      <c r="I1167" s="217"/>
      <c r="J1167" s="217"/>
      <c r="K1167" s="217"/>
      <c r="L1167" s="217"/>
      <c r="M1167" s="217"/>
      <c r="N1167" s="217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BA1167" s="5"/>
      <c r="BB1167" s="5"/>
      <c r="BC1167" s="5"/>
      <c r="BD1167" s="5"/>
      <c r="BE1167" s="63"/>
      <c r="BF1167" s="63"/>
      <c r="BG1167" s="63"/>
      <c r="BK1167" s="317"/>
      <c r="BL1167" s="5"/>
      <c r="BM1167" s="5"/>
      <c r="BN1167" s="5"/>
      <c r="BO1167" s="5"/>
      <c r="BP1167" s="5"/>
      <c r="BQ1167" s="5"/>
      <c r="BR1167" s="5"/>
      <c r="BS1167" s="5"/>
      <c r="BT1167" s="5"/>
      <c r="BV1167" s="317"/>
      <c r="CF1167" s="5"/>
      <c r="CG1167" s="53"/>
      <c r="CH1167" s="53"/>
      <c r="CI1167" s="53"/>
      <c r="CJ1167" s="53"/>
      <c r="CK1167" s="53"/>
      <c r="CL1167" s="53"/>
      <c r="CN1167" s="53"/>
      <c r="CO1167" s="53"/>
      <c r="CP1167" s="53"/>
      <c r="CQ1167" s="53"/>
      <c r="CR1167" s="53"/>
      <c r="CS1167" s="53"/>
    </row>
    <row r="1168" spans="1:103" ht="10.25" customHeight="1">
      <c r="A1168" s="216"/>
      <c r="B1168" s="217"/>
      <c r="C1168" s="218"/>
      <c r="D1168" s="219"/>
      <c r="E1168" s="217"/>
      <c r="F1168" s="217"/>
      <c r="G1168" s="217"/>
      <c r="H1168" s="220"/>
      <c r="I1168" s="217"/>
      <c r="J1168" s="217"/>
      <c r="K1168" s="217"/>
      <c r="L1168" s="217"/>
      <c r="M1168" s="217"/>
      <c r="N1168" s="217"/>
      <c r="O1168" s="44"/>
      <c r="P1168" s="44"/>
      <c r="Q1168" s="44"/>
      <c r="R1168" s="44"/>
      <c r="S1168" s="44"/>
      <c r="T1168" s="44"/>
      <c r="U1168" s="44"/>
      <c r="V1168" s="44"/>
      <c r="W1168" s="44"/>
      <c r="X1168" s="44"/>
      <c r="Y1168" s="44"/>
      <c r="Z1168" s="44"/>
      <c r="AA1168" s="44"/>
      <c r="AB1168" s="44"/>
      <c r="AC1168" s="44"/>
      <c r="AD1168" s="44"/>
      <c r="AE1168" s="44"/>
      <c r="AF1168" s="44"/>
      <c r="AG1168" s="44"/>
      <c r="AH1168" s="44"/>
      <c r="AI1168" s="44"/>
      <c r="AJ1168" s="44"/>
      <c r="AK1168" s="44"/>
      <c r="AL1168" s="44"/>
      <c r="AM1168" s="44"/>
      <c r="AN1168" s="44"/>
      <c r="AO1168" s="44"/>
      <c r="AP1168" s="44"/>
      <c r="AQ1168" s="44"/>
      <c r="BA1168" s="5"/>
      <c r="BB1168" s="5"/>
      <c r="BC1168" s="5"/>
      <c r="BD1168" s="5"/>
      <c r="BE1168" s="63"/>
      <c r="BF1168" s="63"/>
      <c r="BG1168" s="63"/>
      <c r="BK1168" s="317"/>
      <c r="BL1168" s="5"/>
      <c r="BM1168" s="5"/>
      <c r="BN1168" s="5"/>
      <c r="BO1168" s="5"/>
      <c r="BP1168" s="5"/>
      <c r="BQ1168" s="5"/>
      <c r="BR1168" s="5"/>
      <c r="BS1168" s="5"/>
      <c r="BT1168" s="5"/>
      <c r="BV1168" s="317"/>
      <c r="CF1168" s="5"/>
      <c r="CG1168" s="53"/>
      <c r="CH1168" s="53"/>
      <c r="CI1168" s="53"/>
      <c r="CJ1168" s="53"/>
      <c r="CK1168" s="53"/>
      <c r="CL1168" s="53"/>
      <c r="CN1168" s="53"/>
      <c r="CO1168" s="53"/>
      <c r="CP1168" s="53"/>
      <c r="CQ1168" s="53"/>
      <c r="CR1168" s="53"/>
      <c r="CS1168" s="53"/>
    </row>
    <row r="1169" spans="1:103" ht="10.25" customHeight="1">
      <c r="A1169" s="216"/>
      <c r="B1169" s="217"/>
      <c r="C1169" s="218"/>
      <c r="D1169" s="219"/>
      <c r="E1169" s="217"/>
      <c r="F1169" s="217"/>
      <c r="G1169" s="217"/>
      <c r="H1169" s="220"/>
      <c r="I1169" s="217"/>
      <c r="J1169" s="217"/>
      <c r="K1169" s="217"/>
      <c r="L1169" s="217"/>
      <c r="M1169" s="217"/>
      <c r="N1169" s="217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44"/>
      <c r="AL1169" s="44"/>
      <c r="AM1169" s="44"/>
      <c r="AN1169" s="44"/>
      <c r="AO1169" s="44"/>
      <c r="AP1169" s="44"/>
      <c r="AQ1169" s="44"/>
      <c r="BA1169" s="5"/>
      <c r="BB1169" s="5"/>
      <c r="BC1169" s="5"/>
      <c r="BD1169" s="5"/>
      <c r="BE1169" s="63"/>
      <c r="BF1169" s="63"/>
      <c r="BG1169" s="63"/>
      <c r="BK1169" s="317"/>
      <c r="BL1169" s="5"/>
      <c r="BM1169" s="5"/>
      <c r="BN1169" s="5"/>
      <c r="BO1169" s="5"/>
      <c r="BP1169" s="5"/>
      <c r="BQ1169" s="5"/>
      <c r="BR1169" s="5"/>
      <c r="BS1169" s="5"/>
      <c r="BT1169" s="5"/>
      <c r="BV1169" s="317"/>
      <c r="CF1169" s="5"/>
      <c r="CG1169" s="53"/>
      <c r="CH1169" s="53"/>
      <c r="CI1169" s="53"/>
      <c r="CJ1169" s="53"/>
      <c r="CK1169" s="53"/>
      <c r="CL1169" s="53"/>
      <c r="CN1169" s="53"/>
      <c r="CO1169" s="53"/>
      <c r="CP1169" s="53"/>
      <c r="CQ1169" s="53"/>
      <c r="CR1169" s="53"/>
      <c r="CS1169" s="53"/>
    </row>
    <row r="1170" spans="1:103" ht="10.25" customHeight="1">
      <c r="A1170" s="216"/>
      <c r="B1170" s="217"/>
      <c r="C1170" s="218"/>
      <c r="D1170" s="219"/>
      <c r="E1170" s="217"/>
      <c r="F1170" s="217"/>
      <c r="G1170" s="217"/>
      <c r="H1170" s="220"/>
      <c r="I1170" s="217"/>
      <c r="J1170" s="217"/>
      <c r="K1170" s="217"/>
      <c r="L1170" s="217"/>
      <c r="M1170" s="217"/>
      <c r="N1170" s="217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BA1170" s="5"/>
      <c r="BB1170" s="5"/>
      <c r="BC1170" s="5"/>
      <c r="BD1170" s="5"/>
      <c r="BE1170" s="63"/>
      <c r="BF1170" s="63"/>
      <c r="BG1170" s="63"/>
      <c r="BK1170" s="317"/>
      <c r="BL1170" s="5"/>
      <c r="BM1170" s="5"/>
      <c r="BN1170" s="5"/>
      <c r="BO1170" s="5"/>
      <c r="BP1170" s="5"/>
      <c r="BQ1170" s="5"/>
      <c r="BR1170" s="5"/>
      <c r="BS1170" s="5"/>
      <c r="BT1170" s="5"/>
      <c r="BV1170" s="317"/>
      <c r="CF1170" s="5"/>
      <c r="CG1170" s="53"/>
      <c r="CH1170" s="53"/>
      <c r="CI1170" s="53"/>
      <c r="CJ1170" s="53"/>
      <c r="CK1170" s="53"/>
      <c r="CL1170" s="53"/>
      <c r="CN1170" s="53"/>
      <c r="CO1170" s="53"/>
      <c r="CP1170" s="53"/>
      <c r="CQ1170" s="53"/>
      <c r="CR1170" s="53"/>
      <c r="CS1170" s="53"/>
    </row>
    <row r="1171" spans="1:103" ht="10.25" customHeight="1">
      <c r="A1171" s="216"/>
      <c r="B1171" s="217"/>
      <c r="C1171" s="218"/>
      <c r="D1171" s="219"/>
      <c r="E1171" s="217"/>
      <c r="F1171" s="217"/>
      <c r="G1171" s="217"/>
      <c r="H1171" s="220"/>
      <c r="I1171" s="217"/>
      <c r="J1171" s="217"/>
      <c r="K1171" s="217"/>
      <c r="L1171" s="217"/>
      <c r="M1171" s="217"/>
      <c r="N1171" s="217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BA1171" s="5"/>
      <c r="BB1171" s="5"/>
      <c r="BC1171" s="5"/>
      <c r="BD1171" s="5"/>
      <c r="BE1171" s="63"/>
      <c r="BF1171" s="63"/>
      <c r="BG1171" s="63"/>
      <c r="BK1171" s="317"/>
      <c r="BL1171" s="5"/>
      <c r="BM1171" s="5"/>
      <c r="BN1171" s="5"/>
      <c r="BO1171" s="5"/>
      <c r="BP1171" s="5"/>
      <c r="BQ1171" s="5"/>
      <c r="BR1171" s="5"/>
      <c r="BS1171" s="5"/>
      <c r="BT1171" s="5"/>
      <c r="BV1171" s="317"/>
      <c r="CF1171" s="5"/>
      <c r="CG1171" s="53"/>
      <c r="CH1171" s="53"/>
      <c r="CI1171" s="53"/>
      <c r="CJ1171" s="53"/>
      <c r="CK1171" s="53"/>
      <c r="CL1171" s="53"/>
      <c r="CN1171" s="53"/>
      <c r="CO1171" s="53"/>
      <c r="CP1171" s="53"/>
      <c r="CQ1171" s="53"/>
      <c r="CR1171" s="53"/>
      <c r="CS1171" s="53"/>
    </row>
    <row r="1172" spans="1:103" ht="10.25" customHeight="1">
      <c r="A1172" s="216"/>
      <c r="B1172" s="217"/>
      <c r="C1172" s="218"/>
      <c r="D1172" s="219"/>
      <c r="E1172" s="217"/>
      <c r="F1172" s="217"/>
      <c r="G1172" s="217"/>
      <c r="H1172" s="220"/>
      <c r="I1172" s="217"/>
      <c r="J1172" s="217"/>
      <c r="K1172" s="217"/>
      <c r="L1172" s="217"/>
      <c r="M1172" s="217"/>
      <c r="N1172" s="217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BA1172" s="5"/>
      <c r="BB1172" s="5"/>
      <c r="BC1172" s="5"/>
      <c r="BD1172" s="5"/>
      <c r="BE1172" s="63"/>
      <c r="BF1172" s="63"/>
      <c r="BG1172" s="63"/>
      <c r="BK1172" s="317"/>
      <c r="BL1172" s="5"/>
      <c r="BM1172" s="5"/>
      <c r="BN1172" s="5"/>
      <c r="BO1172" s="5"/>
      <c r="BP1172" s="5"/>
      <c r="BQ1172" s="5"/>
      <c r="BR1172" s="5"/>
      <c r="BS1172" s="5"/>
      <c r="BT1172" s="5"/>
      <c r="BV1172" s="317"/>
      <c r="CF1172" s="5"/>
      <c r="CG1172" s="53"/>
      <c r="CH1172" s="53"/>
      <c r="CI1172" s="53"/>
      <c r="CJ1172" s="53"/>
      <c r="CK1172" s="53"/>
      <c r="CL1172" s="53"/>
      <c r="CN1172" s="53"/>
      <c r="CO1172" s="53"/>
      <c r="CP1172" s="53"/>
      <c r="CQ1172" s="53"/>
      <c r="CR1172" s="53"/>
      <c r="CS1172" s="53"/>
    </row>
    <row r="1173" spans="1:103" ht="10.25" customHeight="1">
      <c r="A1173" s="216"/>
      <c r="B1173" s="217"/>
      <c r="C1173" s="218"/>
      <c r="D1173" s="219"/>
      <c r="E1173" s="217"/>
      <c r="F1173" s="217"/>
      <c r="G1173" s="217"/>
      <c r="H1173" s="220"/>
      <c r="I1173" s="217"/>
      <c r="J1173" s="217"/>
      <c r="K1173" s="217"/>
      <c r="L1173" s="217"/>
      <c r="M1173" s="217"/>
      <c r="N1173" s="217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W1173" s="63"/>
      <c r="AX1173" s="63"/>
      <c r="AY1173" s="63"/>
      <c r="AZ1173" s="63"/>
      <c r="BA1173" s="5"/>
      <c r="BB1173" s="5"/>
      <c r="BC1173" s="5"/>
      <c r="BD1173" s="5"/>
      <c r="BE1173" s="63"/>
      <c r="BF1173" s="63"/>
      <c r="BG1173" s="63"/>
      <c r="BV1173" s="317"/>
      <c r="CF1173" s="5"/>
      <c r="CG1173" s="53"/>
      <c r="CH1173" s="53"/>
      <c r="CI1173" s="53"/>
      <c r="CJ1173" s="53"/>
      <c r="CK1173" s="53"/>
      <c r="CL1173" s="53"/>
      <c r="CN1173" s="53"/>
      <c r="CO1173" s="53"/>
      <c r="CP1173" s="53"/>
      <c r="CQ1173" s="53"/>
      <c r="CR1173" s="53"/>
      <c r="CS1173" s="53"/>
    </row>
    <row r="1174" spans="1:103" ht="10.25" customHeight="1">
      <c r="A1174" s="216"/>
      <c r="B1174" s="217"/>
      <c r="C1174" s="218"/>
      <c r="D1174" s="219"/>
      <c r="E1174" s="217"/>
      <c r="F1174" s="217"/>
      <c r="G1174" s="217"/>
      <c r="H1174" s="220"/>
      <c r="I1174" s="217"/>
      <c r="J1174" s="217"/>
      <c r="K1174" s="217"/>
      <c r="L1174" s="217"/>
      <c r="M1174" s="217"/>
      <c r="N1174" s="217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W1174" s="63"/>
      <c r="AX1174" s="63"/>
      <c r="AY1174" s="63"/>
      <c r="AZ1174" s="63"/>
      <c r="BA1174" s="5"/>
      <c r="BB1174" s="5"/>
      <c r="BC1174" s="5"/>
      <c r="BD1174" s="5"/>
      <c r="BE1174" s="63"/>
      <c r="BF1174" s="63"/>
      <c r="BG1174" s="63"/>
      <c r="BV1174" s="317"/>
      <c r="CF1174" s="5"/>
      <c r="CG1174" s="53"/>
      <c r="CH1174" s="53"/>
      <c r="CI1174" s="53"/>
      <c r="CJ1174" s="53"/>
      <c r="CK1174" s="53"/>
      <c r="CL1174" s="53"/>
      <c r="CN1174" s="53"/>
      <c r="CO1174" s="53"/>
      <c r="CP1174" s="53"/>
      <c r="CQ1174" s="53"/>
      <c r="CR1174" s="53"/>
      <c r="CS1174" s="53"/>
    </row>
    <row r="1175" spans="1:103" ht="10.25" customHeight="1">
      <c r="A1175" s="216"/>
      <c r="B1175" s="217"/>
      <c r="C1175" s="218"/>
      <c r="D1175" s="219"/>
      <c r="E1175" s="217"/>
      <c r="F1175" s="217"/>
      <c r="G1175" s="217"/>
      <c r="H1175" s="220"/>
      <c r="I1175" s="217"/>
      <c r="J1175" s="217"/>
      <c r="K1175" s="217"/>
      <c r="L1175" s="217"/>
      <c r="M1175" s="217"/>
      <c r="N1175" s="217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W1175" s="63"/>
      <c r="AX1175" s="63"/>
      <c r="AY1175" s="63"/>
      <c r="AZ1175" s="63"/>
      <c r="BA1175" s="5"/>
      <c r="BB1175" s="5"/>
      <c r="BC1175" s="5"/>
      <c r="BD1175" s="5"/>
      <c r="BE1175" s="63"/>
      <c r="BF1175" s="63"/>
      <c r="BG1175" s="63"/>
      <c r="BV1175" s="317"/>
      <c r="CF1175" s="5"/>
      <c r="CG1175" s="53"/>
      <c r="CH1175" s="53"/>
      <c r="CI1175" s="53"/>
      <c r="CJ1175" s="53"/>
      <c r="CK1175" s="53"/>
      <c r="CL1175" s="53"/>
      <c r="CN1175" s="53"/>
      <c r="CO1175" s="53"/>
      <c r="CP1175" s="53"/>
      <c r="CQ1175" s="53"/>
      <c r="CR1175" s="53"/>
      <c r="CS1175" s="53"/>
      <c r="CT1175" s="5"/>
      <c r="CU1175" s="5"/>
      <c r="CV1175" s="5"/>
      <c r="CW1175" s="5"/>
      <c r="CX1175" s="5"/>
      <c r="CY1175" s="5"/>
    </row>
    <row r="1176" spans="1:103" ht="10.25" customHeight="1">
      <c r="A1176" s="216"/>
      <c r="B1176" s="217"/>
      <c r="C1176" s="218"/>
      <c r="D1176" s="219"/>
      <c r="E1176" s="217"/>
      <c r="F1176" s="217"/>
      <c r="G1176" s="217"/>
      <c r="H1176" s="220"/>
      <c r="I1176" s="217"/>
      <c r="J1176" s="217"/>
      <c r="K1176" s="217"/>
      <c r="L1176" s="217"/>
      <c r="M1176" s="217"/>
      <c r="N1176" s="217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W1176" s="63"/>
      <c r="AX1176" s="63"/>
      <c r="AY1176" s="63"/>
      <c r="AZ1176" s="63"/>
      <c r="BA1176" s="5"/>
      <c r="BB1176" s="5"/>
      <c r="BC1176" s="5"/>
      <c r="BD1176" s="5"/>
      <c r="BE1176" s="63"/>
      <c r="BF1176" s="63"/>
      <c r="BG1176" s="63"/>
      <c r="BV1176" s="317"/>
      <c r="CF1176" s="5"/>
      <c r="CG1176" s="53"/>
      <c r="CH1176" s="53"/>
      <c r="CI1176" s="53"/>
      <c r="CJ1176" s="53"/>
      <c r="CK1176" s="53"/>
      <c r="CL1176" s="53"/>
      <c r="CN1176" s="53"/>
      <c r="CO1176" s="53"/>
      <c r="CP1176" s="53"/>
      <c r="CQ1176" s="53"/>
      <c r="CR1176" s="53"/>
      <c r="CS1176" s="53"/>
      <c r="CT1176" s="5"/>
      <c r="CU1176" s="5"/>
      <c r="CV1176" s="5"/>
      <c r="CW1176" s="5"/>
      <c r="CX1176" s="5"/>
      <c r="CY1176" s="5"/>
    </row>
    <row r="1177" spans="1:103" ht="10.25" customHeight="1">
      <c r="A1177" s="216"/>
      <c r="B1177" s="217"/>
      <c r="C1177" s="218"/>
      <c r="D1177" s="219"/>
      <c r="E1177" s="217"/>
      <c r="F1177" s="217"/>
      <c r="G1177" s="217"/>
      <c r="H1177" s="220"/>
      <c r="I1177" s="217"/>
      <c r="J1177" s="217"/>
      <c r="K1177" s="217"/>
      <c r="L1177" s="217"/>
      <c r="M1177" s="217"/>
      <c r="N1177" s="217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W1177" s="63"/>
      <c r="AX1177" s="63"/>
      <c r="AY1177" s="63"/>
      <c r="AZ1177" s="63"/>
      <c r="BA1177" s="5"/>
      <c r="BB1177" s="5"/>
      <c r="BC1177" s="5"/>
      <c r="BD1177" s="5"/>
      <c r="BE1177" s="63"/>
      <c r="BF1177" s="63"/>
      <c r="BG1177" s="63"/>
      <c r="BV1177" s="317"/>
      <c r="CF1177" s="5"/>
      <c r="CG1177" s="53"/>
      <c r="CH1177" s="53"/>
      <c r="CI1177" s="53"/>
      <c r="CJ1177" s="53"/>
      <c r="CK1177" s="53"/>
      <c r="CL1177" s="53"/>
      <c r="CN1177" s="53"/>
      <c r="CO1177" s="53"/>
      <c r="CP1177" s="53"/>
      <c r="CQ1177" s="53"/>
      <c r="CR1177" s="53"/>
      <c r="CS1177" s="53"/>
      <c r="CT1177" s="5"/>
      <c r="CU1177" s="5"/>
      <c r="CV1177" s="5"/>
      <c r="CW1177" s="5"/>
      <c r="CX1177" s="5"/>
      <c r="CY1177" s="5"/>
    </row>
    <row r="1178" spans="1:103" ht="10.25" customHeight="1">
      <c r="A1178" s="216"/>
      <c r="B1178" s="217"/>
      <c r="C1178" s="218"/>
      <c r="D1178" s="219"/>
      <c r="E1178" s="217"/>
      <c r="F1178" s="217"/>
      <c r="G1178" s="217"/>
      <c r="H1178" s="220"/>
      <c r="I1178" s="217"/>
      <c r="J1178" s="217"/>
      <c r="K1178" s="217"/>
      <c r="L1178" s="217"/>
      <c r="M1178" s="217"/>
      <c r="N1178" s="217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BA1178" s="5"/>
      <c r="BB1178" s="5"/>
      <c r="BC1178" s="5"/>
      <c r="BD1178" s="5"/>
      <c r="BE1178" s="63"/>
      <c r="BF1178" s="63"/>
      <c r="BG1178" s="63"/>
      <c r="BV1178" s="317"/>
      <c r="CF1178" s="5"/>
      <c r="CG1178" s="53"/>
      <c r="CH1178" s="53"/>
      <c r="CI1178" s="53"/>
      <c r="CJ1178" s="53"/>
      <c r="CK1178" s="53"/>
      <c r="CL1178" s="53"/>
      <c r="CN1178" s="53"/>
      <c r="CO1178" s="53"/>
      <c r="CP1178" s="53"/>
      <c r="CQ1178" s="53"/>
      <c r="CR1178" s="53"/>
      <c r="CS1178" s="53"/>
      <c r="CT1178" s="5"/>
      <c r="CU1178" s="5"/>
      <c r="CV1178" s="5"/>
      <c r="CW1178" s="5"/>
      <c r="CX1178" s="5"/>
      <c r="CY1178" s="5"/>
    </row>
    <row r="1179" spans="1:103" ht="10.25" customHeight="1">
      <c r="A1179" s="216"/>
      <c r="B1179" s="217"/>
      <c r="C1179" s="218"/>
      <c r="D1179" s="219"/>
      <c r="E1179" s="217"/>
      <c r="F1179" s="217"/>
      <c r="G1179" s="217"/>
      <c r="H1179" s="220"/>
      <c r="I1179" s="217"/>
      <c r="J1179" s="217"/>
      <c r="K1179" s="217"/>
      <c r="L1179" s="217"/>
      <c r="M1179" s="217"/>
      <c r="N1179" s="217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BA1179" s="5"/>
      <c r="BB1179" s="5"/>
      <c r="BC1179" s="5"/>
      <c r="BD1179" s="5"/>
      <c r="BE1179" s="63"/>
      <c r="BF1179" s="63"/>
      <c r="BG1179" s="63"/>
      <c r="BV1179" s="317"/>
      <c r="CF1179" s="5"/>
      <c r="CG1179" s="53"/>
      <c r="CH1179" s="53"/>
      <c r="CI1179" s="53"/>
      <c r="CJ1179" s="53"/>
      <c r="CK1179" s="53"/>
      <c r="CL1179" s="53"/>
      <c r="CN1179" s="53"/>
      <c r="CO1179" s="53"/>
      <c r="CP1179" s="53"/>
      <c r="CQ1179" s="53"/>
      <c r="CR1179" s="53"/>
      <c r="CS1179" s="53"/>
      <c r="CT1179" s="5"/>
      <c r="CU1179" s="5"/>
      <c r="CV1179" s="5"/>
      <c r="CW1179" s="5"/>
      <c r="CX1179" s="5"/>
      <c r="CY1179" s="5"/>
    </row>
    <row r="1180" spans="1:103" ht="10.25" customHeight="1">
      <c r="A1180" s="216"/>
      <c r="B1180" s="217"/>
      <c r="C1180" s="218"/>
      <c r="D1180" s="219"/>
      <c r="E1180" s="217"/>
      <c r="F1180" s="217"/>
      <c r="G1180" s="217"/>
      <c r="H1180" s="220"/>
      <c r="I1180" s="217"/>
      <c r="J1180" s="217"/>
      <c r="K1180" s="217"/>
      <c r="L1180" s="217"/>
      <c r="M1180" s="217"/>
      <c r="N1180" s="217"/>
      <c r="O1180" s="44"/>
      <c r="P1180" s="44"/>
      <c r="Q1180" s="44"/>
      <c r="R1180" s="44"/>
      <c r="S1180" s="44"/>
      <c r="T1180" s="44"/>
      <c r="U1180" s="44"/>
      <c r="V1180" s="44"/>
      <c r="W1180" s="44"/>
      <c r="X1180" s="44"/>
      <c r="Y1180" s="44"/>
      <c r="Z1180" s="44"/>
      <c r="AA1180" s="44"/>
      <c r="AB1180" s="44"/>
      <c r="AC1180" s="44"/>
      <c r="AD1180" s="44"/>
      <c r="AE1180" s="44"/>
      <c r="AF1180" s="44"/>
      <c r="AG1180" s="44"/>
      <c r="AH1180" s="44"/>
      <c r="AI1180" s="44"/>
      <c r="AJ1180" s="44"/>
      <c r="AK1180" s="44"/>
      <c r="AL1180" s="44"/>
      <c r="AM1180" s="44"/>
      <c r="AN1180" s="44"/>
      <c r="AO1180" s="44"/>
      <c r="AP1180" s="44"/>
      <c r="AQ1180" s="44"/>
      <c r="BA1180" s="5"/>
      <c r="BB1180" s="5"/>
      <c r="BC1180" s="5"/>
      <c r="BD1180" s="5"/>
      <c r="BE1180" s="63"/>
      <c r="BF1180" s="63"/>
      <c r="BG1180" s="63"/>
      <c r="CA1180" s="317"/>
      <c r="CF1180" s="5"/>
      <c r="CG1180" s="53"/>
      <c r="CH1180" s="53"/>
      <c r="CI1180" s="53"/>
      <c r="CJ1180" s="53"/>
      <c r="CK1180" s="53"/>
      <c r="CL1180" s="53"/>
      <c r="CN1180" s="53"/>
      <c r="CO1180" s="53"/>
      <c r="CP1180" s="53"/>
      <c r="CQ1180" s="53"/>
      <c r="CR1180" s="53"/>
      <c r="CS1180" s="53"/>
      <c r="CT1180" s="5"/>
      <c r="CU1180" s="5"/>
      <c r="CV1180" s="5"/>
      <c r="CW1180" s="5"/>
      <c r="CX1180" s="5"/>
      <c r="CY1180" s="5"/>
    </row>
    <row r="1181" spans="1:103" ht="10.25" customHeight="1">
      <c r="A1181" s="216"/>
      <c r="B1181" s="217"/>
      <c r="C1181" s="218"/>
      <c r="D1181" s="219"/>
      <c r="E1181" s="217"/>
      <c r="F1181" s="217"/>
      <c r="G1181" s="217"/>
      <c r="H1181" s="220"/>
      <c r="I1181" s="217"/>
      <c r="J1181" s="217"/>
      <c r="K1181" s="217"/>
      <c r="L1181" s="217"/>
      <c r="M1181" s="217"/>
      <c r="N1181" s="217"/>
      <c r="O1181" s="44"/>
      <c r="P1181" s="44"/>
      <c r="Q1181" s="44"/>
      <c r="R1181" s="44"/>
      <c r="S1181" s="44"/>
      <c r="T1181" s="44"/>
      <c r="U1181" s="44"/>
      <c r="V1181" s="44"/>
      <c r="W1181" s="44"/>
      <c r="X1181" s="44"/>
      <c r="Y1181" s="44"/>
      <c r="Z1181" s="44"/>
      <c r="AA1181" s="44"/>
      <c r="AB1181" s="44"/>
      <c r="AC1181" s="44"/>
      <c r="AD1181" s="44"/>
      <c r="AE1181" s="44"/>
      <c r="AF1181" s="44"/>
      <c r="AG1181" s="44"/>
      <c r="AH1181" s="44"/>
      <c r="AI1181" s="44"/>
      <c r="AJ1181" s="44"/>
      <c r="AK1181" s="44"/>
      <c r="AL1181" s="44"/>
      <c r="AM1181" s="44"/>
      <c r="AN1181" s="44"/>
      <c r="AO1181" s="44"/>
      <c r="AP1181" s="44"/>
      <c r="AQ1181" s="44"/>
      <c r="BA1181" s="5"/>
      <c r="BB1181" s="5"/>
      <c r="BC1181" s="5"/>
      <c r="BD1181" s="5"/>
      <c r="BE1181" s="63"/>
      <c r="BF1181" s="63"/>
      <c r="BG1181" s="63"/>
      <c r="CA1181" s="317"/>
      <c r="CF1181" s="5"/>
      <c r="CG1181" s="53"/>
      <c r="CH1181" s="53"/>
      <c r="CI1181" s="53"/>
      <c r="CJ1181" s="53"/>
      <c r="CK1181" s="53"/>
      <c r="CL1181" s="53"/>
      <c r="CN1181" s="53"/>
      <c r="CO1181" s="53"/>
      <c r="CP1181" s="53"/>
      <c r="CQ1181" s="53"/>
      <c r="CR1181" s="53"/>
      <c r="CS1181" s="53"/>
      <c r="CT1181" s="5"/>
      <c r="CU1181" s="5"/>
      <c r="CV1181" s="5"/>
      <c r="CW1181" s="5"/>
      <c r="CX1181" s="5"/>
      <c r="CY1181" s="5"/>
    </row>
    <row r="1182" spans="1:103" ht="10.25" customHeight="1">
      <c r="A1182" s="216"/>
      <c r="B1182" s="217"/>
      <c r="C1182" s="218"/>
      <c r="D1182" s="219"/>
      <c r="E1182" s="217"/>
      <c r="F1182" s="217"/>
      <c r="G1182" s="217"/>
      <c r="H1182" s="220"/>
      <c r="I1182" s="217"/>
      <c r="J1182" s="217"/>
      <c r="K1182" s="217"/>
      <c r="L1182" s="217"/>
      <c r="M1182" s="217"/>
      <c r="N1182" s="217"/>
      <c r="O1182" s="44"/>
      <c r="P1182" s="44"/>
      <c r="Q1182" s="44"/>
      <c r="R1182" s="44"/>
      <c r="S1182" s="44"/>
      <c r="T1182" s="44"/>
      <c r="U1182" s="44"/>
      <c r="V1182" s="44"/>
      <c r="W1182" s="44"/>
      <c r="X1182" s="44"/>
      <c r="Y1182" s="44"/>
      <c r="Z1182" s="44"/>
      <c r="AA1182" s="44"/>
      <c r="AB1182" s="44"/>
      <c r="AC1182" s="44"/>
      <c r="AD1182" s="44"/>
      <c r="AE1182" s="44"/>
      <c r="AF1182" s="44"/>
      <c r="AG1182" s="44"/>
      <c r="AH1182" s="44"/>
      <c r="AI1182" s="44"/>
      <c r="AJ1182" s="44"/>
      <c r="AK1182" s="44"/>
      <c r="AL1182" s="44"/>
      <c r="AM1182" s="44"/>
      <c r="AN1182" s="44"/>
      <c r="AO1182" s="44"/>
      <c r="AP1182" s="44"/>
      <c r="AQ1182" s="44"/>
      <c r="BA1182" s="5"/>
      <c r="BB1182" s="5"/>
      <c r="BC1182" s="5"/>
      <c r="BD1182" s="5"/>
      <c r="BE1182" s="63"/>
      <c r="BF1182" s="63"/>
      <c r="BG1182" s="63"/>
      <c r="CA1182" s="317"/>
      <c r="CF1182" s="5"/>
      <c r="CG1182" s="53"/>
      <c r="CH1182" s="53"/>
      <c r="CI1182" s="53"/>
      <c r="CJ1182" s="53"/>
      <c r="CK1182" s="53"/>
      <c r="CL1182" s="53"/>
      <c r="CN1182" s="53"/>
      <c r="CO1182" s="53"/>
      <c r="CP1182" s="53"/>
      <c r="CQ1182" s="53"/>
      <c r="CR1182" s="53"/>
      <c r="CS1182" s="53"/>
      <c r="CT1182" s="5"/>
      <c r="CU1182" s="5"/>
      <c r="CV1182" s="5"/>
      <c r="CW1182" s="5"/>
      <c r="CX1182" s="5"/>
      <c r="CY1182" s="5"/>
    </row>
    <row r="1183" spans="1:103" ht="10.25" customHeight="1">
      <c r="A1183" s="216"/>
      <c r="B1183" s="217"/>
      <c r="C1183" s="218"/>
      <c r="D1183" s="219"/>
      <c r="E1183" s="217"/>
      <c r="F1183" s="217"/>
      <c r="G1183" s="217"/>
      <c r="H1183" s="220"/>
      <c r="I1183" s="217"/>
      <c r="J1183" s="217"/>
      <c r="K1183" s="217"/>
      <c r="L1183" s="217"/>
      <c r="M1183" s="217"/>
      <c r="N1183" s="217"/>
      <c r="O1183" s="44"/>
      <c r="P1183" s="44"/>
      <c r="Q1183" s="44"/>
      <c r="R1183" s="44"/>
      <c r="S1183" s="44"/>
      <c r="T1183" s="44"/>
      <c r="U1183" s="44"/>
      <c r="V1183" s="44"/>
      <c r="W1183" s="44"/>
      <c r="X1183" s="44"/>
      <c r="Y1183" s="44"/>
      <c r="Z1183" s="44"/>
      <c r="AA1183" s="44"/>
      <c r="AB1183" s="44"/>
      <c r="AC1183" s="44"/>
      <c r="AD1183" s="44"/>
      <c r="AE1183" s="44"/>
      <c r="AF1183" s="44"/>
      <c r="AG1183" s="44"/>
      <c r="AH1183" s="44"/>
      <c r="AI1183" s="44"/>
      <c r="AJ1183" s="44"/>
      <c r="AK1183" s="44"/>
      <c r="AL1183" s="44"/>
      <c r="AM1183" s="44"/>
      <c r="AN1183" s="44"/>
      <c r="AO1183" s="44"/>
      <c r="AP1183" s="44"/>
      <c r="AQ1183" s="44"/>
      <c r="BA1183" s="5"/>
      <c r="BB1183" s="5"/>
      <c r="BC1183" s="5"/>
      <c r="BD1183" s="5"/>
      <c r="BE1183" s="63"/>
      <c r="BF1183" s="63"/>
      <c r="BG1183" s="63"/>
      <c r="CA1183" s="317"/>
      <c r="CF1183" s="5"/>
      <c r="CG1183" s="53"/>
      <c r="CH1183" s="53"/>
      <c r="CI1183" s="53"/>
      <c r="CJ1183" s="53"/>
      <c r="CK1183" s="53"/>
      <c r="CL1183" s="53"/>
      <c r="CN1183" s="53"/>
      <c r="CO1183" s="53"/>
      <c r="CP1183" s="53"/>
      <c r="CQ1183" s="53"/>
      <c r="CR1183" s="53"/>
      <c r="CS1183" s="53"/>
      <c r="CT1183" s="5"/>
      <c r="CU1183" s="5"/>
      <c r="CV1183" s="5"/>
      <c r="CW1183" s="5"/>
      <c r="CX1183" s="5"/>
      <c r="CY1183" s="5"/>
    </row>
    <row r="1184" spans="1:103" ht="10.25" customHeight="1">
      <c r="A1184" s="216"/>
      <c r="B1184" s="217"/>
      <c r="C1184" s="218"/>
      <c r="D1184" s="219"/>
      <c r="E1184" s="217"/>
      <c r="F1184" s="217"/>
      <c r="G1184" s="217"/>
      <c r="H1184" s="220"/>
      <c r="I1184" s="217"/>
      <c r="J1184" s="217"/>
      <c r="K1184" s="217"/>
      <c r="L1184" s="217"/>
      <c r="M1184" s="217"/>
      <c r="N1184" s="217"/>
      <c r="O1184" s="44"/>
      <c r="P1184" s="44"/>
      <c r="Q1184" s="44"/>
      <c r="R1184" s="44"/>
      <c r="S1184" s="44"/>
      <c r="T1184" s="44"/>
      <c r="U1184" s="44"/>
      <c r="V1184" s="44"/>
      <c r="W1184" s="44"/>
      <c r="X1184" s="44"/>
      <c r="Y1184" s="44"/>
      <c r="Z1184" s="44"/>
      <c r="AA1184" s="44"/>
      <c r="AB1184" s="44"/>
      <c r="AC1184" s="44"/>
      <c r="AD1184" s="44"/>
      <c r="AE1184" s="44"/>
      <c r="AF1184" s="44"/>
      <c r="AG1184" s="44"/>
      <c r="AH1184" s="44"/>
      <c r="AI1184" s="44"/>
      <c r="AJ1184" s="44"/>
      <c r="AK1184" s="44"/>
      <c r="AL1184" s="44"/>
      <c r="AM1184" s="44"/>
      <c r="AN1184" s="44"/>
      <c r="AO1184" s="44"/>
      <c r="AP1184" s="44"/>
      <c r="AQ1184" s="44"/>
      <c r="BA1184" s="5"/>
      <c r="BB1184" s="5"/>
      <c r="BC1184" s="5"/>
      <c r="BD1184" s="5"/>
      <c r="BE1184" s="63"/>
      <c r="BF1184" s="63"/>
      <c r="BG1184" s="63"/>
      <c r="CA1184" s="317"/>
      <c r="CF1184" s="5"/>
      <c r="CG1184" s="53"/>
      <c r="CH1184" s="53"/>
      <c r="CI1184" s="53"/>
      <c r="CJ1184" s="53"/>
      <c r="CK1184" s="53"/>
      <c r="CL1184" s="53"/>
      <c r="CN1184" s="53"/>
      <c r="CO1184" s="53"/>
      <c r="CP1184" s="53"/>
      <c r="CQ1184" s="53"/>
      <c r="CR1184" s="53"/>
      <c r="CS1184" s="53"/>
      <c r="CT1184" s="5"/>
      <c r="CU1184" s="5"/>
      <c r="CV1184" s="5"/>
      <c r="CW1184" s="5"/>
      <c r="CX1184" s="5"/>
      <c r="CY1184" s="5"/>
    </row>
    <row r="1185" spans="1:103" ht="10.25" customHeight="1">
      <c r="A1185" s="216"/>
      <c r="B1185" s="217"/>
      <c r="C1185" s="218"/>
      <c r="D1185" s="219"/>
      <c r="E1185" s="217"/>
      <c r="F1185" s="217"/>
      <c r="G1185" s="217"/>
      <c r="H1185" s="220"/>
      <c r="I1185" s="217"/>
      <c r="J1185" s="217"/>
      <c r="K1185" s="217"/>
      <c r="L1185" s="217"/>
      <c r="M1185" s="217"/>
      <c r="N1185" s="217"/>
      <c r="O1185" s="44"/>
      <c r="P1185" s="44"/>
      <c r="Q1185" s="44"/>
      <c r="R1185" s="44"/>
      <c r="S1185" s="44"/>
      <c r="T1185" s="44"/>
      <c r="U1185" s="44"/>
      <c r="V1185" s="44"/>
      <c r="W1185" s="44"/>
      <c r="X1185" s="44"/>
      <c r="Y1185" s="44"/>
      <c r="Z1185" s="44"/>
      <c r="AA1185" s="44"/>
      <c r="AB1185" s="44"/>
      <c r="AC1185" s="44"/>
      <c r="AD1185" s="44"/>
      <c r="AE1185" s="44"/>
      <c r="AF1185" s="44"/>
      <c r="AG1185" s="44"/>
      <c r="AH1185" s="44"/>
      <c r="AI1185" s="44"/>
      <c r="AJ1185" s="44"/>
      <c r="AK1185" s="44"/>
      <c r="AL1185" s="44"/>
      <c r="AM1185" s="44"/>
      <c r="AN1185" s="44"/>
      <c r="AO1185" s="44"/>
      <c r="AP1185" s="44"/>
      <c r="AQ1185" s="44"/>
      <c r="BA1185" s="5"/>
      <c r="BB1185" s="5"/>
      <c r="BC1185" s="5"/>
      <c r="BD1185" s="5"/>
      <c r="BE1185" s="63"/>
      <c r="BF1185" s="63"/>
      <c r="BG1185" s="63"/>
      <c r="CA1185" s="317"/>
      <c r="CF1185" s="5"/>
      <c r="CG1185" s="53"/>
      <c r="CH1185" s="53"/>
      <c r="CI1185" s="53"/>
      <c r="CJ1185" s="53"/>
      <c r="CK1185" s="53"/>
      <c r="CL1185" s="53"/>
      <c r="CN1185" s="53"/>
      <c r="CO1185" s="53"/>
      <c r="CP1185" s="53"/>
      <c r="CQ1185" s="53"/>
      <c r="CR1185" s="53"/>
      <c r="CS1185" s="53"/>
      <c r="CT1185" s="5"/>
      <c r="CU1185" s="5"/>
      <c r="CV1185" s="5"/>
      <c r="CW1185" s="5"/>
      <c r="CX1185" s="5"/>
      <c r="CY1185" s="5"/>
    </row>
    <row r="1186" spans="1:103" ht="10.25" customHeight="1">
      <c r="A1186" s="216"/>
      <c r="B1186" s="217"/>
      <c r="C1186" s="218"/>
      <c r="D1186" s="219"/>
      <c r="E1186" s="217"/>
      <c r="F1186" s="217"/>
      <c r="G1186" s="217"/>
      <c r="H1186" s="220"/>
      <c r="I1186" s="217"/>
      <c r="J1186" s="217"/>
      <c r="K1186" s="217"/>
      <c r="L1186" s="217"/>
      <c r="M1186" s="217"/>
      <c r="N1186" s="217"/>
      <c r="O1186" s="44"/>
      <c r="P1186" s="44"/>
      <c r="Q1186" s="44"/>
      <c r="R1186" s="44"/>
      <c r="S1186" s="44"/>
      <c r="T1186" s="44"/>
      <c r="U1186" s="44"/>
      <c r="V1186" s="44"/>
      <c r="W1186" s="44"/>
      <c r="X1186" s="44"/>
      <c r="Y1186" s="44"/>
      <c r="Z1186" s="44"/>
      <c r="AA1186" s="44"/>
      <c r="AB1186" s="44"/>
      <c r="AC1186" s="44"/>
      <c r="AD1186" s="44"/>
      <c r="AE1186" s="44"/>
      <c r="AF1186" s="44"/>
      <c r="AG1186" s="44"/>
      <c r="AH1186" s="44"/>
      <c r="AI1186" s="44"/>
      <c r="AJ1186" s="44"/>
      <c r="AK1186" s="44"/>
      <c r="AL1186" s="44"/>
      <c r="AM1186" s="44"/>
      <c r="AN1186" s="44"/>
      <c r="AO1186" s="44"/>
      <c r="AP1186" s="44"/>
      <c r="AQ1186" s="44"/>
      <c r="BA1186" s="5"/>
      <c r="BB1186" s="5"/>
      <c r="BC1186" s="5"/>
      <c r="BD1186" s="5"/>
      <c r="BE1186" s="63"/>
      <c r="BF1186" s="63"/>
      <c r="BG1186" s="63"/>
      <c r="CA1186" s="317"/>
      <c r="CF1186" s="5"/>
      <c r="CG1186" s="53"/>
      <c r="CH1186" s="53"/>
      <c r="CI1186" s="53"/>
      <c r="CJ1186" s="53"/>
      <c r="CK1186" s="53"/>
      <c r="CL1186" s="53"/>
      <c r="CN1186" s="53"/>
      <c r="CO1186" s="53"/>
      <c r="CP1186" s="53"/>
      <c r="CQ1186" s="53"/>
      <c r="CR1186" s="53"/>
      <c r="CS1186" s="53"/>
      <c r="CT1186" s="5"/>
      <c r="CU1186" s="5"/>
      <c r="CV1186" s="5"/>
      <c r="CW1186" s="5"/>
      <c r="CX1186" s="5"/>
      <c r="CY1186" s="5"/>
    </row>
    <row r="1187" spans="1:103" ht="10.25" customHeight="1">
      <c r="A1187" s="216"/>
      <c r="B1187" s="217"/>
      <c r="C1187" s="218"/>
      <c r="D1187" s="219"/>
      <c r="E1187" s="217"/>
      <c r="F1187" s="217"/>
      <c r="G1187" s="217"/>
      <c r="H1187" s="220"/>
      <c r="I1187" s="217"/>
      <c r="J1187" s="217"/>
      <c r="K1187" s="217"/>
      <c r="L1187" s="217"/>
      <c r="M1187" s="217"/>
      <c r="N1187" s="217"/>
      <c r="O1187" s="44"/>
      <c r="P1187" s="44"/>
      <c r="Q1187" s="44"/>
      <c r="R1187" s="44"/>
      <c r="S1187" s="44"/>
      <c r="T1187" s="44"/>
      <c r="U1187" s="44"/>
      <c r="V1187" s="44"/>
      <c r="W1187" s="44"/>
      <c r="X1187" s="44"/>
      <c r="Y1187" s="44"/>
      <c r="Z1187" s="44"/>
      <c r="AA1187" s="44"/>
      <c r="AB1187" s="44"/>
      <c r="AC1187" s="44"/>
      <c r="AD1187" s="44"/>
      <c r="AE1187" s="44"/>
      <c r="AF1187" s="44"/>
      <c r="AG1187" s="44"/>
      <c r="AH1187" s="44"/>
      <c r="AI1187" s="44"/>
      <c r="AJ1187" s="44"/>
      <c r="AK1187" s="44"/>
      <c r="AL1187" s="44"/>
      <c r="AM1187" s="44"/>
      <c r="AN1187" s="44"/>
      <c r="AO1187" s="44"/>
      <c r="AP1187" s="44"/>
      <c r="AQ1187" s="44"/>
      <c r="BA1187" s="5"/>
      <c r="BB1187" s="5"/>
      <c r="BC1187" s="5"/>
      <c r="BD1187" s="5"/>
      <c r="BE1187" s="63"/>
      <c r="BF1187" s="63"/>
      <c r="BG1187" s="63"/>
      <c r="CA1187" s="317"/>
      <c r="CF1187" s="5"/>
      <c r="CG1187" s="53"/>
      <c r="CH1187" s="53"/>
      <c r="CI1187" s="53"/>
      <c r="CJ1187" s="53"/>
      <c r="CK1187" s="53"/>
      <c r="CL1187" s="53"/>
      <c r="CN1187" s="53"/>
      <c r="CO1187" s="53"/>
      <c r="CP1187" s="53"/>
      <c r="CQ1187" s="53"/>
      <c r="CR1187" s="53"/>
      <c r="CS1187" s="53"/>
      <c r="CT1187" s="5"/>
      <c r="CU1187" s="5"/>
      <c r="CV1187" s="5"/>
      <c r="CW1187" s="5"/>
      <c r="CX1187" s="5"/>
      <c r="CY1187" s="5"/>
    </row>
    <row r="1188" spans="1:103" ht="10.25" customHeight="1">
      <c r="A1188" s="216"/>
      <c r="B1188" s="217"/>
      <c r="C1188" s="218"/>
      <c r="D1188" s="219"/>
      <c r="E1188" s="217"/>
      <c r="F1188" s="217"/>
      <c r="G1188" s="217"/>
      <c r="H1188" s="220"/>
      <c r="I1188" s="217"/>
      <c r="J1188" s="217"/>
      <c r="K1188" s="217"/>
      <c r="L1188" s="217"/>
      <c r="M1188" s="217"/>
      <c r="N1188" s="217"/>
      <c r="O1188" s="44"/>
      <c r="P1188" s="44"/>
      <c r="Q1188" s="44"/>
      <c r="R1188" s="44"/>
      <c r="S1188" s="44"/>
      <c r="T1188" s="44"/>
      <c r="U1188" s="44"/>
      <c r="V1188" s="44"/>
      <c r="W1188" s="44"/>
      <c r="X1188" s="44"/>
      <c r="Y1188" s="44"/>
      <c r="Z1188" s="44"/>
      <c r="AA1188" s="44"/>
      <c r="AB1188" s="44"/>
      <c r="AC1188" s="44"/>
      <c r="AD1188" s="44"/>
      <c r="AE1188" s="44"/>
      <c r="AF1188" s="44"/>
      <c r="AG1188" s="44"/>
      <c r="AH1188" s="44"/>
      <c r="AI1188" s="44"/>
      <c r="AJ1188" s="44"/>
      <c r="AK1188" s="44"/>
      <c r="AL1188" s="44"/>
      <c r="AM1188" s="44"/>
      <c r="AN1188" s="44"/>
      <c r="AO1188" s="44"/>
      <c r="AP1188" s="44"/>
      <c r="AQ1188" s="44"/>
      <c r="BA1188" s="5"/>
      <c r="BB1188" s="5"/>
      <c r="BC1188" s="5"/>
      <c r="BD1188" s="5"/>
      <c r="BE1188" s="63"/>
      <c r="BF1188" s="63"/>
      <c r="BG1188" s="63"/>
      <c r="CA1188" s="317"/>
      <c r="CF1188" s="5"/>
      <c r="CG1188" s="53"/>
      <c r="CH1188" s="53"/>
      <c r="CI1188" s="53"/>
      <c r="CJ1188" s="53"/>
      <c r="CK1188" s="53"/>
      <c r="CL1188" s="53"/>
      <c r="CN1188" s="53"/>
      <c r="CO1188" s="53"/>
      <c r="CP1188" s="53"/>
      <c r="CQ1188" s="53"/>
      <c r="CR1188" s="53"/>
      <c r="CS1188" s="53"/>
      <c r="CT1188" s="5"/>
      <c r="CU1188" s="5"/>
      <c r="CV1188" s="5"/>
      <c r="CW1188" s="5"/>
      <c r="CX1188" s="5"/>
      <c r="CY1188" s="5"/>
    </row>
    <row r="1189" spans="1:103" ht="10.25" customHeight="1">
      <c r="A1189" s="216"/>
      <c r="B1189" s="217"/>
      <c r="C1189" s="218"/>
      <c r="D1189" s="219"/>
      <c r="E1189" s="217"/>
      <c r="F1189" s="217"/>
      <c r="G1189" s="217"/>
      <c r="H1189" s="220"/>
      <c r="I1189" s="217"/>
      <c r="J1189" s="217"/>
      <c r="K1189" s="217"/>
      <c r="L1189" s="217"/>
      <c r="M1189" s="217"/>
      <c r="N1189" s="217"/>
      <c r="O1189" s="44"/>
      <c r="P1189" s="44"/>
      <c r="Q1189" s="44"/>
      <c r="R1189" s="44"/>
      <c r="S1189" s="44"/>
      <c r="T1189" s="44"/>
      <c r="U1189" s="44"/>
      <c r="V1189" s="44"/>
      <c r="W1189" s="44"/>
      <c r="X1189" s="44"/>
      <c r="Y1189" s="44"/>
      <c r="Z1189" s="44"/>
      <c r="AA1189" s="44"/>
      <c r="AB1189" s="44"/>
      <c r="AC1189" s="44"/>
      <c r="AD1189" s="44"/>
      <c r="AE1189" s="44"/>
      <c r="AF1189" s="44"/>
      <c r="AG1189" s="44"/>
      <c r="AH1189" s="44"/>
      <c r="AI1189" s="44"/>
      <c r="AJ1189" s="44"/>
      <c r="AK1189" s="44"/>
      <c r="AL1189" s="44"/>
      <c r="AM1189" s="44"/>
      <c r="AN1189" s="44"/>
      <c r="AO1189" s="44"/>
      <c r="AP1189" s="44"/>
      <c r="AQ1189" s="44"/>
      <c r="BA1189" s="5"/>
      <c r="BB1189" s="5"/>
      <c r="BC1189" s="5"/>
      <c r="BD1189" s="5"/>
      <c r="BE1189" s="63"/>
      <c r="BF1189" s="63"/>
      <c r="BG1189" s="63"/>
      <c r="CA1189" s="317"/>
      <c r="CF1189" s="5"/>
      <c r="CG1189" s="53"/>
      <c r="CH1189" s="53"/>
      <c r="CI1189" s="53"/>
      <c r="CJ1189" s="53"/>
      <c r="CK1189" s="53"/>
      <c r="CL1189" s="53"/>
      <c r="CN1189" s="53"/>
      <c r="CO1189" s="53"/>
      <c r="CP1189" s="53"/>
      <c r="CQ1189" s="53"/>
      <c r="CR1189" s="53"/>
      <c r="CS1189" s="53"/>
      <c r="CT1189" s="5"/>
      <c r="CU1189" s="5"/>
      <c r="CV1189" s="5"/>
      <c r="CW1189" s="5"/>
      <c r="CX1189" s="5"/>
      <c r="CY1189" s="5"/>
    </row>
    <row r="1190" spans="1:103" ht="10.25" customHeight="1">
      <c r="A1190" s="216"/>
      <c r="B1190" s="217"/>
      <c r="C1190" s="218"/>
      <c r="D1190" s="219"/>
      <c r="E1190" s="217"/>
      <c r="F1190" s="217"/>
      <c r="G1190" s="217"/>
      <c r="H1190" s="220"/>
      <c r="I1190" s="217"/>
      <c r="J1190" s="217"/>
      <c r="K1190" s="217"/>
      <c r="L1190" s="217"/>
      <c r="M1190" s="217"/>
      <c r="N1190" s="217"/>
      <c r="O1190" s="44"/>
      <c r="P1190" s="44"/>
      <c r="Q1190" s="44"/>
      <c r="R1190" s="44"/>
      <c r="S1190" s="44"/>
      <c r="T1190" s="44"/>
      <c r="U1190" s="44"/>
      <c r="V1190" s="44"/>
      <c r="W1190" s="44"/>
      <c r="X1190" s="44"/>
      <c r="Y1190" s="44"/>
      <c r="Z1190" s="44"/>
      <c r="AA1190" s="44"/>
      <c r="AB1190" s="44"/>
      <c r="AC1190" s="44"/>
      <c r="AD1190" s="44"/>
      <c r="AE1190" s="44"/>
      <c r="AF1190" s="44"/>
      <c r="AG1190" s="44"/>
      <c r="AH1190" s="44"/>
      <c r="AI1190" s="44"/>
      <c r="AJ1190" s="44"/>
      <c r="AK1190" s="44"/>
      <c r="AL1190" s="44"/>
      <c r="AM1190" s="44"/>
      <c r="AN1190" s="44"/>
      <c r="AO1190" s="44"/>
      <c r="AP1190" s="44"/>
      <c r="AQ1190" s="44"/>
      <c r="BA1190" s="5"/>
      <c r="BB1190" s="5"/>
      <c r="BC1190" s="5"/>
      <c r="BD1190" s="5"/>
      <c r="BE1190" s="63"/>
      <c r="BF1190" s="63"/>
      <c r="BG1190" s="63"/>
      <c r="CA1190" s="317"/>
      <c r="CF1190" s="5"/>
      <c r="CG1190" s="53"/>
      <c r="CH1190" s="53"/>
      <c r="CI1190" s="53"/>
      <c r="CJ1190" s="53"/>
      <c r="CK1190" s="53"/>
      <c r="CL1190" s="53"/>
      <c r="CN1190" s="53"/>
      <c r="CO1190" s="53"/>
      <c r="CP1190" s="53"/>
      <c r="CQ1190" s="53"/>
      <c r="CR1190" s="53"/>
      <c r="CS1190" s="53"/>
      <c r="CT1190" s="5"/>
      <c r="CU1190" s="5"/>
      <c r="CV1190" s="5"/>
      <c r="CW1190" s="5"/>
      <c r="CX1190" s="5"/>
      <c r="CY1190" s="5"/>
    </row>
    <row r="1191" spans="1:103" ht="10.25" customHeight="1">
      <c r="A1191" s="216"/>
      <c r="B1191" s="217"/>
      <c r="C1191" s="218"/>
      <c r="D1191" s="219"/>
      <c r="E1191" s="217"/>
      <c r="F1191" s="217"/>
      <c r="G1191" s="217"/>
      <c r="H1191" s="220"/>
      <c r="I1191" s="217"/>
      <c r="J1191" s="217"/>
      <c r="K1191" s="217"/>
      <c r="L1191" s="217"/>
      <c r="M1191" s="217"/>
      <c r="N1191" s="217"/>
      <c r="O1191" s="44"/>
      <c r="P1191" s="44"/>
      <c r="Q1191" s="44"/>
      <c r="R1191" s="44"/>
      <c r="S1191" s="44"/>
      <c r="T1191" s="44"/>
      <c r="U1191" s="44"/>
      <c r="V1191" s="44"/>
      <c r="W1191" s="44"/>
      <c r="X1191" s="44"/>
      <c r="Y1191" s="44"/>
      <c r="Z1191" s="44"/>
      <c r="AA1191" s="44"/>
      <c r="AB1191" s="44"/>
      <c r="AC1191" s="44"/>
      <c r="AD1191" s="44"/>
      <c r="AE1191" s="44"/>
      <c r="AF1191" s="44"/>
      <c r="AG1191" s="44"/>
      <c r="AH1191" s="44"/>
      <c r="AI1191" s="44"/>
      <c r="AJ1191" s="44"/>
      <c r="AK1191" s="44"/>
      <c r="AL1191" s="44"/>
      <c r="AM1191" s="44"/>
      <c r="AN1191" s="44"/>
      <c r="AO1191" s="44"/>
      <c r="AP1191" s="44"/>
      <c r="AQ1191" s="44"/>
      <c r="BA1191" s="5"/>
      <c r="BB1191" s="5"/>
      <c r="BC1191" s="5"/>
      <c r="BD1191" s="5"/>
      <c r="BE1191" s="63"/>
      <c r="BF1191" s="63"/>
      <c r="BG1191" s="63"/>
      <c r="CA1191" s="317"/>
      <c r="CF1191" s="5"/>
      <c r="CG1191" s="53"/>
      <c r="CH1191" s="53"/>
      <c r="CI1191" s="53"/>
      <c r="CJ1191" s="53"/>
      <c r="CK1191" s="53"/>
      <c r="CL1191" s="53"/>
      <c r="CN1191" s="53"/>
      <c r="CO1191" s="53"/>
      <c r="CP1191" s="53"/>
      <c r="CQ1191" s="53"/>
      <c r="CR1191" s="53"/>
      <c r="CS1191" s="53"/>
      <c r="CT1191" s="5"/>
      <c r="CU1191" s="5"/>
      <c r="CV1191" s="5"/>
      <c r="CW1191" s="5"/>
      <c r="CX1191" s="5"/>
      <c r="CY1191" s="5"/>
    </row>
    <row r="1192" spans="1:103" ht="10.25" customHeight="1">
      <c r="A1192" s="216"/>
      <c r="B1192" s="217"/>
      <c r="C1192" s="218"/>
      <c r="D1192" s="219"/>
      <c r="E1192" s="217"/>
      <c r="F1192" s="217"/>
      <c r="G1192" s="217"/>
      <c r="H1192" s="220"/>
      <c r="I1192" s="217"/>
      <c r="J1192" s="217"/>
      <c r="K1192" s="217"/>
      <c r="L1192" s="217"/>
      <c r="M1192" s="217"/>
      <c r="N1192" s="217"/>
      <c r="O1192" s="44"/>
      <c r="P1192" s="44"/>
      <c r="Q1192" s="44"/>
      <c r="R1192" s="44"/>
      <c r="S1192" s="44"/>
      <c r="T1192" s="44"/>
      <c r="U1192" s="44"/>
      <c r="V1192" s="44"/>
      <c r="W1192" s="44"/>
      <c r="X1192" s="44"/>
      <c r="Y1192" s="44"/>
      <c r="Z1192" s="44"/>
      <c r="AA1192" s="44"/>
      <c r="AB1192" s="44"/>
      <c r="AC1192" s="44"/>
      <c r="AD1192" s="44"/>
      <c r="AE1192" s="44"/>
      <c r="AF1192" s="44"/>
      <c r="AG1192" s="44"/>
      <c r="AH1192" s="44"/>
      <c r="AI1192" s="44"/>
      <c r="AJ1192" s="44"/>
      <c r="AK1192" s="44"/>
      <c r="AL1192" s="44"/>
      <c r="AM1192" s="44"/>
      <c r="AN1192" s="44"/>
      <c r="AO1192" s="44"/>
      <c r="AP1192" s="44"/>
      <c r="AQ1192" s="44"/>
      <c r="BA1192" s="5"/>
      <c r="BB1192" s="5"/>
      <c r="BC1192" s="5"/>
      <c r="BD1192" s="5"/>
      <c r="BE1192" s="63"/>
      <c r="BF1192" s="63"/>
      <c r="BG1192" s="63"/>
      <c r="CA1192" s="256"/>
      <c r="CB1192" s="261"/>
      <c r="CC1192" s="261"/>
      <c r="CD1192" s="261"/>
      <c r="CE1192" s="261"/>
      <c r="CF1192" s="255"/>
      <c r="CG1192" s="53"/>
      <c r="CH1192" s="53"/>
      <c r="CI1192" s="53"/>
      <c r="CJ1192" s="53"/>
      <c r="CK1192" s="53"/>
      <c r="CL1192" s="53"/>
      <c r="CN1192" s="53"/>
      <c r="CO1192" s="53"/>
      <c r="CP1192" s="53"/>
      <c r="CQ1192" s="53"/>
      <c r="CR1192" s="53"/>
      <c r="CS1192" s="53"/>
      <c r="CT1192" s="261"/>
      <c r="CU1192" s="255"/>
      <c r="CV1192" s="261"/>
      <c r="CW1192" s="261"/>
      <c r="CX1192" s="261"/>
      <c r="CY1192" s="255"/>
    </row>
    <row r="1193" spans="1:103" ht="10.25" customHeight="1">
      <c r="A1193" s="216"/>
      <c r="B1193" s="217"/>
      <c r="C1193" s="218"/>
      <c r="D1193" s="219"/>
      <c r="E1193" s="217"/>
      <c r="F1193" s="217"/>
      <c r="G1193" s="217"/>
      <c r="H1193" s="220"/>
      <c r="I1193" s="217"/>
      <c r="J1193" s="217"/>
      <c r="K1193" s="217"/>
      <c r="L1193" s="217"/>
      <c r="M1193" s="217"/>
      <c r="N1193" s="217"/>
      <c r="O1193" s="44"/>
      <c r="P1193" s="44"/>
      <c r="Q1193" s="44"/>
      <c r="R1193" s="44"/>
      <c r="S1193" s="44"/>
      <c r="T1193" s="44"/>
      <c r="U1193" s="44"/>
      <c r="V1193" s="44"/>
      <c r="W1193" s="44"/>
      <c r="X1193" s="44"/>
      <c r="Y1193" s="44"/>
      <c r="Z1193" s="44"/>
      <c r="AA1193" s="44"/>
      <c r="AB1193" s="44"/>
      <c r="AC1193" s="44"/>
      <c r="AD1193" s="44"/>
      <c r="AE1193" s="44"/>
      <c r="AF1193" s="44"/>
      <c r="AG1193" s="44"/>
      <c r="AH1193" s="44"/>
      <c r="AI1193" s="44"/>
      <c r="AJ1193" s="44"/>
      <c r="AK1193" s="44"/>
      <c r="AL1193" s="44"/>
      <c r="AM1193" s="44"/>
      <c r="AN1193" s="44"/>
      <c r="AO1193" s="44"/>
      <c r="AP1193" s="44"/>
      <c r="AQ1193" s="44"/>
      <c r="BA1193" s="5"/>
      <c r="BB1193" s="5"/>
      <c r="BC1193" s="5"/>
      <c r="BD1193" s="5"/>
      <c r="BE1193" s="63"/>
      <c r="BF1193" s="63"/>
      <c r="BG1193" s="63"/>
      <c r="CA1193" s="256"/>
      <c r="CB1193" s="261"/>
      <c r="CC1193" s="261"/>
      <c r="CD1193" s="261"/>
      <c r="CE1193" s="261"/>
      <c r="CF1193" s="255"/>
      <c r="CG1193" s="53"/>
      <c r="CH1193" s="53"/>
      <c r="CI1193" s="53"/>
      <c r="CJ1193" s="53"/>
      <c r="CK1193" s="53"/>
      <c r="CL1193" s="53"/>
      <c r="CN1193" s="53"/>
      <c r="CO1193" s="53"/>
      <c r="CP1193" s="53"/>
      <c r="CQ1193" s="53"/>
      <c r="CR1193" s="53"/>
      <c r="CS1193" s="53"/>
      <c r="CT1193" s="261"/>
      <c r="CU1193" s="255"/>
      <c r="CV1193" s="261"/>
      <c r="CW1193" s="261"/>
      <c r="CX1193" s="261"/>
      <c r="CY1193" s="255"/>
    </row>
    <row r="1194" spans="1:103" ht="10.25" customHeight="1">
      <c r="A1194" s="216"/>
      <c r="B1194" s="217"/>
      <c r="C1194" s="218"/>
      <c r="D1194" s="219"/>
      <c r="E1194" s="217"/>
      <c r="F1194" s="217"/>
      <c r="G1194" s="217"/>
      <c r="H1194" s="220"/>
      <c r="I1194" s="217"/>
      <c r="J1194" s="217"/>
      <c r="K1194" s="217"/>
      <c r="L1194" s="217"/>
      <c r="M1194" s="217"/>
      <c r="N1194" s="217"/>
      <c r="O1194" s="44"/>
      <c r="P1194" s="44"/>
      <c r="Q1194" s="44"/>
      <c r="R1194" s="44"/>
      <c r="S1194" s="44"/>
      <c r="T1194" s="44"/>
      <c r="U1194" s="44"/>
      <c r="V1194" s="44"/>
      <c r="W1194" s="44"/>
      <c r="X1194" s="44"/>
      <c r="Y1194" s="44"/>
      <c r="Z1194" s="44"/>
      <c r="AA1194" s="44"/>
      <c r="AB1194" s="44"/>
      <c r="AC1194" s="44"/>
      <c r="AD1194" s="44"/>
      <c r="AE1194" s="44"/>
      <c r="AF1194" s="44"/>
      <c r="AG1194" s="44"/>
      <c r="AH1194" s="44"/>
      <c r="AI1194" s="44"/>
      <c r="AJ1194" s="44"/>
      <c r="AK1194" s="44"/>
      <c r="AL1194" s="44"/>
      <c r="AM1194" s="44"/>
      <c r="AN1194" s="44"/>
      <c r="AO1194" s="44"/>
      <c r="AP1194" s="44"/>
      <c r="AQ1194" s="44"/>
      <c r="BA1194" s="5"/>
      <c r="BB1194" s="5"/>
      <c r="BC1194" s="5"/>
      <c r="BD1194" s="5"/>
      <c r="BE1194" s="63"/>
      <c r="BF1194" s="63"/>
      <c r="BG1194" s="63"/>
      <c r="CA1194" s="256"/>
      <c r="CB1194" s="261"/>
      <c r="CC1194" s="261"/>
      <c r="CD1194" s="261"/>
      <c r="CE1194" s="261"/>
      <c r="CF1194" s="255"/>
      <c r="CG1194" s="53"/>
      <c r="CH1194" s="53"/>
      <c r="CI1194" s="53"/>
      <c r="CJ1194" s="53"/>
      <c r="CK1194" s="53"/>
      <c r="CL1194" s="53"/>
      <c r="CN1194" s="53"/>
      <c r="CO1194" s="53"/>
      <c r="CP1194" s="53"/>
      <c r="CQ1194" s="53"/>
      <c r="CR1194" s="53"/>
      <c r="CS1194" s="53"/>
      <c r="CT1194" s="261"/>
      <c r="CU1194" s="255"/>
      <c r="CV1194" s="261"/>
      <c r="CW1194" s="255"/>
      <c r="CX1194" s="261"/>
      <c r="CY1194" s="255"/>
    </row>
    <row r="1195" spans="1:103" ht="10.25" customHeight="1">
      <c r="A1195" s="216"/>
      <c r="B1195" s="217"/>
      <c r="C1195" s="218"/>
      <c r="D1195" s="219"/>
      <c r="E1195" s="217"/>
      <c r="F1195" s="217"/>
      <c r="G1195" s="217"/>
      <c r="H1195" s="220"/>
      <c r="I1195" s="217"/>
      <c r="J1195" s="217"/>
      <c r="K1195" s="217"/>
      <c r="L1195" s="217"/>
      <c r="M1195" s="217"/>
      <c r="N1195" s="217"/>
      <c r="O1195" s="44"/>
      <c r="P1195" s="44"/>
      <c r="Q1195" s="44"/>
      <c r="R1195" s="44"/>
      <c r="S1195" s="44"/>
      <c r="T1195" s="44"/>
      <c r="U1195" s="44"/>
      <c r="V1195" s="44"/>
      <c r="W1195" s="44"/>
      <c r="X1195" s="44"/>
      <c r="Y1195" s="44"/>
      <c r="Z1195" s="44"/>
      <c r="AA1195" s="44"/>
      <c r="AB1195" s="44"/>
      <c r="AC1195" s="44"/>
      <c r="AD1195" s="44"/>
      <c r="AE1195" s="44"/>
      <c r="AF1195" s="44"/>
      <c r="AG1195" s="44"/>
      <c r="AH1195" s="44"/>
      <c r="AI1195" s="44"/>
      <c r="AJ1195" s="44"/>
      <c r="AK1195" s="44"/>
      <c r="AL1195" s="44"/>
      <c r="AM1195" s="44"/>
      <c r="AN1195" s="44"/>
      <c r="AO1195" s="44"/>
      <c r="AP1195" s="44"/>
      <c r="AQ1195" s="44"/>
      <c r="BA1195" s="5"/>
      <c r="BB1195" s="5"/>
      <c r="BC1195" s="5"/>
      <c r="BD1195" s="5"/>
      <c r="BE1195" s="63"/>
      <c r="BF1195" s="63"/>
      <c r="BG1195" s="63"/>
      <c r="CA1195" s="256"/>
      <c r="CB1195" s="261"/>
      <c r="CC1195" s="261"/>
      <c r="CD1195" s="261"/>
      <c r="CE1195" s="261"/>
      <c r="CF1195" s="255"/>
      <c r="CG1195" s="53"/>
      <c r="CH1195" s="53"/>
      <c r="CI1195" s="53"/>
      <c r="CJ1195" s="53"/>
      <c r="CK1195" s="53"/>
      <c r="CL1195" s="53"/>
      <c r="CN1195" s="53"/>
      <c r="CO1195" s="53"/>
      <c r="CP1195" s="53"/>
      <c r="CQ1195" s="53"/>
      <c r="CR1195" s="53"/>
      <c r="CS1195" s="53"/>
      <c r="CT1195" s="261"/>
      <c r="CU1195" s="255"/>
      <c r="CV1195" s="255"/>
      <c r="CW1195" s="261"/>
      <c r="CX1195" s="261"/>
      <c r="CY1195" s="255"/>
    </row>
    <row r="1196" spans="1:103" ht="10.25" customHeight="1">
      <c r="A1196" s="216"/>
      <c r="B1196" s="217"/>
      <c r="C1196" s="218"/>
      <c r="D1196" s="219"/>
      <c r="E1196" s="217"/>
      <c r="F1196" s="217"/>
      <c r="G1196" s="217"/>
      <c r="H1196" s="220"/>
      <c r="I1196" s="217"/>
      <c r="J1196" s="217"/>
      <c r="K1196" s="217"/>
      <c r="L1196" s="217"/>
      <c r="M1196" s="217"/>
      <c r="N1196" s="217"/>
      <c r="O1196" s="44"/>
      <c r="P1196" s="44"/>
      <c r="Q1196" s="44"/>
      <c r="R1196" s="44"/>
      <c r="S1196" s="44"/>
      <c r="T1196" s="44"/>
      <c r="U1196" s="44"/>
      <c r="V1196" s="44"/>
      <c r="W1196" s="44"/>
      <c r="X1196" s="44"/>
      <c r="Y1196" s="44"/>
      <c r="Z1196" s="44"/>
      <c r="AA1196" s="44"/>
      <c r="AB1196" s="44"/>
      <c r="AC1196" s="44"/>
      <c r="AD1196" s="44"/>
      <c r="AE1196" s="44"/>
      <c r="AF1196" s="44"/>
      <c r="AG1196" s="44"/>
      <c r="AH1196" s="44"/>
      <c r="AI1196" s="44"/>
      <c r="AJ1196" s="44"/>
      <c r="AK1196" s="44"/>
      <c r="AL1196" s="44"/>
      <c r="AM1196" s="44"/>
      <c r="AN1196" s="44"/>
      <c r="AO1196" s="44"/>
      <c r="AP1196" s="44"/>
      <c r="AQ1196" s="44"/>
      <c r="BA1196" s="5"/>
      <c r="BB1196" s="5"/>
      <c r="BC1196" s="5"/>
      <c r="BD1196" s="5"/>
      <c r="BE1196" s="63"/>
      <c r="BF1196" s="63"/>
      <c r="BG1196" s="63"/>
      <c r="CA1196" s="256"/>
      <c r="CB1196" s="261"/>
      <c r="CC1196" s="261"/>
      <c r="CD1196" s="261"/>
      <c r="CE1196" s="261"/>
      <c r="CF1196" s="255"/>
      <c r="CG1196" s="53"/>
      <c r="CH1196" s="53"/>
      <c r="CI1196" s="53"/>
      <c r="CJ1196" s="53"/>
      <c r="CK1196" s="53"/>
      <c r="CL1196" s="53"/>
      <c r="CN1196" s="53"/>
      <c r="CO1196" s="53"/>
      <c r="CP1196" s="53"/>
      <c r="CQ1196" s="53"/>
      <c r="CR1196" s="53"/>
      <c r="CS1196" s="53"/>
      <c r="CT1196" s="261"/>
      <c r="CU1196" s="255"/>
      <c r="CV1196" s="261"/>
      <c r="CW1196" s="255"/>
      <c r="CX1196" s="261"/>
      <c r="CY1196" s="255"/>
    </row>
    <row r="1197" spans="1:103" ht="10.25" customHeight="1">
      <c r="A1197" s="216"/>
      <c r="B1197" s="217"/>
      <c r="C1197" s="218"/>
      <c r="D1197" s="219"/>
      <c r="E1197" s="217"/>
      <c r="F1197" s="217"/>
      <c r="G1197" s="217"/>
      <c r="H1197" s="220"/>
      <c r="I1197" s="217"/>
      <c r="J1197" s="217"/>
      <c r="K1197" s="217"/>
      <c r="L1197" s="217"/>
      <c r="M1197" s="217"/>
      <c r="N1197" s="217"/>
      <c r="O1197" s="44"/>
      <c r="P1197" s="44"/>
      <c r="Q1197" s="44"/>
      <c r="R1197" s="44"/>
      <c r="S1197" s="44"/>
      <c r="T1197" s="44"/>
      <c r="U1197" s="44"/>
      <c r="V1197" s="44"/>
      <c r="W1197" s="44"/>
      <c r="X1197" s="44"/>
      <c r="Y1197" s="44"/>
      <c r="Z1197" s="44"/>
      <c r="AA1197" s="44"/>
      <c r="AB1197" s="44"/>
      <c r="AC1197" s="44"/>
      <c r="AD1197" s="44"/>
      <c r="AE1197" s="44"/>
      <c r="AF1197" s="44"/>
      <c r="AG1197" s="44"/>
      <c r="AH1197" s="44"/>
      <c r="AI1197" s="44"/>
      <c r="AJ1197" s="44"/>
      <c r="AK1197" s="44"/>
      <c r="AL1197" s="44"/>
      <c r="AM1197" s="44"/>
      <c r="AN1197" s="44"/>
      <c r="AO1197" s="44"/>
      <c r="AP1197" s="44"/>
      <c r="AQ1197" s="44"/>
      <c r="BA1197" s="5"/>
      <c r="BB1197" s="5"/>
      <c r="BC1197" s="5"/>
      <c r="BD1197" s="5"/>
      <c r="BE1197" s="63"/>
      <c r="BF1197" s="63"/>
      <c r="BG1197" s="63"/>
      <c r="CA1197" s="256"/>
      <c r="CB1197" s="261"/>
      <c r="CC1197" s="261"/>
      <c r="CD1197" s="261"/>
      <c r="CE1197" s="255"/>
      <c r="CF1197" s="261"/>
      <c r="CG1197" s="53"/>
      <c r="CH1197" s="53"/>
      <c r="CI1197" s="53"/>
      <c r="CJ1197" s="53"/>
      <c r="CK1197" s="53"/>
      <c r="CL1197" s="53"/>
      <c r="CN1197" s="53"/>
      <c r="CO1197" s="53"/>
      <c r="CP1197" s="53"/>
      <c r="CQ1197" s="53"/>
      <c r="CR1197" s="53"/>
      <c r="CS1197" s="53"/>
      <c r="CT1197" s="255"/>
      <c r="CU1197" s="261"/>
      <c r="CV1197" s="255"/>
      <c r="CW1197" s="261"/>
      <c r="CX1197" s="261"/>
      <c r="CY1197" s="255"/>
    </row>
    <row r="1198" spans="1:103" ht="10.25" customHeight="1">
      <c r="A1198" s="216"/>
      <c r="B1198" s="217"/>
      <c r="C1198" s="218"/>
      <c r="D1198" s="219"/>
      <c r="E1198" s="217"/>
      <c r="F1198" s="217"/>
      <c r="G1198" s="217"/>
      <c r="H1198" s="220"/>
      <c r="I1198" s="217"/>
      <c r="J1198" s="217"/>
      <c r="K1198" s="217"/>
      <c r="L1198" s="217"/>
      <c r="M1198" s="217"/>
      <c r="N1198" s="217"/>
      <c r="O1198" s="44"/>
      <c r="P1198" s="44"/>
      <c r="Q1198" s="44"/>
      <c r="R1198" s="44"/>
      <c r="S1198" s="44"/>
      <c r="T1198" s="44"/>
      <c r="U1198" s="44"/>
      <c r="V1198" s="44"/>
      <c r="W1198" s="44"/>
      <c r="X1198" s="44"/>
      <c r="Y1198" s="44"/>
      <c r="Z1198" s="44"/>
      <c r="AA1198" s="44"/>
      <c r="AB1198" s="44"/>
      <c r="AC1198" s="44"/>
      <c r="AD1198" s="44"/>
      <c r="AE1198" s="44"/>
      <c r="AF1198" s="44"/>
      <c r="AG1198" s="44"/>
      <c r="AH1198" s="44"/>
      <c r="AI1198" s="44"/>
      <c r="AJ1198" s="44"/>
      <c r="AK1198" s="44"/>
      <c r="AL1198" s="44"/>
      <c r="AM1198" s="44"/>
      <c r="AN1198" s="44"/>
      <c r="AO1198" s="44"/>
      <c r="AP1198" s="44"/>
      <c r="AQ1198" s="44"/>
      <c r="BA1198" s="5"/>
      <c r="BB1198" s="5"/>
      <c r="BC1198" s="5"/>
      <c r="BD1198" s="5"/>
      <c r="BE1198" s="63"/>
      <c r="BF1198" s="63"/>
      <c r="BG1198" s="63"/>
      <c r="CA1198" s="256"/>
      <c r="CB1198" s="261"/>
      <c r="CC1198" s="261"/>
      <c r="CD1198" s="261"/>
      <c r="CE1198" s="255"/>
      <c r="CF1198" s="261"/>
      <c r="CG1198" s="53"/>
      <c r="CH1198" s="53"/>
      <c r="CI1198" s="53"/>
      <c r="CJ1198" s="53"/>
      <c r="CK1198" s="53"/>
      <c r="CL1198" s="53"/>
      <c r="CN1198" s="53"/>
      <c r="CO1198" s="53"/>
      <c r="CP1198" s="53"/>
      <c r="CQ1198" s="53"/>
      <c r="CR1198" s="53"/>
      <c r="CS1198" s="53"/>
      <c r="CT1198" s="255"/>
      <c r="CU1198" s="261"/>
      <c r="CV1198" s="261"/>
      <c r="CW1198" s="255"/>
      <c r="CX1198" s="261"/>
      <c r="CY1198" s="255"/>
    </row>
    <row r="1199" spans="1:103" ht="10.25" customHeight="1">
      <c r="A1199" s="216"/>
      <c r="B1199" s="217"/>
      <c r="C1199" s="218"/>
      <c r="D1199" s="219"/>
      <c r="E1199" s="217"/>
      <c r="F1199" s="217"/>
      <c r="G1199" s="217"/>
      <c r="H1199" s="220"/>
      <c r="I1199" s="217"/>
      <c r="J1199" s="217"/>
      <c r="K1199" s="217"/>
      <c r="L1199" s="217"/>
      <c r="M1199" s="217"/>
      <c r="N1199" s="217"/>
      <c r="O1199" s="44"/>
      <c r="P1199" s="44"/>
      <c r="Q1199" s="44"/>
      <c r="R1199" s="44"/>
      <c r="S1199" s="44"/>
      <c r="T1199" s="44"/>
      <c r="U1199" s="44"/>
      <c r="V1199" s="44"/>
      <c r="W1199" s="44"/>
      <c r="X1199" s="44"/>
      <c r="Y1199" s="44"/>
      <c r="Z1199" s="44"/>
      <c r="AA1199" s="44"/>
      <c r="AB1199" s="44"/>
      <c r="AC1199" s="44"/>
      <c r="AD1199" s="44"/>
      <c r="AE1199" s="44"/>
      <c r="AF1199" s="44"/>
      <c r="AG1199" s="44"/>
      <c r="AH1199" s="44"/>
      <c r="AI1199" s="44"/>
      <c r="AJ1199" s="44"/>
      <c r="AK1199" s="44"/>
      <c r="AL1199" s="44"/>
      <c r="AM1199" s="44"/>
      <c r="AN1199" s="44"/>
      <c r="AO1199" s="44"/>
      <c r="AP1199" s="44"/>
      <c r="AQ1199" s="44"/>
      <c r="BA1199" s="5"/>
      <c r="BB1199" s="5"/>
      <c r="BC1199" s="5"/>
      <c r="BD1199" s="5"/>
      <c r="BE1199" s="63"/>
      <c r="BF1199" s="63"/>
      <c r="BG1199" s="63"/>
      <c r="CA1199" s="256"/>
      <c r="CB1199" s="261"/>
      <c r="CC1199" s="261"/>
      <c r="CD1199" s="255"/>
      <c r="CE1199" s="261"/>
      <c r="CF1199" s="261"/>
      <c r="CG1199" s="53"/>
      <c r="CH1199" s="53"/>
      <c r="CI1199" s="53"/>
      <c r="CJ1199" s="53"/>
      <c r="CK1199" s="53"/>
      <c r="CL1199" s="53"/>
      <c r="CN1199" s="53"/>
      <c r="CO1199" s="53"/>
      <c r="CP1199" s="53"/>
      <c r="CQ1199" s="53"/>
      <c r="CR1199" s="53"/>
      <c r="CS1199" s="53"/>
      <c r="CT1199" s="261"/>
      <c r="CU1199" s="261"/>
      <c r="CV1199" s="255"/>
      <c r="CW1199" s="261"/>
      <c r="CX1199" s="261"/>
      <c r="CY1199" s="255"/>
    </row>
    <row r="1200" spans="1:103" ht="10.25" customHeight="1">
      <c r="A1200" s="216"/>
      <c r="B1200" s="217"/>
      <c r="C1200" s="218"/>
      <c r="D1200" s="219"/>
      <c r="E1200" s="217"/>
      <c r="F1200" s="217"/>
      <c r="G1200" s="217"/>
      <c r="H1200" s="220"/>
      <c r="I1200" s="217"/>
      <c r="J1200" s="217"/>
      <c r="K1200" s="217"/>
      <c r="L1200" s="217"/>
      <c r="M1200" s="217"/>
      <c r="N1200" s="217"/>
      <c r="O1200" s="44"/>
      <c r="P1200" s="44"/>
      <c r="Q1200" s="44"/>
      <c r="R1200" s="44"/>
      <c r="S1200" s="44"/>
      <c r="T1200" s="44"/>
      <c r="U1200" s="44"/>
      <c r="V1200" s="44"/>
      <c r="W1200" s="44"/>
      <c r="X1200" s="44"/>
      <c r="Y1200" s="44"/>
      <c r="Z1200" s="44"/>
      <c r="AA1200" s="44"/>
      <c r="AB1200" s="44"/>
      <c r="AC1200" s="44"/>
      <c r="AD1200" s="44"/>
      <c r="AE1200" s="44"/>
      <c r="AF1200" s="44"/>
      <c r="AG1200" s="44"/>
      <c r="AH1200" s="44"/>
      <c r="AI1200" s="44"/>
      <c r="AJ1200" s="44"/>
      <c r="AK1200" s="44"/>
      <c r="AL1200" s="44"/>
      <c r="AM1200" s="44"/>
      <c r="AN1200" s="44"/>
      <c r="AO1200" s="44"/>
      <c r="AP1200" s="44"/>
      <c r="AQ1200" s="44"/>
      <c r="BA1200" s="5"/>
      <c r="BB1200" s="5"/>
      <c r="BC1200" s="5"/>
      <c r="BD1200" s="5"/>
      <c r="BE1200" s="63"/>
      <c r="BF1200" s="63"/>
      <c r="BG1200" s="63"/>
      <c r="CA1200" s="256"/>
      <c r="CB1200" s="261"/>
      <c r="CC1200" s="261"/>
      <c r="CD1200" s="255"/>
      <c r="CE1200" s="261"/>
      <c r="CF1200" s="261"/>
      <c r="CG1200" s="53"/>
      <c r="CH1200" s="53"/>
      <c r="CI1200" s="53"/>
      <c r="CJ1200" s="53"/>
      <c r="CK1200" s="53"/>
      <c r="CL1200" s="53"/>
      <c r="CN1200" s="53"/>
      <c r="CO1200" s="53"/>
      <c r="CP1200" s="53"/>
      <c r="CQ1200" s="53"/>
      <c r="CR1200" s="53"/>
      <c r="CS1200" s="53"/>
      <c r="CT1200" s="261"/>
      <c r="CU1200" s="261"/>
      <c r="CV1200" s="261"/>
      <c r="CW1200" s="255"/>
      <c r="CX1200" s="261"/>
      <c r="CY1200" s="255"/>
    </row>
    <row r="1201" spans="1:103" ht="10.25" customHeight="1">
      <c r="A1201" s="216"/>
      <c r="B1201" s="217"/>
      <c r="C1201" s="218"/>
      <c r="D1201" s="219"/>
      <c r="E1201" s="217"/>
      <c r="F1201" s="217"/>
      <c r="G1201" s="217"/>
      <c r="H1201" s="220"/>
      <c r="I1201" s="217"/>
      <c r="J1201" s="217"/>
      <c r="K1201" s="217"/>
      <c r="L1201" s="217"/>
      <c r="M1201" s="217"/>
      <c r="N1201" s="217"/>
      <c r="O1201" s="44"/>
      <c r="P1201" s="44"/>
      <c r="Q1201" s="44"/>
      <c r="R1201" s="44"/>
      <c r="S1201" s="44"/>
      <c r="T1201" s="44"/>
      <c r="U1201" s="44"/>
      <c r="V1201" s="44"/>
      <c r="W1201" s="44"/>
      <c r="X1201" s="44"/>
      <c r="Y1201" s="44"/>
      <c r="Z1201" s="44"/>
      <c r="AA1201" s="44"/>
      <c r="AB1201" s="44"/>
      <c r="AC1201" s="44"/>
      <c r="AD1201" s="44"/>
      <c r="AE1201" s="44"/>
      <c r="AF1201" s="44"/>
      <c r="AG1201" s="44"/>
      <c r="AH1201" s="44"/>
      <c r="AI1201" s="44"/>
      <c r="AJ1201" s="44"/>
      <c r="AK1201" s="44"/>
      <c r="AL1201" s="44"/>
      <c r="AM1201" s="44"/>
      <c r="AN1201" s="44"/>
      <c r="AO1201" s="44"/>
      <c r="AP1201" s="44"/>
      <c r="AQ1201" s="44"/>
      <c r="BA1201" s="5"/>
      <c r="BB1201" s="5"/>
      <c r="BC1201" s="5"/>
      <c r="BD1201" s="5"/>
      <c r="BE1201" s="63"/>
      <c r="BF1201" s="63"/>
      <c r="BG1201" s="63"/>
      <c r="CA1201" s="256"/>
      <c r="CB1201" s="261"/>
      <c r="CC1201" s="261"/>
      <c r="CD1201" s="255"/>
      <c r="CE1201" s="261"/>
      <c r="CF1201" s="261"/>
      <c r="CG1201" s="53"/>
      <c r="CH1201" s="53"/>
      <c r="CI1201" s="53"/>
      <c r="CJ1201" s="53"/>
      <c r="CK1201" s="53"/>
      <c r="CL1201" s="53"/>
      <c r="CN1201" s="53"/>
      <c r="CO1201" s="53"/>
      <c r="CP1201" s="53"/>
      <c r="CQ1201" s="53"/>
      <c r="CR1201" s="53"/>
      <c r="CS1201" s="53"/>
      <c r="CT1201" s="261"/>
      <c r="CU1201" s="261"/>
      <c r="CV1201" s="261"/>
      <c r="CW1201" s="261"/>
      <c r="CX1201" s="261"/>
      <c r="CY1201" s="255"/>
    </row>
    <row r="1202" spans="1:103" ht="10.25" customHeight="1">
      <c r="A1202" s="216"/>
      <c r="B1202" s="217"/>
      <c r="C1202" s="218"/>
      <c r="D1202" s="219"/>
      <c r="E1202" s="217"/>
      <c r="F1202" s="217"/>
      <c r="G1202" s="217"/>
      <c r="H1202" s="220"/>
      <c r="I1202" s="217"/>
      <c r="J1202" s="217"/>
      <c r="K1202" s="217"/>
      <c r="L1202" s="217"/>
      <c r="M1202" s="217"/>
      <c r="N1202" s="217"/>
      <c r="O1202" s="44"/>
      <c r="P1202" s="44"/>
      <c r="Q1202" s="44"/>
      <c r="R1202" s="44"/>
      <c r="S1202" s="44"/>
      <c r="T1202" s="44"/>
      <c r="U1202" s="44"/>
      <c r="V1202" s="44"/>
      <c r="W1202" s="44"/>
      <c r="X1202" s="44"/>
      <c r="Y1202" s="44"/>
      <c r="Z1202" s="44"/>
      <c r="AA1202" s="44"/>
      <c r="AB1202" s="44"/>
      <c r="AC1202" s="44"/>
      <c r="AD1202" s="44"/>
      <c r="AE1202" s="44"/>
      <c r="AF1202" s="44"/>
      <c r="AG1202" s="44"/>
      <c r="AH1202" s="44"/>
      <c r="AI1202" s="44"/>
      <c r="AJ1202" s="44"/>
      <c r="AK1202" s="44"/>
      <c r="AL1202" s="44"/>
      <c r="AM1202" s="44"/>
      <c r="AN1202" s="44"/>
      <c r="AO1202" s="44"/>
      <c r="AP1202" s="44"/>
      <c r="AQ1202" s="44"/>
      <c r="BA1202" s="5"/>
      <c r="BB1202" s="5"/>
      <c r="BC1202" s="5"/>
      <c r="BD1202" s="5"/>
      <c r="BE1202" s="63"/>
      <c r="BF1202" s="63"/>
      <c r="BG1202" s="63"/>
      <c r="CA1202" s="256"/>
      <c r="CB1202" s="261"/>
      <c r="CC1202" s="261"/>
      <c r="CD1202" s="261"/>
      <c r="CE1202" s="261"/>
      <c r="CF1202" s="261"/>
      <c r="CG1202" s="53"/>
      <c r="CH1202" s="53"/>
      <c r="CI1202" s="53"/>
      <c r="CJ1202" s="53"/>
      <c r="CK1202" s="53"/>
      <c r="CL1202" s="53"/>
      <c r="CN1202" s="53"/>
      <c r="CO1202" s="53"/>
      <c r="CP1202" s="53"/>
      <c r="CQ1202" s="53"/>
      <c r="CR1202" s="53"/>
      <c r="CS1202" s="53"/>
      <c r="CT1202" s="261"/>
      <c r="CU1202" s="261"/>
      <c r="CV1202" s="255"/>
      <c r="CW1202" s="255"/>
      <c r="CX1202" s="261"/>
      <c r="CY1202" s="255"/>
    </row>
    <row r="1203" spans="1:103" ht="10.25" customHeight="1">
      <c r="A1203" s="216"/>
      <c r="B1203" s="217"/>
      <c r="C1203" s="218"/>
      <c r="D1203" s="219"/>
      <c r="E1203" s="217"/>
      <c r="F1203" s="217"/>
      <c r="G1203" s="217"/>
      <c r="H1203" s="220"/>
      <c r="I1203" s="217"/>
      <c r="J1203" s="217"/>
      <c r="K1203" s="217"/>
      <c r="L1203" s="217"/>
      <c r="M1203" s="217"/>
      <c r="N1203" s="217"/>
      <c r="O1203" s="44"/>
      <c r="P1203" s="44"/>
      <c r="Q1203" s="44"/>
      <c r="R1203" s="44"/>
      <c r="S1203" s="44"/>
      <c r="T1203" s="44"/>
      <c r="U1203" s="44"/>
      <c r="V1203" s="44"/>
      <c r="W1203" s="44"/>
      <c r="X1203" s="44"/>
      <c r="Y1203" s="44"/>
      <c r="Z1203" s="44"/>
      <c r="AA1203" s="44"/>
      <c r="AB1203" s="44"/>
      <c r="AC1203" s="44"/>
      <c r="AD1203" s="44"/>
      <c r="AE1203" s="44"/>
      <c r="AF1203" s="44"/>
      <c r="AG1203" s="44"/>
      <c r="AH1203" s="44"/>
      <c r="AI1203" s="44"/>
      <c r="AJ1203" s="44"/>
      <c r="AK1203" s="44"/>
      <c r="AL1203" s="44"/>
      <c r="AM1203" s="44"/>
      <c r="AN1203" s="44"/>
      <c r="AO1203" s="44"/>
      <c r="AP1203" s="44"/>
      <c r="AQ1203" s="44"/>
      <c r="BA1203" s="5"/>
      <c r="BB1203" s="5"/>
      <c r="BC1203" s="5"/>
      <c r="BD1203" s="5"/>
      <c r="BE1203" s="63"/>
      <c r="BF1203" s="63"/>
      <c r="BG1203" s="63"/>
      <c r="CA1203" s="256"/>
      <c r="CB1203" s="261"/>
      <c r="CC1203" s="261"/>
      <c r="CD1203" s="261"/>
      <c r="CE1203" s="261"/>
      <c r="CF1203" s="261"/>
      <c r="CG1203" s="53"/>
      <c r="CH1203" s="53"/>
      <c r="CI1203" s="53"/>
      <c r="CJ1203" s="53"/>
      <c r="CK1203" s="53"/>
      <c r="CL1203" s="53"/>
      <c r="CN1203" s="53"/>
      <c r="CO1203" s="53"/>
      <c r="CP1203" s="53"/>
      <c r="CQ1203" s="53"/>
      <c r="CR1203" s="53"/>
      <c r="CS1203" s="53"/>
      <c r="CT1203" s="261"/>
      <c r="CU1203" s="261"/>
      <c r="CV1203" s="261"/>
      <c r="CW1203" s="261"/>
      <c r="CX1203" s="261"/>
      <c r="CY1203" s="255"/>
    </row>
    <row r="1204" spans="1:103" ht="10.25" customHeight="1">
      <c r="A1204" s="216"/>
      <c r="B1204" s="217"/>
      <c r="C1204" s="218"/>
      <c r="D1204" s="219"/>
      <c r="E1204" s="217"/>
      <c r="F1204" s="217"/>
      <c r="G1204" s="217"/>
      <c r="H1204" s="220"/>
      <c r="I1204" s="217"/>
      <c r="J1204" s="217"/>
      <c r="K1204" s="217"/>
      <c r="L1204" s="217"/>
      <c r="M1204" s="217"/>
      <c r="N1204" s="217"/>
      <c r="O1204" s="44"/>
      <c r="P1204" s="44"/>
      <c r="Q1204" s="44"/>
      <c r="R1204" s="44"/>
      <c r="S1204" s="44"/>
      <c r="T1204" s="44"/>
      <c r="U1204" s="44"/>
      <c r="V1204" s="44"/>
      <c r="W1204" s="44"/>
      <c r="X1204" s="44"/>
      <c r="Y1204" s="44"/>
      <c r="Z1204" s="44"/>
      <c r="AA1204" s="44"/>
      <c r="AB1204" s="44"/>
      <c r="AC1204" s="44"/>
      <c r="AD1204" s="44"/>
      <c r="AE1204" s="44"/>
      <c r="AF1204" s="44"/>
      <c r="AG1204" s="44"/>
      <c r="AH1204" s="44"/>
      <c r="AI1204" s="44"/>
      <c r="AJ1204" s="44"/>
      <c r="AK1204" s="44"/>
      <c r="AL1204" s="44"/>
      <c r="AM1204" s="44"/>
      <c r="AN1204" s="44"/>
      <c r="AO1204" s="44"/>
      <c r="AP1204" s="44"/>
      <c r="AQ1204" s="44"/>
      <c r="BA1204" s="5"/>
      <c r="BB1204" s="5"/>
      <c r="BC1204" s="5"/>
      <c r="BD1204" s="5"/>
      <c r="BE1204" s="63"/>
      <c r="BF1204" s="63"/>
      <c r="BG1204" s="63"/>
      <c r="CA1204" s="256"/>
      <c r="CB1204" s="261"/>
      <c r="CC1204" s="261"/>
      <c r="CD1204" s="261"/>
      <c r="CE1204" s="261"/>
      <c r="CF1204" s="261"/>
      <c r="CG1204" s="53"/>
      <c r="CH1204" s="53"/>
      <c r="CI1204" s="53"/>
      <c r="CJ1204" s="53"/>
      <c r="CK1204" s="53"/>
      <c r="CL1204" s="53"/>
      <c r="CN1204" s="53"/>
      <c r="CO1204" s="53"/>
      <c r="CP1204" s="53"/>
      <c r="CQ1204" s="53"/>
      <c r="CR1204" s="53"/>
      <c r="CS1204" s="53"/>
      <c r="CT1204" s="261"/>
      <c r="CU1204" s="261"/>
      <c r="CV1204" s="255"/>
      <c r="CW1204" s="255"/>
      <c r="CX1204" s="261"/>
      <c r="CY1204" s="255"/>
    </row>
    <row r="1205" spans="1:103" ht="10.25" customHeight="1">
      <c r="A1205" s="216"/>
      <c r="B1205" s="217"/>
      <c r="C1205" s="218"/>
      <c r="D1205" s="219"/>
      <c r="E1205" s="217"/>
      <c r="F1205" s="217"/>
      <c r="G1205" s="217"/>
      <c r="H1205" s="220"/>
      <c r="I1205" s="217"/>
      <c r="J1205" s="217"/>
      <c r="K1205" s="217"/>
      <c r="L1205" s="217"/>
      <c r="M1205" s="217"/>
      <c r="N1205" s="217"/>
      <c r="O1205" s="44"/>
      <c r="P1205" s="44"/>
      <c r="Q1205" s="44"/>
      <c r="R1205" s="44"/>
      <c r="S1205" s="44"/>
      <c r="T1205" s="44"/>
      <c r="U1205" s="44"/>
      <c r="V1205" s="44"/>
      <c r="W1205" s="44"/>
      <c r="X1205" s="44"/>
      <c r="Y1205" s="44"/>
      <c r="Z1205" s="44"/>
      <c r="AA1205" s="44"/>
      <c r="AB1205" s="44"/>
      <c r="AC1205" s="44"/>
      <c r="AD1205" s="44"/>
      <c r="AE1205" s="44"/>
      <c r="AF1205" s="44"/>
      <c r="AG1205" s="44"/>
      <c r="AH1205" s="44"/>
      <c r="AI1205" s="44"/>
      <c r="AJ1205" s="44"/>
      <c r="AK1205" s="44"/>
      <c r="AL1205" s="44"/>
      <c r="AM1205" s="44"/>
      <c r="AN1205" s="44"/>
      <c r="AO1205" s="44"/>
      <c r="AP1205" s="44"/>
      <c r="AQ1205" s="44"/>
      <c r="BA1205" s="5"/>
      <c r="BB1205" s="5"/>
      <c r="BC1205" s="5"/>
      <c r="BD1205" s="5"/>
      <c r="BE1205" s="63"/>
      <c r="BF1205" s="63"/>
      <c r="BG1205" s="63"/>
      <c r="CA1205" s="256"/>
      <c r="CB1205" s="261"/>
      <c r="CC1205" s="261"/>
      <c r="CD1205" s="261"/>
      <c r="CE1205" s="261"/>
      <c r="CF1205" s="261"/>
      <c r="CG1205" s="53"/>
      <c r="CH1205" s="53"/>
      <c r="CI1205" s="53"/>
      <c r="CJ1205" s="53"/>
      <c r="CK1205" s="53"/>
      <c r="CL1205" s="53"/>
      <c r="CN1205" s="53"/>
      <c r="CO1205" s="53"/>
      <c r="CP1205" s="53"/>
      <c r="CQ1205" s="53"/>
      <c r="CR1205" s="53"/>
      <c r="CS1205" s="53"/>
      <c r="CT1205" s="261"/>
      <c r="CU1205" s="261"/>
      <c r="CV1205" s="261"/>
      <c r="CW1205" s="261"/>
      <c r="CX1205" s="255"/>
      <c r="CY1205" s="255"/>
    </row>
    <row r="1206" spans="1:103" ht="10.25" customHeight="1">
      <c r="A1206" s="216"/>
      <c r="B1206" s="217"/>
      <c r="C1206" s="218"/>
      <c r="D1206" s="219"/>
      <c r="E1206" s="217"/>
      <c r="F1206" s="217"/>
      <c r="G1206" s="217"/>
      <c r="H1206" s="220"/>
      <c r="I1206" s="217"/>
      <c r="J1206" s="217"/>
      <c r="K1206" s="217"/>
      <c r="L1206" s="217"/>
      <c r="M1206" s="217"/>
      <c r="N1206" s="217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BA1206" s="5"/>
      <c r="BB1206" s="5"/>
      <c r="BC1206" s="5"/>
      <c r="BD1206" s="5"/>
      <c r="BE1206" s="63"/>
      <c r="BF1206" s="63"/>
      <c r="BG1206" s="63"/>
      <c r="CA1206" s="256"/>
      <c r="CB1206" s="261"/>
      <c r="CC1206" s="261"/>
      <c r="CD1206" s="261"/>
      <c r="CE1206" s="261"/>
      <c r="CF1206" s="261"/>
      <c r="CG1206" s="53"/>
      <c r="CH1206" s="53"/>
      <c r="CI1206" s="53"/>
      <c r="CJ1206" s="53"/>
      <c r="CK1206" s="53"/>
      <c r="CL1206" s="53"/>
      <c r="CN1206" s="53"/>
      <c r="CO1206" s="53"/>
      <c r="CP1206" s="53"/>
      <c r="CQ1206" s="53"/>
      <c r="CR1206" s="53"/>
      <c r="CS1206" s="53"/>
      <c r="CT1206" s="261"/>
      <c r="CU1206" s="261"/>
      <c r="CV1206" s="255"/>
      <c r="CW1206" s="255"/>
      <c r="CX1206" s="261"/>
      <c r="CY1206" s="255"/>
    </row>
    <row r="1207" spans="1:103" ht="10.25" customHeight="1">
      <c r="A1207" s="216"/>
      <c r="B1207" s="217"/>
      <c r="C1207" s="218"/>
      <c r="D1207" s="219"/>
      <c r="E1207" s="217"/>
      <c r="F1207" s="217"/>
      <c r="G1207" s="217"/>
      <c r="H1207" s="220"/>
      <c r="I1207" s="217"/>
      <c r="J1207" s="217"/>
      <c r="K1207" s="217"/>
      <c r="L1207" s="217"/>
      <c r="M1207" s="217"/>
      <c r="N1207" s="217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BA1207" s="5"/>
      <c r="BB1207" s="5"/>
      <c r="BC1207" s="5"/>
      <c r="BD1207" s="5"/>
      <c r="BE1207" s="63"/>
      <c r="BF1207" s="63"/>
      <c r="BG1207" s="63"/>
      <c r="CA1207" s="256"/>
      <c r="CB1207" s="261"/>
      <c r="CC1207" s="261"/>
      <c r="CD1207" s="261"/>
      <c r="CE1207" s="261"/>
      <c r="CF1207" s="261"/>
      <c r="CG1207" s="53"/>
      <c r="CH1207" s="53"/>
      <c r="CI1207" s="53"/>
      <c r="CJ1207" s="53"/>
      <c r="CK1207" s="53"/>
      <c r="CL1207" s="53"/>
      <c r="CN1207" s="53"/>
      <c r="CO1207" s="53"/>
      <c r="CP1207" s="53"/>
      <c r="CQ1207" s="53"/>
      <c r="CR1207" s="53"/>
      <c r="CS1207" s="53"/>
      <c r="CT1207" s="261"/>
      <c r="CU1207" s="261"/>
      <c r="CV1207" s="261"/>
      <c r="CW1207" s="261"/>
      <c r="CX1207" s="261"/>
      <c r="CY1207" s="255"/>
    </row>
    <row r="1208" spans="1:103" ht="10.25" customHeight="1">
      <c r="A1208" s="216"/>
      <c r="B1208" s="217"/>
      <c r="C1208" s="218"/>
      <c r="D1208" s="219"/>
      <c r="E1208" s="217"/>
      <c r="F1208" s="217"/>
      <c r="G1208" s="217"/>
      <c r="H1208" s="220"/>
      <c r="I1208" s="217"/>
      <c r="J1208" s="217"/>
      <c r="K1208" s="217"/>
      <c r="L1208" s="217"/>
      <c r="M1208" s="217"/>
      <c r="N1208" s="217"/>
      <c r="O1208" s="44"/>
      <c r="P1208" s="44"/>
      <c r="Q1208" s="44"/>
      <c r="R1208" s="44"/>
      <c r="S1208" s="44"/>
      <c r="T1208" s="44"/>
      <c r="U1208" s="44"/>
      <c r="V1208" s="44"/>
      <c r="W1208" s="44"/>
      <c r="X1208" s="44"/>
      <c r="Y1208" s="44"/>
      <c r="Z1208" s="44"/>
      <c r="AA1208" s="44"/>
      <c r="AB1208" s="44"/>
      <c r="AC1208" s="44"/>
      <c r="AD1208" s="44"/>
      <c r="AE1208" s="44"/>
      <c r="AF1208" s="44"/>
      <c r="AG1208" s="44"/>
      <c r="AH1208" s="44"/>
      <c r="AI1208" s="44"/>
      <c r="AJ1208" s="44"/>
      <c r="AK1208" s="44"/>
      <c r="AL1208" s="44"/>
      <c r="AM1208" s="44"/>
      <c r="AN1208" s="44"/>
      <c r="AO1208" s="44"/>
      <c r="AP1208" s="44"/>
      <c r="AQ1208" s="44"/>
      <c r="BA1208" s="5"/>
      <c r="BB1208" s="5"/>
      <c r="BC1208" s="5"/>
      <c r="BD1208" s="5"/>
      <c r="BE1208" s="63"/>
      <c r="BF1208" s="63"/>
      <c r="BG1208" s="63"/>
      <c r="CA1208" s="256"/>
      <c r="CB1208" s="261"/>
      <c r="CC1208" s="261"/>
      <c r="CD1208" s="261"/>
      <c r="CE1208" s="261"/>
      <c r="CF1208" s="261"/>
      <c r="CG1208" s="53"/>
      <c r="CH1208" s="53"/>
      <c r="CI1208" s="53"/>
      <c r="CJ1208" s="53"/>
      <c r="CK1208" s="53"/>
      <c r="CL1208" s="53"/>
      <c r="CN1208" s="53"/>
      <c r="CO1208" s="53"/>
      <c r="CP1208" s="53"/>
      <c r="CQ1208" s="53"/>
      <c r="CR1208" s="53"/>
      <c r="CS1208" s="53"/>
      <c r="CT1208" s="261"/>
      <c r="CU1208" s="261"/>
      <c r="CV1208" s="261"/>
      <c r="CW1208" s="255"/>
      <c r="CX1208" s="261"/>
      <c r="CY1208" s="255"/>
    </row>
    <row r="1209" spans="1:103" ht="10.25" customHeight="1">
      <c r="A1209" s="216"/>
      <c r="B1209" s="217"/>
      <c r="C1209" s="218"/>
      <c r="D1209" s="219"/>
      <c r="E1209" s="217"/>
      <c r="F1209" s="217"/>
      <c r="G1209" s="217"/>
      <c r="H1209" s="220"/>
      <c r="I1209" s="217"/>
      <c r="J1209" s="217"/>
      <c r="K1209" s="217"/>
      <c r="L1209" s="217"/>
      <c r="M1209" s="217"/>
      <c r="N1209" s="217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44"/>
      <c r="AL1209" s="44"/>
      <c r="AM1209" s="44"/>
      <c r="AN1209" s="44"/>
      <c r="AO1209" s="44"/>
      <c r="AP1209" s="44"/>
      <c r="AQ1209" s="44"/>
      <c r="BA1209" s="5"/>
      <c r="BB1209" s="5"/>
      <c r="BC1209" s="5"/>
      <c r="BD1209" s="5"/>
      <c r="BE1209" s="63"/>
      <c r="BF1209" s="63"/>
      <c r="BG1209" s="63"/>
      <c r="CA1209" s="256"/>
      <c r="CB1209" s="261"/>
      <c r="CC1209" s="261"/>
      <c r="CD1209" s="261"/>
      <c r="CE1209" s="261"/>
      <c r="CF1209" s="261"/>
      <c r="CG1209" s="53"/>
      <c r="CH1209" s="53"/>
      <c r="CI1209" s="53"/>
      <c r="CJ1209" s="53"/>
      <c r="CK1209" s="53"/>
      <c r="CL1209" s="53"/>
      <c r="CN1209" s="53"/>
      <c r="CO1209" s="53"/>
      <c r="CP1209" s="53"/>
      <c r="CQ1209" s="53"/>
      <c r="CR1209" s="53"/>
      <c r="CS1209" s="53"/>
      <c r="CT1209" s="261"/>
      <c r="CU1209" s="261"/>
      <c r="CV1209" s="261"/>
      <c r="CW1209" s="261"/>
      <c r="CX1209" s="261"/>
      <c r="CY1209" s="255"/>
    </row>
    <row r="1210" spans="1:103" ht="10.25" customHeight="1">
      <c r="A1210" s="216"/>
      <c r="B1210" s="217"/>
      <c r="C1210" s="218"/>
      <c r="D1210" s="219"/>
      <c r="E1210" s="217"/>
      <c r="F1210" s="217"/>
      <c r="G1210" s="217"/>
      <c r="H1210" s="220"/>
      <c r="I1210" s="217"/>
      <c r="J1210" s="217"/>
      <c r="K1210" s="217"/>
      <c r="L1210" s="217"/>
      <c r="M1210" s="217"/>
      <c r="N1210" s="217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BA1210" s="5"/>
      <c r="BB1210" s="5"/>
      <c r="BC1210" s="5"/>
      <c r="BD1210" s="5"/>
      <c r="BE1210" s="63"/>
      <c r="BF1210" s="63"/>
      <c r="BG1210" s="63"/>
      <c r="CA1210" s="256"/>
      <c r="CB1210" s="261"/>
      <c r="CC1210" s="261"/>
      <c r="CD1210" s="261"/>
      <c r="CE1210" s="261"/>
      <c r="CF1210" s="261"/>
      <c r="CG1210" s="53"/>
      <c r="CH1210" s="53"/>
      <c r="CI1210" s="53"/>
      <c r="CJ1210" s="53"/>
      <c r="CK1210" s="53"/>
      <c r="CL1210" s="53"/>
      <c r="CN1210" s="53"/>
      <c r="CO1210" s="53"/>
      <c r="CP1210" s="53"/>
      <c r="CQ1210" s="53"/>
      <c r="CR1210" s="53"/>
      <c r="CS1210" s="53"/>
      <c r="CT1210" s="261"/>
      <c r="CU1210" s="261"/>
      <c r="CV1210" s="255"/>
      <c r="CW1210" s="255"/>
      <c r="CX1210" s="261"/>
      <c r="CY1210" s="255"/>
    </row>
    <row r="1211" spans="1:103" ht="10.25" customHeight="1">
      <c r="A1211" s="216"/>
      <c r="B1211" s="217"/>
      <c r="C1211" s="218"/>
      <c r="D1211" s="219"/>
      <c r="E1211" s="217"/>
      <c r="F1211" s="217"/>
      <c r="G1211" s="217"/>
      <c r="H1211" s="220"/>
      <c r="I1211" s="217"/>
      <c r="J1211" s="217"/>
      <c r="K1211" s="217"/>
      <c r="L1211" s="217"/>
      <c r="M1211" s="217"/>
      <c r="N1211" s="217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BA1211" s="5"/>
      <c r="BB1211" s="5"/>
      <c r="BC1211" s="5"/>
      <c r="BD1211" s="5"/>
      <c r="BE1211" s="63"/>
      <c r="BF1211" s="63"/>
      <c r="BG1211" s="63"/>
      <c r="CA1211" s="256"/>
      <c r="CB1211" s="261"/>
      <c r="CC1211" s="261"/>
      <c r="CD1211" s="261"/>
      <c r="CE1211" s="261"/>
      <c r="CF1211" s="261"/>
      <c r="CG1211" s="53"/>
      <c r="CH1211" s="53"/>
      <c r="CI1211" s="53"/>
      <c r="CJ1211" s="53"/>
      <c r="CK1211" s="53"/>
      <c r="CL1211" s="53"/>
      <c r="CN1211" s="53"/>
      <c r="CO1211" s="53"/>
      <c r="CP1211" s="53"/>
      <c r="CQ1211" s="53"/>
      <c r="CR1211" s="53"/>
      <c r="CS1211" s="53"/>
      <c r="CT1211" s="261"/>
      <c r="CU1211" s="261"/>
      <c r="CV1211" s="261"/>
      <c r="CW1211" s="261"/>
      <c r="CX1211" s="261"/>
      <c r="CY1211" s="255"/>
    </row>
    <row r="1212" spans="1:103" ht="10.25" customHeight="1">
      <c r="A1212" s="216"/>
      <c r="B1212" s="217"/>
      <c r="C1212" s="218"/>
      <c r="D1212" s="219"/>
      <c r="E1212" s="217"/>
      <c r="F1212" s="217"/>
      <c r="G1212" s="217"/>
      <c r="H1212" s="220"/>
      <c r="I1212" s="217"/>
      <c r="J1212" s="217"/>
      <c r="K1212" s="217"/>
      <c r="L1212" s="217"/>
      <c r="M1212" s="217"/>
      <c r="N1212" s="217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BA1212" s="5"/>
      <c r="BB1212" s="5"/>
      <c r="BC1212" s="5"/>
      <c r="BD1212" s="5"/>
      <c r="BE1212" s="63"/>
      <c r="BF1212" s="63"/>
      <c r="BG1212" s="63"/>
      <c r="CA1212" s="256"/>
      <c r="CB1212" s="261"/>
      <c r="CC1212" s="261"/>
      <c r="CD1212" s="261"/>
      <c r="CE1212" s="261"/>
      <c r="CF1212" s="261"/>
      <c r="CG1212" s="53"/>
      <c r="CH1212" s="53"/>
      <c r="CI1212" s="53"/>
      <c r="CJ1212" s="53"/>
      <c r="CK1212" s="53"/>
      <c r="CL1212" s="53"/>
      <c r="CN1212" s="53"/>
      <c r="CO1212" s="53"/>
      <c r="CP1212" s="53"/>
      <c r="CQ1212" s="53"/>
      <c r="CR1212" s="53"/>
      <c r="CS1212" s="53"/>
      <c r="CT1212" s="261"/>
      <c r="CU1212" s="261"/>
      <c r="CV1212" s="255"/>
      <c r="CW1212" s="255"/>
      <c r="CX1212" s="255"/>
      <c r="CY1212" s="255"/>
    </row>
    <row r="1213" spans="1:103" ht="10.25" customHeight="1">
      <c r="A1213" s="216"/>
      <c r="B1213" s="217"/>
      <c r="C1213" s="218"/>
      <c r="D1213" s="219"/>
      <c r="E1213" s="217"/>
      <c r="F1213" s="217"/>
      <c r="G1213" s="217"/>
      <c r="H1213" s="220"/>
      <c r="I1213" s="217"/>
      <c r="J1213" s="217"/>
      <c r="K1213" s="217"/>
      <c r="L1213" s="217"/>
      <c r="M1213" s="217"/>
      <c r="N1213" s="217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BA1213" s="5"/>
      <c r="BB1213" s="5"/>
      <c r="BC1213" s="5"/>
      <c r="BD1213" s="5"/>
      <c r="BE1213" s="63"/>
      <c r="BF1213" s="63"/>
      <c r="BG1213" s="63"/>
      <c r="CA1213" s="256"/>
      <c r="CB1213" s="261"/>
      <c r="CC1213" s="261"/>
      <c r="CD1213" s="261"/>
      <c r="CE1213" s="261"/>
      <c r="CF1213" s="261"/>
      <c r="CG1213" s="53"/>
      <c r="CH1213" s="53"/>
      <c r="CI1213" s="53"/>
      <c r="CJ1213" s="53"/>
      <c r="CK1213" s="53"/>
      <c r="CL1213" s="53"/>
      <c r="CN1213" s="53"/>
      <c r="CO1213" s="53"/>
      <c r="CP1213" s="53"/>
      <c r="CQ1213" s="53"/>
      <c r="CR1213" s="53"/>
      <c r="CS1213" s="53"/>
      <c r="CT1213" s="261"/>
      <c r="CU1213" s="261"/>
      <c r="CV1213" s="261"/>
      <c r="CW1213" s="255"/>
      <c r="CX1213" s="261"/>
      <c r="CY1213" s="255"/>
    </row>
    <row r="1214" spans="1:103" ht="10.25" customHeight="1">
      <c r="A1214" s="216"/>
      <c r="B1214" s="217"/>
      <c r="C1214" s="218"/>
      <c r="D1214" s="219"/>
      <c r="E1214" s="217"/>
      <c r="F1214" s="217"/>
      <c r="G1214" s="217"/>
      <c r="H1214" s="220"/>
      <c r="I1214" s="217"/>
      <c r="J1214" s="217"/>
      <c r="K1214" s="217"/>
      <c r="L1214" s="217"/>
      <c r="M1214" s="217"/>
      <c r="N1214" s="217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BA1214" s="5"/>
      <c r="BB1214" s="5"/>
      <c r="BC1214" s="5"/>
      <c r="BD1214" s="5"/>
      <c r="BE1214" s="63"/>
      <c r="BF1214" s="63"/>
      <c r="BG1214" s="63"/>
      <c r="CA1214" s="256"/>
      <c r="CB1214" s="261"/>
      <c r="CC1214" s="261"/>
      <c r="CD1214" s="261"/>
      <c r="CE1214" s="261"/>
      <c r="CF1214" s="261"/>
      <c r="CG1214" s="53"/>
      <c r="CH1214" s="53"/>
      <c r="CI1214" s="53"/>
      <c r="CJ1214" s="53"/>
      <c r="CK1214" s="53"/>
      <c r="CL1214" s="53"/>
      <c r="CN1214" s="53"/>
      <c r="CO1214" s="53"/>
      <c r="CP1214" s="53"/>
      <c r="CQ1214" s="53"/>
      <c r="CR1214" s="53"/>
      <c r="CS1214" s="53"/>
      <c r="CT1214" s="261"/>
      <c r="CU1214" s="261"/>
      <c r="CV1214" s="255"/>
      <c r="CW1214" s="255"/>
      <c r="CX1214" s="261"/>
      <c r="CY1214" s="255"/>
    </row>
    <row r="1215" spans="1:103" ht="10.25" customHeight="1">
      <c r="A1215" s="216"/>
      <c r="B1215" s="217"/>
      <c r="C1215" s="218"/>
      <c r="D1215" s="219"/>
      <c r="E1215" s="217"/>
      <c r="F1215" s="217"/>
      <c r="G1215" s="217"/>
      <c r="H1215" s="220"/>
      <c r="I1215" s="217"/>
      <c r="J1215" s="217"/>
      <c r="K1215" s="217"/>
      <c r="L1215" s="217"/>
      <c r="M1215" s="217"/>
      <c r="N1215" s="217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BA1215" s="5"/>
      <c r="BB1215" s="5"/>
      <c r="BC1215" s="5"/>
      <c r="BD1215" s="5"/>
      <c r="BE1215" s="63"/>
      <c r="BF1215" s="63"/>
      <c r="BG1215" s="63"/>
      <c r="CA1215" s="256"/>
      <c r="CB1215" s="261"/>
      <c r="CC1215" s="261"/>
      <c r="CD1215" s="261"/>
      <c r="CE1215" s="261"/>
      <c r="CF1215" s="261"/>
      <c r="CG1215" s="53"/>
      <c r="CH1215" s="53"/>
      <c r="CI1215" s="53"/>
      <c r="CJ1215" s="53"/>
      <c r="CK1215" s="53"/>
      <c r="CL1215" s="53"/>
      <c r="CN1215" s="53"/>
      <c r="CO1215" s="53"/>
      <c r="CP1215" s="53"/>
      <c r="CQ1215" s="53"/>
      <c r="CR1215" s="53"/>
      <c r="CS1215" s="53"/>
      <c r="CT1215" s="261"/>
      <c r="CU1215" s="261"/>
      <c r="CV1215" s="261"/>
      <c r="CW1215" s="261"/>
      <c r="CX1215" s="261"/>
      <c r="CY1215" s="255"/>
    </row>
    <row r="1216" spans="1:103" ht="10.25" customHeight="1">
      <c r="A1216" s="216"/>
      <c r="B1216" s="217"/>
      <c r="C1216" s="218"/>
      <c r="D1216" s="219"/>
      <c r="E1216" s="217"/>
      <c r="F1216" s="217"/>
      <c r="G1216" s="217"/>
      <c r="H1216" s="220"/>
      <c r="I1216" s="217"/>
      <c r="J1216" s="217"/>
      <c r="K1216" s="217"/>
      <c r="L1216" s="217"/>
      <c r="M1216" s="217"/>
      <c r="N1216" s="217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BA1216" s="5"/>
      <c r="BB1216" s="5"/>
      <c r="BC1216" s="5"/>
      <c r="BD1216" s="5"/>
      <c r="BE1216" s="63"/>
      <c r="BF1216" s="63"/>
      <c r="BG1216" s="63"/>
      <c r="CA1216" s="256"/>
      <c r="CB1216" s="261"/>
      <c r="CC1216" s="261"/>
      <c r="CD1216" s="261"/>
      <c r="CE1216" s="261"/>
      <c r="CF1216" s="261"/>
      <c r="CG1216" s="53"/>
      <c r="CH1216" s="53"/>
      <c r="CI1216" s="53"/>
      <c r="CJ1216" s="53"/>
      <c r="CK1216" s="53"/>
      <c r="CL1216" s="53"/>
      <c r="CN1216" s="53"/>
      <c r="CO1216" s="53"/>
      <c r="CP1216" s="53"/>
      <c r="CQ1216" s="53"/>
      <c r="CR1216" s="53"/>
      <c r="CS1216" s="53"/>
      <c r="CT1216" s="261"/>
      <c r="CU1216" s="261"/>
      <c r="CV1216" s="255"/>
      <c r="CW1216" s="255"/>
      <c r="CX1216" s="261"/>
      <c r="CY1216" s="255"/>
    </row>
    <row r="1217" spans="1:103" ht="10.25" customHeight="1">
      <c r="A1217" s="216"/>
      <c r="B1217" s="217"/>
      <c r="C1217" s="218"/>
      <c r="D1217" s="219"/>
      <c r="E1217" s="217"/>
      <c r="F1217" s="217"/>
      <c r="G1217" s="217"/>
      <c r="H1217" s="220"/>
      <c r="I1217" s="217"/>
      <c r="J1217" s="217"/>
      <c r="K1217" s="217"/>
      <c r="L1217" s="217"/>
      <c r="M1217" s="217"/>
      <c r="N1217" s="217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BA1217" s="5"/>
      <c r="BB1217" s="5"/>
      <c r="BC1217" s="5"/>
      <c r="BD1217" s="5"/>
      <c r="BE1217" s="63"/>
      <c r="BF1217" s="63"/>
      <c r="BG1217" s="63"/>
      <c r="CA1217" s="256"/>
      <c r="CB1217" s="261"/>
      <c r="CC1217" s="261"/>
      <c r="CD1217" s="261"/>
      <c r="CE1217" s="261"/>
      <c r="CF1217" s="255"/>
      <c r="CG1217" s="53"/>
      <c r="CH1217" s="53"/>
      <c r="CI1217" s="53"/>
      <c r="CJ1217" s="53"/>
      <c r="CK1217" s="53"/>
      <c r="CL1217" s="53"/>
      <c r="CN1217" s="53"/>
      <c r="CO1217" s="53"/>
      <c r="CP1217" s="53"/>
      <c r="CQ1217" s="53"/>
      <c r="CR1217" s="53"/>
      <c r="CS1217" s="53"/>
      <c r="CT1217" s="261"/>
      <c r="CU1217" s="255"/>
      <c r="CV1217" s="261"/>
      <c r="CW1217" s="261"/>
      <c r="CX1217" s="261"/>
      <c r="CY1217" s="255"/>
    </row>
    <row r="1218" spans="1:103" ht="10.25" customHeight="1">
      <c r="A1218" s="216"/>
      <c r="B1218" s="217"/>
      <c r="C1218" s="218"/>
      <c r="D1218" s="219"/>
      <c r="E1218" s="217"/>
      <c r="F1218" s="217"/>
      <c r="G1218" s="217"/>
      <c r="H1218" s="220"/>
      <c r="I1218" s="217"/>
      <c r="J1218" s="217"/>
      <c r="K1218" s="217"/>
      <c r="L1218" s="217"/>
      <c r="M1218" s="217"/>
      <c r="N1218" s="217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BA1218" s="5"/>
      <c r="BB1218" s="5"/>
      <c r="BC1218" s="5"/>
      <c r="BD1218" s="5"/>
      <c r="BE1218" s="63"/>
      <c r="BF1218" s="63"/>
      <c r="BG1218" s="63"/>
      <c r="CA1218" s="256"/>
      <c r="CB1218" s="261"/>
      <c r="CC1218" s="261"/>
      <c r="CD1218" s="261"/>
      <c r="CE1218" s="261"/>
      <c r="CF1218" s="255"/>
      <c r="CG1218" s="53"/>
      <c r="CH1218" s="53"/>
      <c r="CI1218" s="53"/>
      <c r="CJ1218" s="53"/>
      <c r="CK1218" s="53"/>
      <c r="CL1218" s="53"/>
      <c r="CN1218" s="53"/>
      <c r="CO1218" s="53"/>
      <c r="CP1218" s="53"/>
      <c r="CQ1218" s="53"/>
      <c r="CR1218" s="53"/>
      <c r="CS1218" s="53"/>
      <c r="CT1218" s="261"/>
      <c r="CU1218" s="255"/>
      <c r="CV1218" s="255"/>
      <c r="CW1218" s="255"/>
      <c r="CX1218" s="261"/>
      <c r="CY1218" s="255"/>
    </row>
    <row r="1219" spans="1:103" ht="10.25" customHeight="1">
      <c r="A1219" s="216"/>
      <c r="B1219" s="217"/>
      <c r="C1219" s="218"/>
      <c r="D1219" s="219"/>
      <c r="E1219" s="217"/>
      <c r="F1219" s="217"/>
      <c r="G1219" s="217"/>
      <c r="H1219" s="220"/>
      <c r="I1219" s="217"/>
      <c r="J1219" s="217"/>
      <c r="K1219" s="217"/>
      <c r="L1219" s="217"/>
      <c r="M1219" s="217"/>
      <c r="N1219" s="217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BA1219" s="5"/>
      <c r="BB1219" s="5"/>
      <c r="BC1219" s="5"/>
      <c r="BD1219" s="5"/>
      <c r="BE1219" s="63"/>
      <c r="BF1219" s="63"/>
      <c r="BG1219" s="63"/>
      <c r="CA1219" s="256"/>
      <c r="CB1219" s="261"/>
      <c r="CC1219" s="261"/>
      <c r="CD1219" s="261"/>
      <c r="CE1219" s="255"/>
      <c r="CF1219" s="261"/>
      <c r="CG1219" s="53"/>
      <c r="CH1219" s="53"/>
      <c r="CI1219" s="53"/>
      <c r="CJ1219" s="53"/>
      <c r="CK1219" s="53"/>
      <c r="CL1219" s="53"/>
      <c r="CN1219" s="53"/>
      <c r="CO1219" s="53"/>
      <c r="CP1219" s="53"/>
      <c r="CQ1219" s="53"/>
      <c r="CR1219" s="53"/>
      <c r="CS1219" s="53"/>
      <c r="CT1219" s="255"/>
      <c r="CU1219" s="261"/>
      <c r="CV1219" s="261"/>
      <c r="CW1219" s="261"/>
      <c r="CX1219" s="261"/>
      <c r="CY1219" s="255"/>
    </row>
    <row r="1220" spans="1:103" ht="10.25" customHeight="1">
      <c r="A1220" s="216"/>
      <c r="B1220" s="217"/>
      <c r="C1220" s="218"/>
      <c r="D1220" s="219"/>
      <c r="E1220" s="217"/>
      <c r="F1220" s="217"/>
      <c r="G1220" s="217"/>
      <c r="H1220" s="220"/>
      <c r="I1220" s="217"/>
      <c r="J1220" s="217"/>
      <c r="K1220" s="217"/>
      <c r="L1220" s="217"/>
      <c r="M1220" s="217"/>
      <c r="N1220" s="217"/>
      <c r="O1220" s="44"/>
      <c r="P1220" s="44"/>
      <c r="Q1220" s="44"/>
      <c r="R1220" s="44"/>
      <c r="S1220" s="44"/>
      <c r="T1220" s="44"/>
      <c r="U1220" s="44"/>
      <c r="V1220" s="44"/>
      <c r="W1220" s="44"/>
      <c r="X1220" s="44"/>
      <c r="Y1220" s="44"/>
      <c r="Z1220" s="44"/>
      <c r="AA1220" s="44"/>
      <c r="AB1220" s="44"/>
      <c r="AC1220" s="44"/>
      <c r="AD1220" s="44"/>
      <c r="AE1220" s="44"/>
      <c r="AF1220" s="44"/>
      <c r="AG1220" s="44"/>
      <c r="AH1220" s="44"/>
      <c r="AI1220" s="44"/>
      <c r="AJ1220" s="44"/>
      <c r="AK1220" s="44"/>
      <c r="AL1220" s="44"/>
      <c r="AM1220" s="44"/>
      <c r="AN1220" s="44"/>
      <c r="AO1220" s="44"/>
      <c r="AP1220" s="44"/>
      <c r="AQ1220" s="44"/>
      <c r="BA1220" s="5"/>
      <c r="BB1220" s="5"/>
      <c r="BC1220" s="5"/>
      <c r="BD1220" s="5"/>
      <c r="BE1220" s="63"/>
      <c r="BF1220" s="63"/>
      <c r="BG1220" s="63"/>
      <c r="CA1220" s="256"/>
      <c r="CB1220" s="261"/>
      <c r="CC1220" s="261"/>
      <c r="CD1220" s="261"/>
      <c r="CE1220" s="255"/>
      <c r="CF1220" s="261"/>
      <c r="CG1220" s="53"/>
      <c r="CH1220" s="53"/>
      <c r="CI1220" s="53"/>
      <c r="CJ1220" s="53"/>
      <c r="CK1220" s="53"/>
      <c r="CL1220" s="53"/>
      <c r="CN1220" s="53"/>
      <c r="CO1220" s="53"/>
      <c r="CP1220" s="53"/>
      <c r="CQ1220" s="53"/>
      <c r="CR1220" s="53"/>
      <c r="CS1220" s="53"/>
      <c r="CT1220" s="255"/>
      <c r="CU1220" s="261"/>
      <c r="CV1220" s="255"/>
      <c r="CW1220" s="255"/>
      <c r="CX1220" s="261"/>
      <c r="CY1220" s="255"/>
    </row>
    <row r="1221" spans="1:103" ht="10.25" customHeight="1">
      <c r="A1221" s="216"/>
      <c r="B1221" s="217"/>
      <c r="C1221" s="218"/>
      <c r="D1221" s="219"/>
      <c r="E1221" s="217"/>
      <c r="F1221" s="217"/>
      <c r="G1221" s="217"/>
      <c r="H1221" s="220"/>
      <c r="I1221" s="217"/>
      <c r="J1221" s="217"/>
      <c r="K1221" s="217"/>
      <c r="L1221" s="217"/>
      <c r="M1221" s="217"/>
      <c r="N1221" s="217"/>
      <c r="O1221" s="44"/>
      <c r="P1221" s="44"/>
      <c r="Q1221" s="44"/>
      <c r="R1221" s="44"/>
      <c r="S1221" s="44"/>
      <c r="T1221" s="44"/>
      <c r="U1221" s="44"/>
      <c r="V1221" s="44"/>
      <c r="W1221" s="44"/>
      <c r="X1221" s="44"/>
      <c r="Y1221" s="44"/>
      <c r="Z1221" s="44"/>
      <c r="AA1221" s="44"/>
      <c r="AB1221" s="44"/>
      <c r="AC1221" s="44"/>
      <c r="AD1221" s="44"/>
      <c r="AE1221" s="44"/>
      <c r="AF1221" s="44"/>
      <c r="AG1221" s="44"/>
      <c r="AH1221" s="44"/>
      <c r="AI1221" s="44"/>
      <c r="AJ1221" s="44"/>
      <c r="AK1221" s="44"/>
      <c r="AL1221" s="44"/>
      <c r="AM1221" s="44"/>
      <c r="AN1221" s="44"/>
      <c r="AO1221" s="44"/>
      <c r="AP1221" s="44"/>
      <c r="AQ1221" s="44"/>
      <c r="BA1221" s="5"/>
      <c r="BB1221" s="5"/>
      <c r="BC1221" s="5"/>
      <c r="BD1221" s="5"/>
      <c r="BE1221" s="63"/>
      <c r="BF1221" s="63"/>
      <c r="BG1221" s="63"/>
      <c r="CA1221" s="256"/>
      <c r="CB1221" s="261"/>
      <c r="CC1221" s="261"/>
      <c r="CD1221" s="261"/>
      <c r="CE1221" s="261"/>
      <c r="CF1221" s="261"/>
      <c r="CG1221" s="53"/>
      <c r="CH1221" s="53"/>
      <c r="CI1221" s="53"/>
      <c r="CJ1221" s="53"/>
      <c r="CK1221" s="53"/>
      <c r="CL1221" s="53"/>
      <c r="CN1221" s="53"/>
      <c r="CO1221" s="53"/>
      <c r="CP1221" s="53"/>
      <c r="CQ1221" s="53"/>
      <c r="CR1221" s="53"/>
      <c r="CS1221" s="53"/>
      <c r="CT1221" s="261"/>
      <c r="CU1221" s="261"/>
      <c r="CV1221" s="261"/>
      <c r="CW1221" s="261"/>
      <c r="CX1221" s="255"/>
      <c r="CY1221" s="255"/>
    </row>
    <row r="1222" spans="1:103" ht="10.25" customHeight="1">
      <c r="A1222" s="216"/>
      <c r="B1222" s="217"/>
      <c r="C1222" s="218"/>
      <c r="D1222" s="219"/>
      <c r="E1222" s="217"/>
      <c r="F1222" s="217"/>
      <c r="G1222" s="217"/>
      <c r="H1222" s="220"/>
      <c r="I1222" s="217"/>
      <c r="J1222" s="217"/>
      <c r="K1222" s="217"/>
      <c r="L1222" s="217"/>
      <c r="M1222" s="217"/>
      <c r="N1222" s="217"/>
      <c r="O1222" s="44"/>
      <c r="P1222" s="44"/>
      <c r="Q1222" s="44"/>
      <c r="R1222" s="44"/>
      <c r="S1222" s="44"/>
      <c r="T1222" s="44"/>
      <c r="U1222" s="44"/>
      <c r="V1222" s="44"/>
      <c r="W1222" s="44"/>
      <c r="X1222" s="44"/>
      <c r="Y1222" s="44"/>
      <c r="Z1222" s="44"/>
      <c r="AA1222" s="44"/>
      <c r="AB1222" s="44"/>
      <c r="AC1222" s="44"/>
      <c r="AD1222" s="44"/>
      <c r="AE1222" s="44"/>
      <c r="AF1222" s="44"/>
      <c r="AG1222" s="44"/>
      <c r="AH1222" s="44"/>
      <c r="AI1222" s="44"/>
      <c r="AJ1222" s="44"/>
      <c r="AK1222" s="44"/>
      <c r="AL1222" s="44"/>
      <c r="AM1222" s="44"/>
      <c r="AN1222" s="44"/>
      <c r="AO1222" s="44"/>
      <c r="AP1222" s="44"/>
      <c r="AQ1222" s="44"/>
      <c r="BA1222" s="5"/>
      <c r="BB1222" s="5"/>
      <c r="BC1222" s="5"/>
      <c r="BD1222" s="5"/>
      <c r="BE1222" s="63"/>
      <c r="BF1222" s="63"/>
      <c r="BG1222" s="63"/>
      <c r="CA1222" s="256"/>
      <c r="CB1222" s="261"/>
      <c r="CC1222" s="261"/>
      <c r="CD1222" s="261"/>
      <c r="CE1222" s="261"/>
      <c r="CF1222" s="261"/>
      <c r="CG1222" s="53"/>
      <c r="CH1222" s="53"/>
      <c r="CI1222" s="53"/>
      <c r="CJ1222" s="53"/>
      <c r="CK1222" s="53"/>
      <c r="CL1222" s="53"/>
      <c r="CN1222" s="53"/>
      <c r="CO1222" s="53"/>
      <c r="CP1222" s="53"/>
      <c r="CQ1222" s="53"/>
      <c r="CR1222" s="53"/>
      <c r="CS1222" s="53"/>
      <c r="CT1222" s="261"/>
      <c r="CU1222" s="261"/>
      <c r="CV1222" s="255"/>
      <c r="CW1222" s="255"/>
      <c r="CX1222" s="261"/>
      <c r="CY1222" s="255"/>
    </row>
    <row r="1223" spans="1:103" ht="10.25" customHeight="1">
      <c r="A1223" s="216"/>
      <c r="B1223" s="217"/>
      <c r="C1223" s="218"/>
      <c r="D1223" s="219"/>
      <c r="E1223" s="217"/>
      <c r="F1223" s="217"/>
      <c r="G1223" s="217"/>
      <c r="H1223" s="220"/>
      <c r="I1223" s="217"/>
      <c r="J1223" s="217"/>
      <c r="K1223" s="217"/>
      <c r="L1223" s="217"/>
      <c r="M1223" s="217"/>
      <c r="N1223" s="217"/>
      <c r="O1223" s="44"/>
      <c r="P1223" s="44"/>
      <c r="Q1223" s="44"/>
      <c r="R1223" s="44"/>
      <c r="S1223" s="44"/>
      <c r="T1223" s="44"/>
      <c r="U1223" s="44"/>
      <c r="V1223" s="44"/>
      <c r="W1223" s="44"/>
      <c r="X1223" s="44"/>
      <c r="Y1223" s="44"/>
      <c r="Z1223" s="44"/>
      <c r="AA1223" s="44"/>
      <c r="AB1223" s="44"/>
      <c r="AC1223" s="44"/>
      <c r="AD1223" s="44"/>
      <c r="AE1223" s="44"/>
      <c r="AF1223" s="44"/>
      <c r="AG1223" s="44"/>
      <c r="AH1223" s="44"/>
      <c r="AI1223" s="44"/>
      <c r="AJ1223" s="44"/>
      <c r="AK1223" s="44"/>
      <c r="AL1223" s="44"/>
      <c r="AM1223" s="44"/>
      <c r="AN1223" s="44"/>
      <c r="AO1223" s="44"/>
      <c r="AP1223" s="44"/>
      <c r="AQ1223" s="44"/>
      <c r="BA1223" s="5"/>
      <c r="BB1223" s="5"/>
      <c r="BC1223" s="5"/>
      <c r="BD1223" s="5"/>
      <c r="BE1223" s="63"/>
      <c r="BF1223" s="63"/>
      <c r="BG1223" s="63"/>
      <c r="CA1223" s="256"/>
      <c r="CB1223" s="261"/>
      <c r="CC1223" s="261"/>
      <c r="CD1223" s="261"/>
      <c r="CE1223" s="261"/>
      <c r="CF1223" s="261"/>
      <c r="CG1223" s="53"/>
      <c r="CH1223" s="53"/>
      <c r="CI1223" s="53"/>
      <c r="CJ1223" s="53"/>
      <c r="CK1223" s="53"/>
      <c r="CL1223" s="53"/>
      <c r="CN1223" s="53"/>
      <c r="CO1223" s="53"/>
      <c r="CP1223" s="53"/>
      <c r="CQ1223" s="53"/>
      <c r="CR1223" s="53"/>
      <c r="CS1223" s="53"/>
      <c r="CT1223" s="261"/>
      <c r="CU1223" s="261"/>
      <c r="CV1223" s="261"/>
      <c r="CW1223" s="255"/>
      <c r="CX1223" s="261"/>
      <c r="CY1223" s="255"/>
    </row>
    <row r="1224" spans="1:103" ht="10.25" customHeight="1">
      <c r="A1224" s="216"/>
      <c r="B1224" s="217"/>
      <c r="C1224" s="218"/>
      <c r="D1224" s="219"/>
      <c r="E1224" s="217"/>
      <c r="F1224" s="217"/>
      <c r="G1224" s="217"/>
      <c r="H1224" s="220"/>
      <c r="I1224" s="217"/>
      <c r="J1224" s="217"/>
      <c r="K1224" s="217"/>
      <c r="L1224" s="217"/>
      <c r="M1224" s="217"/>
      <c r="N1224" s="217"/>
      <c r="O1224" s="44"/>
      <c r="P1224" s="44"/>
      <c r="Q1224" s="44"/>
      <c r="R1224" s="44"/>
      <c r="S1224" s="44"/>
      <c r="T1224" s="44"/>
      <c r="U1224" s="44"/>
      <c r="V1224" s="44"/>
      <c r="W1224" s="44"/>
      <c r="X1224" s="44"/>
      <c r="Y1224" s="44"/>
      <c r="Z1224" s="44"/>
      <c r="AA1224" s="44"/>
      <c r="AB1224" s="44"/>
      <c r="AC1224" s="44"/>
      <c r="AD1224" s="44"/>
      <c r="AE1224" s="44"/>
      <c r="AF1224" s="44"/>
      <c r="AG1224" s="44"/>
      <c r="AH1224" s="44"/>
      <c r="AI1224" s="44"/>
      <c r="AJ1224" s="44"/>
      <c r="AK1224" s="44"/>
      <c r="AL1224" s="44"/>
      <c r="AM1224" s="44"/>
      <c r="AN1224" s="44"/>
      <c r="AO1224" s="44"/>
      <c r="AP1224" s="44"/>
      <c r="AQ1224" s="44"/>
      <c r="BA1224" s="5"/>
      <c r="BB1224" s="5"/>
      <c r="BC1224" s="5"/>
      <c r="BD1224" s="5"/>
      <c r="BE1224" s="63"/>
      <c r="BF1224" s="63"/>
      <c r="BG1224" s="63"/>
      <c r="CA1224" s="256"/>
      <c r="CB1224" s="261"/>
      <c r="CC1224" s="261"/>
      <c r="CD1224" s="261"/>
      <c r="CE1224" s="261"/>
      <c r="CF1224" s="261"/>
      <c r="CG1224" s="53"/>
      <c r="CH1224" s="53"/>
      <c r="CI1224" s="53"/>
      <c r="CJ1224" s="53"/>
      <c r="CK1224" s="53"/>
      <c r="CL1224" s="53"/>
      <c r="CN1224" s="53"/>
      <c r="CO1224" s="53"/>
      <c r="CP1224" s="53"/>
      <c r="CQ1224" s="53"/>
      <c r="CR1224" s="53"/>
      <c r="CS1224" s="53"/>
      <c r="CT1224" s="261"/>
      <c r="CU1224" s="261"/>
      <c r="CV1224" s="255"/>
      <c r="CW1224" s="255"/>
      <c r="CX1224" s="261"/>
      <c r="CY1224" s="255"/>
    </row>
    <row r="1225" spans="1:103" ht="10.25" customHeight="1">
      <c r="A1225" s="216"/>
      <c r="B1225" s="217"/>
      <c r="C1225" s="218"/>
      <c r="D1225" s="219"/>
      <c r="E1225" s="217"/>
      <c r="F1225" s="217"/>
      <c r="G1225" s="217"/>
      <c r="H1225" s="220"/>
      <c r="I1225" s="217"/>
      <c r="J1225" s="217"/>
      <c r="K1225" s="217"/>
      <c r="L1225" s="217"/>
      <c r="M1225" s="217"/>
      <c r="N1225" s="217"/>
      <c r="O1225" s="44"/>
      <c r="P1225" s="44"/>
      <c r="Q1225" s="44"/>
      <c r="R1225" s="44"/>
      <c r="S1225" s="44"/>
      <c r="T1225" s="44"/>
      <c r="U1225" s="44"/>
      <c r="V1225" s="44"/>
      <c r="W1225" s="44"/>
      <c r="X1225" s="44"/>
      <c r="Y1225" s="44"/>
      <c r="Z1225" s="44"/>
      <c r="AA1225" s="44"/>
      <c r="AB1225" s="44"/>
      <c r="AC1225" s="44"/>
      <c r="AD1225" s="44"/>
      <c r="AE1225" s="44"/>
      <c r="AF1225" s="44"/>
      <c r="AG1225" s="44"/>
      <c r="AH1225" s="44"/>
      <c r="AI1225" s="44"/>
      <c r="AJ1225" s="44"/>
      <c r="AK1225" s="44"/>
      <c r="AL1225" s="44"/>
      <c r="AM1225" s="44"/>
      <c r="AN1225" s="44"/>
      <c r="AO1225" s="44"/>
      <c r="AP1225" s="44"/>
      <c r="AQ1225" s="44"/>
      <c r="BA1225" s="5"/>
      <c r="BB1225" s="5"/>
      <c r="BC1225" s="5"/>
      <c r="BD1225" s="5"/>
      <c r="BE1225" s="63"/>
      <c r="BF1225" s="63"/>
      <c r="BG1225" s="63"/>
      <c r="CA1225" s="256"/>
      <c r="CB1225" s="261"/>
      <c r="CC1225" s="261"/>
      <c r="CD1225" s="261"/>
      <c r="CE1225" s="261"/>
      <c r="CF1225" s="261"/>
      <c r="CG1225" s="53"/>
      <c r="CH1225" s="53"/>
      <c r="CI1225" s="53"/>
      <c r="CJ1225" s="53"/>
      <c r="CK1225" s="53"/>
      <c r="CL1225" s="53"/>
      <c r="CN1225" s="53"/>
      <c r="CO1225" s="53"/>
      <c r="CP1225" s="53"/>
      <c r="CQ1225" s="53"/>
      <c r="CR1225" s="53"/>
      <c r="CS1225" s="53"/>
      <c r="CT1225" s="261"/>
      <c r="CU1225" s="261"/>
      <c r="CV1225" s="261"/>
      <c r="CW1225" s="261"/>
      <c r="CX1225" s="261"/>
      <c r="CY1225" s="255"/>
    </row>
    <row r="1226" spans="1:103" ht="10.25" customHeight="1">
      <c r="A1226" s="216"/>
      <c r="B1226" s="217"/>
      <c r="C1226" s="218"/>
      <c r="D1226" s="219"/>
      <c r="E1226" s="217"/>
      <c r="F1226" s="217"/>
      <c r="G1226" s="217"/>
      <c r="H1226" s="220"/>
      <c r="I1226" s="217"/>
      <c r="J1226" s="217"/>
      <c r="K1226" s="217"/>
      <c r="L1226" s="217"/>
      <c r="M1226" s="217"/>
      <c r="N1226" s="217"/>
      <c r="O1226" s="44"/>
      <c r="P1226" s="44"/>
      <c r="Q1226" s="44"/>
      <c r="R1226" s="44"/>
      <c r="S1226" s="44"/>
      <c r="T1226" s="44"/>
      <c r="U1226" s="44"/>
      <c r="V1226" s="44"/>
      <c r="W1226" s="44"/>
      <c r="X1226" s="44"/>
      <c r="Y1226" s="44"/>
      <c r="Z1226" s="44"/>
      <c r="AA1226" s="44"/>
      <c r="AB1226" s="44"/>
      <c r="AC1226" s="44"/>
      <c r="AD1226" s="44"/>
      <c r="AE1226" s="44"/>
      <c r="AF1226" s="44"/>
      <c r="AG1226" s="44"/>
      <c r="AH1226" s="44"/>
      <c r="AI1226" s="44"/>
      <c r="AJ1226" s="44"/>
      <c r="AK1226" s="44"/>
      <c r="AL1226" s="44"/>
      <c r="AM1226" s="44"/>
      <c r="AN1226" s="44"/>
      <c r="AO1226" s="44"/>
      <c r="AP1226" s="44"/>
      <c r="AQ1226" s="44"/>
      <c r="BA1226" s="5"/>
      <c r="BB1226" s="5"/>
      <c r="BC1226" s="5"/>
      <c r="BD1226" s="5"/>
      <c r="BE1226" s="63"/>
      <c r="BF1226" s="63"/>
      <c r="BG1226" s="63"/>
      <c r="CA1226" s="256"/>
      <c r="CB1226" s="261"/>
      <c r="CC1226" s="261"/>
      <c r="CD1226" s="255"/>
      <c r="CE1226" s="261"/>
      <c r="CF1226" s="261"/>
      <c r="CG1226" s="53"/>
      <c r="CH1226" s="53"/>
      <c r="CI1226" s="53"/>
      <c r="CJ1226" s="53"/>
      <c r="CK1226" s="53"/>
      <c r="CL1226" s="53"/>
      <c r="CN1226" s="53"/>
      <c r="CO1226" s="53"/>
      <c r="CP1226" s="53"/>
      <c r="CQ1226" s="53"/>
      <c r="CR1226" s="53"/>
      <c r="CS1226" s="53"/>
      <c r="CT1226" s="261"/>
      <c r="CU1226" s="261"/>
      <c r="CV1226" s="261"/>
      <c r="CW1226" s="261"/>
      <c r="CX1226" s="261"/>
      <c r="CY1226" s="255"/>
    </row>
    <row r="1227" spans="1:103" ht="10.25" customHeight="1">
      <c r="A1227" s="216"/>
      <c r="B1227" s="217"/>
      <c r="C1227" s="218"/>
      <c r="D1227" s="219"/>
      <c r="E1227" s="217"/>
      <c r="F1227" s="217"/>
      <c r="G1227" s="217"/>
      <c r="H1227" s="220"/>
      <c r="I1227" s="217"/>
      <c r="J1227" s="217"/>
      <c r="K1227" s="217"/>
      <c r="L1227" s="217"/>
      <c r="M1227" s="217"/>
      <c r="N1227" s="217"/>
      <c r="O1227" s="44"/>
      <c r="P1227" s="44"/>
      <c r="Q1227" s="44"/>
      <c r="R1227" s="44"/>
      <c r="S1227" s="44"/>
      <c r="T1227" s="44"/>
      <c r="U1227" s="44"/>
      <c r="V1227" s="44"/>
      <c r="W1227" s="44"/>
      <c r="X1227" s="44"/>
      <c r="Y1227" s="44"/>
      <c r="Z1227" s="44"/>
      <c r="AA1227" s="44"/>
      <c r="AB1227" s="44"/>
      <c r="AC1227" s="44"/>
      <c r="AD1227" s="44"/>
      <c r="AE1227" s="44"/>
      <c r="AF1227" s="44"/>
      <c r="AG1227" s="44"/>
      <c r="AH1227" s="44"/>
      <c r="AI1227" s="44"/>
      <c r="AJ1227" s="44"/>
      <c r="AK1227" s="44"/>
      <c r="AL1227" s="44"/>
      <c r="AM1227" s="44"/>
      <c r="AN1227" s="44"/>
      <c r="AO1227" s="44"/>
      <c r="AP1227" s="44"/>
      <c r="AQ1227" s="44"/>
      <c r="BA1227" s="5"/>
      <c r="BB1227" s="5"/>
      <c r="BC1227" s="5"/>
      <c r="BD1227" s="5"/>
      <c r="BE1227" s="63"/>
      <c r="BF1227" s="63"/>
      <c r="BG1227" s="63"/>
      <c r="CA1227" s="256"/>
      <c r="CB1227" s="261"/>
      <c r="CC1227" s="261"/>
      <c r="CD1227" s="255"/>
      <c r="CE1227" s="261"/>
      <c r="CF1227" s="261"/>
      <c r="CG1227" s="53"/>
      <c r="CH1227" s="53"/>
      <c r="CI1227" s="53"/>
      <c r="CJ1227" s="53"/>
      <c r="CK1227" s="53"/>
      <c r="CL1227" s="53"/>
      <c r="CN1227" s="53"/>
      <c r="CO1227" s="53"/>
      <c r="CP1227" s="53"/>
      <c r="CQ1227" s="53"/>
      <c r="CR1227" s="53"/>
      <c r="CS1227" s="53"/>
      <c r="CT1227" s="261"/>
      <c r="CU1227" s="261"/>
      <c r="CV1227" s="261"/>
      <c r="CW1227" s="261"/>
      <c r="CX1227" s="261"/>
      <c r="CY1227" s="255"/>
    </row>
    <row r="1228" spans="1:103" ht="10.25" customHeight="1">
      <c r="A1228" s="216"/>
      <c r="B1228" s="217"/>
      <c r="C1228" s="218"/>
      <c r="D1228" s="219"/>
      <c r="E1228" s="217"/>
      <c r="F1228" s="217"/>
      <c r="G1228" s="217"/>
      <c r="H1228" s="220"/>
      <c r="I1228" s="217"/>
      <c r="J1228" s="217"/>
      <c r="K1228" s="217"/>
      <c r="L1228" s="217"/>
      <c r="M1228" s="217"/>
      <c r="N1228" s="217"/>
      <c r="O1228" s="44"/>
      <c r="P1228" s="44"/>
      <c r="Q1228" s="44"/>
      <c r="R1228" s="44"/>
      <c r="S1228" s="44"/>
      <c r="T1228" s="44"/>
      <c r="U1228" s="44"/>
      <c r="V1228" s="44"/>
      <c r="W1228" s="44"/>
      <c r="X1228" s="44"/>
      <c r="Y1228" s="44"/>
      <c r="Z1228" s="44"/>
      <c r="AA1228" s="44"/>
      <c r="AB1228" s="44"/>
      <c r="AC1228" s="44"/>
      <c r="AD1228" s="44"/>
      <c r="AE1228" s="44"/>
      <c r="AF1228" s="44"/>
      <c r="AG1228" s="44"/>
      <c r="AH1228" s="44"/>
      <c r="AI1228" s="44"/>
      <c r="AJ1228" s="44"/>
      <c r="AK1228" s="44"/>
      <c r="AL1228" s="44"/>
      <c r="AM1228" s="44"/>
      <c r="AN1228" s="44"/>
      <c r="AO1228" s="44"/>
      <c r="AP1228" s="44"/>
      <c r="AQ1228" s="44"/>
      <c r="BA1228" s="5"/>
      <c r="BB1228" s="5"/>
      <c r="BC1228" s="5"/>
      <c r="BD1228" s="5"/>
      <c r="BE1228" s="63"/>
      <c r="BF1228" s="63"/>
      <c r="BG1228" s="63"/>
      <c r="CA1228" s="256"/>
      <c r="CB1228" s="261"/>
      <c r="CC1228" s="261"/>
      <c r="CD1228" s="255"/>
      <c r="CE1228" s="261"/>
      <c r="CF1228" s="261"/>
      <c r="CG1228" s="53"/>
      <c r="CH1228" s="53"/>
      <c r="CI1228" s="53"/>
      <c r="CJ1228" s="53"/>
      <c r="CK1228" s="53"/>
      <c r="CL1228" s="53"/>
      <c r="CN1228" s="53"/>
      <c r="CO1228" s="53"/>
      <c r="CP1228" s="53"/>
      <c r="CQ1228" s="53"/>
      <c r="CR1228" s="53"/>
      <c r="CS1228" s="53"/>
      <c r="CT1228" s="261"/>
      <c r="CU1228" s="261"/>
      <c r="CV1228" s="261"/>
      <c r="CW1228" s="261"/>
      <c r="CX1228" s="261"/>
      <c r="CY1228" s="255"/>
    </row>
    <row r="1229" spans="1:103" ht="10.25" customHeight="1">
      <c r="A1229" s="216"/>
      <c r="B1229" s="217"/>
      <c r="C1229" s="218"/>
      <c r="D1229" s="219"/>
      <c r="E1229" s="217"/>
      <c r="F1229" s="217"/>
      <c r="G1229" s="217"/>
      <c r="H1229" s="220"/>
      <c r="I1229" s="217"/>
      <c r="J1229" s="217"/>
      <c r="K1229" s="217"/>
      <c r="L1229" s="217"/>
      <c r="M1229" s="217"/>
      <c r="N1229" s="217"/>
      <c r="O1229" s="44"/>
      <c r="P1229" s="44"/>
      <c r="Q1229" s="44"/>
      <c r="R1229" s="44"/>
      <c r="S1229" s="44"/>
      <c r="T1229" s="44"/>
      <c r="U1229" s="44"/>
      <c r="V1229" s="44"/>
      <c r="W1229" s="44"/>
      <c r="X1229" s="44"/>
      <c r="Y1229" s="44"/>
      <c r="Z1229" s="44"/>
      <c r="AA1229" s="44"/>
      <c r="AB1229" s="44"/>
      <c r="AC1229" s="44"/>
      <c r="AD1229" s="44"/>
      <c r="AE1229" s="44"/>
      <c r="AF1229" s="44"/>
      <c r="AG1229" s="44"/>
      <c r="AH1229" s="44"/>
      <c r="AI1229" s="44"/>
      <c r="AJ1229" s="44"/>
      <c r="AK1229" s="44"/>
      <c r="AL1229" s="44"/>
      <c r="AM1229" s="44"/>
      <c r="AN1229" s="44"/>
      <c r="AO1229" s="44"/>
      <c r="AP1229" s="44"/>
      <c r="AQ1229" s="44"/>
      <c r="BA1229" s="5"/>
      <c r="BB1229" s="5"/>
      <c r="BC1229" s="5"/>
      <c r="BD1229" s="5"/>
      <c r="BE1229" s="63"/>
      <c r="BF1229" s="63"/>
      <c r="BG1229" s="63"/>
      <c r="CA1229" s="256"/>
      <c r="CB1229" s="261"/>
      <c r="CC1229" s="255"/>
      <c r="CD1229" s="261"/>
      <c r="CE1229" s="261"/>
      <c r="CF1229" s="261"/>
      <c r="CG1229" s="53"/>
      <c r="CH1229" s="53"/>
      <c r="CI1229" s="53"/>
      <c r="CJ1229" s="53"/>
      <c r="CK1229" s="53"/>
      <c r="CL1229" s="53"/>
      <c r="CN1229" s="53"/>
      <c r="CO1229" s="53"/>
      <c r="CP1229" s="53"/>
      <c r="CQ1229" s="53"/>
      <c r="CR1229" s="53"/>
      <c r="CS1229" s="53"/>
      <c r="CT1229" s="261"/>
      <c r="CU1229" s="261"/>
      <c r="CV1229" s="261"/>
      <c r="CW1229" s="261"/>
      <c r="CX1229" s="261"/>
      <c r="CY1229" s="255"/>
    </row>
    <row r="1230" spans="1:103" ht="10.25" customHeight="1">
      <c r="A1230" s="216"/>
      <c r="B1230" s="217"/>
      <c r="C1230" s="218"/>
      <c r="D1230" s="219"/>
      <c r="E1230" s="217"/>
      <c r="F1230" s="217"/>
      <c r="G1230" s="217"/>
      <c r="H1230" s="220"/>
      <c r="I1230" s="217"/>
      <c r="J1230" s="217"/>
      <c r="K1230" s="217"/>
      <c r="L1230" s="217"/>
      <c r="M1230" s="217"/>
      <c r="N1230" s="217"/>
      <c r="O1230" s="44"/>
      <c r="P1230" s="44"/>
      <c r="Q1230" s="44"/>
      <c r="R1230" s="44"/>
      <c r="S1230" s="44"/>
      <c r="T1230" s="44"/>
      <c r="U1230" s="44"/>
      <c r="V1230" s="44"/>
      <c r="W1230" s="44"/>
      <c r="X1230" s="44"/>
      <c r="Y1230" s="44"/>
      <c r="Z1230" s="44"/>
      <c r="AA1230" s="44"/>
      <c r="AB1230" s="44"/>
      <c r="AC1230" s="44"/>
      <c r="AD1230" s="44"/>
      <c r="AE1230" s="44"/>
      <c r="AF1230" s="44"/>
      <c r="AG1230" s="44"/>
      <c r="AH1230" s="44"/>
      <c r="AI1230" s="44"/>
      <c r="AJ1230" s="44"/>
      <c r="AK1230" s="44"/>
      <c r="AL1230" s="44"/>
      <c r="AM1230" s="44"/>
      <c r="AN1230" s="44"/>
      <c r="AO1230" s="44"/>
      <c r="AP1230" s="44"/>
      <c r="AQ1230" s="44"/>
      <c r="BA1230" s="5"/>
      <c r="BB1230" s="5"/>
      <c r="BC1230" s="5"/>
      <c r="BD1230" s="5"/>
      <c r="BE1230" s="63"/>
      <c r="BF1230" s="63"/>
      <c r="BG1230" s="63"/>
      <c r="CA1230" s="256"/>
      <c r="CB1230" s="261"/>
      <c r="CC1230" s="255"/>
      <c r="CD1230" s="261"/>
      <c r="CE1230" s="261"/>
      <c r="CF1230" s="261"/>
      <c r="CG1230" s="53"/>
      <c r="CH1230" s="53"/>
      <c r="CI1230" s="53"/>
      <c r="CJ1230" s="53"/>
      <c r="CK1230" s="53"/>
      <c r="CL1230" s="53"/>
      <c r="CN1230" s="53"/>
      <c r="CO1230" s="53"/>
      <c r="CP1230" s="53"/>
      <c r="CQ1230" s="53"/>
      <c r="CR1230" s="53"/>
      <c r="CS1230" s="53"/>
      <c r="CT1230" s="261"/>
      <c r="CU1230" s="261"/>
      <c r="CV1230" s="261"/>
      <c r="CW1230" s="261"/>
      <c r="CX1230" s="261"/>
      <c r="CY1230" s="255"/>
    </row>
    <row r="1231" spans="1:103" ht="10.25" customHeight="1">
      <c r="A1231" s="371"/>
      <c r="B1231" s="371"/>
      <c r="C1231" s="371"/>
      <c r="D1231" s="269"/>
      <c r="L1231" s="269"/>
      <c r="M1231" s="269"/>
      <c r="N1231" s="269"/>
      <c r="O1231" s="63"/>
      <c r="P1231" s="63"/>
      <c r="Q1231" s="63"/>
      <c r="R1231" s="63"/>
      <c r="S1231" s="63"/>
      <c r="T1231" s="63"/>
      <c r="U1231" s="63"/>
      <c r="V1231" s="63"/>
      <c r="W1231" s="63"/>
      <c r="X1231" s="63"/>
      <c r="Y1231" s="63"/>
      <c r="Z1231" s="63"/>
      <c r="AA1231" s="63"/>
      <c r="AB1231" s="63"/>
      <c r="AC1231" s="63"/>
      <c r="AD1231" s="63"/>
      <c r="AE1231" s="63"/>
      <c r="AF1231" s="63"/>
      <c r="AG1231" s="63"/>
      <c r="AH1231" s="63"/>
      <c r="AI1231" s="63"/>
      <c r="AJ1231" s="63"/>
      <c r="AK1231" s="63"/>
      <c r="AL1231" s="63"/>
      <c r="AM1231" s="63"/>
      <c r="AN1231" s="63"/>
      <c r="AO1231" s="63"/>
      <c r="AP1231" s="63"/>
      <c r="AQ1231" s="63"/>
      <c r="CA1231" s="256"/>
      <c r="CB1231" s="261"/>
      <c r="CC1231" s="255"/>
      <c r="CD1231" s="261"/>
      <c r="CE1231" s="261"/>
      <c r="CF1231" s="261"/>
      <c r="CG1231" s="261"/>
      <c r="CH1231" s="261"/>
      <c r="CI1231" s="261"/>
      <c r="CJ1231" s="261"/>
      <c r="CK1231" s="261"/>
      <c r="CL1231" s="255"/>
      <c r="CN1231" s="256"/>
      <c r="CO1231" s="256"/>
      <c r="CP1231" s="261"/>
      <c r="CQ1231" s="261"/>
      <c r="CR1231" s="255"/>
      <c r="CS1231" s="261"/>
      <c r="CT1231" s="261"/>
      <c r="CU1231" s="261"/>
      <c r="CV1231" s="261"/>
      <c r="CW1231" s="261"/>
      <c r="CX1231" s="261"/>
      <c r="CY1231" s="255"/>
    </row>
    <row r="1232" spans="1:103" ht="12.65" customHeight="1">
      <c r="A1232" s="270"/>
      <c r="C1232" s="271"/>
      <c r="D1232" s="372"/>
      <c r="E1232" s="372"/>
      <c r="F1232" s="272"/>
      <c r="G1232" s="272"/>
      <c r="H1232" s="273"/>
      <c r="L1232" s="269"/>
      <c r="M1232" s="269"/>
      <c r="N1232" s="269"/>
      <c r="O1232" s="63"/>
      <c r="P1232" s="63"/>
      <c r="Q1232" s="63"/>
      <c r="R1232" s="63"/>
      <c r="S1232" s="63"/>
      <c r="T1232" s="63"/>
      <c r="U1232" s="63"/>
      <c r="V1232" s="63"/>
      <c r="W1232" s="63"/>
      <c r="X1232" s="63"/>
      <c r="Y1232" s="63"/>
      <c r="Z1232" s="63"/>
      <c r="AA1232" s="63"/>
      <c r="AB1232" s="63"/>
      <c r="AC1232" s="63"/>
      <c r="AD1232" s="63"/>
      <c r="AE1232" s="63"/>
      <c r="AF1232" s="63"/>
      <c r="AG1232" s="63"/>
      <c r="AH1232" s="63"/>
      <c r="AI1232" s="63"/>
      <c r="AJ1232" s="63"/>
      <c r="AK1232" s="63"/>
      <c r="AL1232" s="63"/>
      <c r="AM1232" s="63"/>
      <c r="AN1232" s="63"/>
      <c r="AO1232" s="63"/>
      <c r="AP1232" s="63"/>
      <c r="AQ1232" s="63"/>
      <c r="CA1232" s="256"/>
      <c r="CB1232" s="261"/>
      <c r="CC1232" s="255"/>
      <c r="CD1232" s="261"/>
      <c r="CE1232" s="261"/>
      <c r="CF1232" s="261"/>
      <c r="CG1232" s="261"/>
      <c r="CH1232" s="261"/>
      <c r="CI1232" s="261"/>
      <c r="CJ1232" s="261"/>
      <c r="CK1232" s="255"/>
      <c r="CL1232" s="255"/>
      <c r="CN1232" s="256"/>
      <c r="CO1232" s="256"/>
      <c r="CP1232" s="261"/>
      <c r="CQ1232" s="261"/>
      <c r="CR1232" s="255"/>
      <c r="CS1232" s="261"/>
      <c r="CT1232" s="261"/>
      <c r="CU1232" s="261"/>
      <c r="CV1232" s="261"/>
      <c r="CW1232" s="261"/>
      <c r="CX1232" s="255"/>
      <c r="CY1232" s="255"/>
    </row>
    <row r="1233" spans="1:103" ht="10.25" customHeight="1">
      <c r="A1233" s="270"/>
      <c r="D1233" s="372"/>
      <c r="E1233" s="372"/>
      <c r="F1233" s="272"/>
      <c r="G1233" s="272"/>
      <c r="H1233" s="273"/>
      <c r="L1233" s="269"/>
      <c r="M1233" s="269"/>
      <c r="N1233" s="269"/>
      <c r="O1233" s="63"/>
      <c r="P1233" s="63"/>
      <c r="Q1233" s="63"/>
      <c r="R1233" s="63"/>
      <c r="S1233" s="63"/>
      <c r="T1233" s="63"/>
      <c r="U1233" s="63"/>
      <c r="V1233" s="63"/>
      <c r="W1233" s="63"/>
      <c r="X1233" s="63"/>
      <c r="Y1233" s="63"/>
      <c r="Z1233" s="63"/>
      <c r="AA1233" s="63"/>
      <c r="AB1233" s="63"/>
      <c r="AC1233" s="63"/>
      <c r="AD1233" s="63"/>
      <c r="AE1233" s="63"/>
      <c r="AF1233" s="63"/>
      <c r="AG1233" s="63"/>
      <c r="AH1233" s="63"/>
      <c r="AI1233" s="63"/>
      <c r="AJ1233" s="63"/>
      <c r="AK1233" s="63"/>
      <c r="AL1233" s="63"/>
      <c r="AM1233" s="63"/>
      <c r="AN1233" s="63"/>
      <c r="AO1233" s="63"/>
      <c r="AP1233" s="63"/>
      <c r="AQ1233" s="63"/>
      <c r="CA1233" s="256"/>
      <c r="CB1233" s="261"/>
      <c r="CC1233" s="255"/>
      <c r="CD1233" s="261"/>
      <c r="CE1233" s="261"/>
      <c r="CF1233" s="261"/>
      <c r="CG1233" s="261"/>
      <c r="CH1233" s="261"/>
      <c r="CI1233" s="261"/>
      <c r="CJ1233" s="261"/>
      <c r="CK1233" s="261"/>
      <c r="CL1233" s="255"/>
      <c r="CN1233" s="256"/>
      <c r="CO1233" s="256"/>
      <c r="CP1233" s="261"/>
      <c r="CQ1233" s="261"/>
      <c r="CR1233" s="255"/>
      <c r="CS1233" s="261"/>
      <c r="CT1233" s="261"/>
      <c r="CU1233" s="261"/>
      <c r="CV1233" s="261"/>
      <c r="CW1233" s="261"/>
      <c r="CX1233" s="261"/>
      <c r="CY1233" s="255"/>
    </row>
    <row r="1234" spans="1:103" ht="10.25" customHeight="1">
      <c r="C1234" s="270"/>
      <c r="D1234" s="274"/>
      <c r="E1234" s="214"/>
      <c r="F1234" s="272"/>
      <c r="G1234" s="272"/>
      <c r="H1234" s="272"/>
      <c r="I1234" s="273"/>
      <c r="J1234" s="273"/>
      <c r="K1234" s="273"/>
      <c r="L1234" s="275"/>
      <c r="M1234" s="269"/>
      <c r="N1234" s="269"/>
      <c r="O1234" s="63"/>
      <c r="P1234" s="63"/>
      <c r="Q1234" s="63"/>
      <c r="R1234" s="63"/>
      <c r="S1234" s="63"/>
      <c r="T1234" s="63"/>
      <c r="U1234" s="63"/>
      <c r="V1234" s="63"/>
      <c r="W1234" s="63"/>
      <c r="X1234" s="63"/>
      <c r="Y1234" s="63"/>
      <c r="Z1234" s="63"/>
      <c r="AA1234" s="63"/>
      <c r="AB1234" s="63"/>
      <c r="AC1234" s="63"/>
      <c r="AD1234" s="63"/>
      <c r="AE1234" s="63"/>
      <c r="AF1234" s="63"/>
      <c r="AG1234" s="63"/>
      <c r="AH1234" s="63"/>
      <c r="AI1234" s="63"/>
      <c r="AJ1234" s="63"/>
      <c r="AK1234" s="63"/>
      <c r="AL1234" s="63"/>
      <c r="AM1234" s="63"/>
      <c r="AN1234" s="63"/>
      <c r="AO1234" s="63"/>
      <c r="AP1234" s="63"/>
      <c r="AQ1234" s="63"/>
      <c r="CA1234" s="256"/>
      <c r="CB1234" s="261"/>
      <c r="CC1234" s="255"/>
      <c r="CD1234" s="261"/>
      <c r="CE1234" s="261"/>
      <c r="CF1234" s="261"/>
      <c r="CG1234" s="261"/>
      <c r="CH1234" s="261"/>
      <c r="CI1234" s="261"/>
      <c r="CJ1234" s="261"/>
      <c r="CK1234" s="261"/>
      <c r="CL1234" s="255"/>
      <c r="CN1234" s="256"/>
      <c r="CO1234" s="256"/>
      <c r="CP1234" s="261"/>
      <c r="CQ1234" s="261"/>
      <c r="CR1234" s="255"/>
      <c r="CS1234" s="261"/>
      <c r="CT1234" s="261"/>
      <c r="CU1234" s="261"/>
      <c r="CV1234" s="261"/>
      <c r="CW1234" s="261"/>
      <c r="CX1234" s="261"/>
      <c r="CY1234" s="255"/>
    </row>
    <row r="1235" spans="1:103" ht="10.25" customHeight="1">
      <c r="A1235" s="270"/>
      <c r="D1235" s="372"/>
      <c r="E1235" s="372"/>
      <c r="F1235" s="272"/>
      <c r="G1235" s="272"/>
      <c r="H1235" s="272"/>
      <c r="I1235" s="273"/>
      <c r="J1235" s="273"/>
      <c r="K1235" s="273"/>
      <c r="L1235" s="275"/>
      <c r="M1235" s="269"/>
      <c r="N1235" s="269"/>
      <c r="O1235" s="63"/>
      <c r="P1235" s="63"/>
      <c r="Q1235" s="63"/>
      <c r="R1235" s="63"/>
      <c r="S1235" s="63"/>
      <c r="T1235" s="63"/>
      <c r="U1235" s="63"/>
      <c r="V1235" s="63"/>
      <c r="W1235" s="63"/>
      <c r="X1235" s="63"/>
      <c r="Y1235" s="63"/>
      <c r="Z1235" s="63"/>
      <c r="AA1235" s="63"/>
      <c r="AB1235" s="63"/>
      <c r="AC1235" s="63"/>
      <c r="AD1235" s="63"/>
      <c r="AE1235" s="63"/>
      <c r="AF1235" s="63"/>
      <c r="AG1235" s="63"/>
      <c r="AH1235" s="63"/>
      <c r="AI1235" s="63"/>
      <c r="AJ1235" s="63"/>
      <c r="AK1235" s="63"/>
      <c r="AL1235" s="63"/>
      <c r="AM1235" s="63"/>
      <c r="AN1235" s="63"/>
      <c r="AO1235" s="63"/>
      <c r="AP1235" s="63"/>
      <c r="AQ1235" s="63"/>
      <c r="CA1235" s="256"/>
      <c r="CB1235" s="261"/>
      <c r="CC1235" s="255"/>
      <c r="CD1235" s="261"/>
      <c r="CE1235" s="261"/>
      <c r="CF1235" s="261"/>
      <c r="CG1235" s="261"/>
      <c r="CH1235" s="261"/>
      <c r="CI1235" s="255"/>
      <c r="CJ1235" s="255"/>
      <c r="CK1235" s="261"/>
      <c r="CL1235" s="255"/>
      <c r="CN1235" s="256"/>
      <c r="CO1235" s="256"/>
      <c r="CP1235" s="261"/>
      <c r="CQ1235" s="261"/>
      <c r="CR1235" s="255"/>
      <c r="CS1235" s="261"/>
      <c r="CT1235" s="261"/>
      <c r="CU1235" s="261"/>
      <c r="CV1235" s="261"/>
      <c r="CW1235" s="255"/>
      <c r="CX1235" s="261"/>
      <c r="CY1235" s="255"/>
    </row>
    <row r="1236" spans="1:103" ht="10.25" customHeight="1">
      <c r="A1236" s="270"/>
      <c r="D1236" s="372"/>
      <c r="E1236" s="372"/>
      <c r="F1236" s="272"/>
      <c r="G1236" s="272"/>
      <c r="H1236" s="272"/>
      <c r="I1236" s="273"/>
      <c r="J1236" s="273"/>
      <c r="K1236" s="273"/>
      <c r="L1236" s="275"/>
      <c r="M1236" s="269"/>
      <c r="N1236" s="269"/>
      <c r="O1236" s="63"/>
      <c r="P1236" s="63"/>
      <c r="Q1236" s="63"/>
      <c r="R1236" s="63"/>
      <c r="S1236" s="63"/>
      <c r="T1236" s="63"/>
      <c r="U1236" s="63"/>
      <c r="V1236" s="63"/>
      <c r="W1236" s="63"/>
      <c r="X1236" s="63"/>
      <c r="Y1236" s="63"/>
      <c r="Z1236" s="63"/>
      <c r="AA1236" s="63"/>
      <c r="AB1236" s="63"/>
      <c r="AC1236" s="63"/>
      <c r="AD1236" s="63"/>
      <c r="AE1236" s="63"/>
      <c r="AF1236" s="63"/>
      <c r="AG1236" s="63"/>
      <c r="AH1236" s="63"/>
      <c r="AI1236" s="63"/>
      <c r="AJ1236" s="63"/>
      <c r="AK1236" s="63"/>
      <c r="AL1236" s="63"/>
      <c r="AM1236" s="63"/>
      <c r="AN1236" s="63"/>
      <c r="AO1236" s="63"/>
      <c r="AP1236" s="63"/>
      <c r="AQ1236" s="63"/>
      <c r="CA1236" s="256"/>
      <c r="CB1236" s="261"/>
      <c r="CC1236" s="255"/>
      <c r="CD1236" s="261"/>
      <c r="CE1236" s="261"/>
      <c r="CF1236" s="261"/>
      <c r="CG1236" s="255"/>
      <c r="CH1236" s="255"/>
      <c r="CI1236" s="261"/>
      <c r="CJ1236" s="261"/>
      <c r="CK1236" s="261"/>
      <c r="CL1236" s="255"/>
      <c r="CN1236" s="256"/>
      <c r="CO1236" s="256"/>
      <c r="CP1236" s="261"/>
      <c r="CQ1236" s="261"/>
      <c r="CR1236" s="255"/>
      <c r="CS1236" s="261"/>
      <c r="CT1236" s="261"/>
      <c r="CU1236" s="261"/>
      <c r="CV1236" s="255"/>
      <c r="CW1236" s="261"/>
      <c r="CX1236" s="261"/>
      <c r="CY1236" s="255"/>
    </row>
    <row r="1237" spans="1:103" ht="10.25" customHeight="1">
      <c r="A1237" s="270"/>
      <c r="D1237" s="372"/>
      <c r="E1237" s="372"/>
      <c r="F1237" s="272"/>
      <c r="G1237" s="272"/>
      <c r="H1237" s="272"/>
      <c r="I1237" s="273"/>
      <c r="J1237" s="273"/>
      <c r="K1237" s="273"/>
      <c r="L1237" s="275"/>
      <c r="M1237" s="269"/>
      <c r="N1237" s="269"/>
      <c r="O1237" s="63"/>
      <c r="P1237" s="63"/>
      <c r="Q1237" s="63"/>
      <c r="R1237" s="63"/>
      <c r="S1237" s="63"/>
      <c r="T1237" s="63"/>
      <c r="U1237" s="63"/>
      <c r="V1237" s="63"/>
      <c r="W1237" s="63"/>
      <c r="X1237" s="63"/>
      <c r="Y1237" s="63"/>
      <c r="Z1237" s="63"/>
      <c r="AA1237" s="63"/>
      <c r="AB1237" s="63"/>
      <c r="AC1237" s="63"/>
      <c r="AD1237" s="63"/>
      <c r="AE1237" s="63"/>
      <c r="AF1237" s="63"/>
      <c r="AG1237" s="63"/>
      <c r="AH1237" s="63"/>
      <c r="AI1237" s="63"/>
      <c r="AJ1237" s="63"/>
      <c r="AK1237" s="63"/>
      <c r="AL1237" s="63"/>
      <c r="AM1237" s="63"/>
      <c r="AN1237" s="63"/>
      <c r="AO1237" s="63"/>
      <c r="AP1237" s="63"/>
      <c r="AQ1237" s="63"/>
      <c r="CA1237" s="256"/>
      <c r="CB1237" s="261"/>
      <c r="CC1237" s="255"/>
      <c r="CD1237" s="261"/>
      <c r="CE1237" s="261"/>
      <c r="CF1237" s="261"/>
      <c r="CG1237" s="255"/>
      <c r="CH1237" s="255"/>
      <c r="CI1237" s="261"/>
      <c r="CJ1237" s="261"/>
      <c r="CK1237" s="261"/>
      <c r="CL1237" s="255"/>
      <c r="CN1237" s="256"/>
      <c r="CO1237" s="256"/>
      <c r="CP1237" s="261"/>
      <c r="CQ1237" s="261"/>
      <c r="CR1237" s="255"/>
      <c r="CS1237" s="261"/>
      <c r="CT1237" s="261"/>
      <c r="CU1237" s="261"/>
      <c r="CV1237" s="255"/>
      <c r="CW1237" s="261"/>
      <c r="CX1237" s="261"/>
      <c r="CY1237" s="255"/>
    </row>
    <row r="1238" spans="1:103" ht="10.25" customHeight="1">
      <c r="A1238" s="270"/>
      <c r="D1238" s="372"/>
      <c r="E1238" s="372"/>
      <c r="F1238" s="272"/>
      <c r="G1238" s="272"/>
      <c r="H1238" s="272"/>
      <c r="I1238" s="375"/>
      <c r="J1238" s="375"/>
      <c r="K1238" s="375"/>
      <c r="L1238" s="375"/>
      <c r="M1238" s="269"/>
      <c r="N1238" s="269"/>
      <c r="O1238" s="63"/>
      <c r="P1238" s="63"/>
      <c r="Q1238" s="63"/>
      <c r="R1238" s="63"/>
      <c r="S1238" s="63"/>
      <c r="T1238" s="63"/>
      <c r="U1238" s="63"/>
      <c r="V1238" s="63"/>
      <c r="W1238" s="63"/>
      <c r="X1238" s="63"/>
      <c r="Y1238" s="63"/>
      <c r="Z1238" s="63"/>
      <c r="AA1238" s="63"/>
      <c r="AB1238" s="63"/>
      <c r="AC1238" s="63"/>
      <c r="AD1238" s="63"/>
      <c r="AE1238" s="63"/>
      <c r="AF1238" s="63"/>
      <c r="AG1238" s="63"/>
      <c r="AH1238" s="63"/>
      <c r="AI1238" s="63"/>
      <c r="AJ1238" s="63"/>
      <c r="AK1238" s="63"/>
      <c r="AL1238" s="63"/>
      <c r="AM1238" s="63"/>
      <c r="AN1238" s="63"/>
      <c r="AO1238" s="63"/>
      <c r="AP1238" s="63"/>
      <c r="AQ1238" s="63"/>
      <c r="CA1238" s="256"/>
      <c r="CB1238" s="261"/>
      <c r="CC1238" s="255"/>
      <c r="CD1238" s="261"/>
      <c r="CE1238" s="261"/>
      <c r="CF1238" s="261"/>
      <c r="CG1238" s="261"/>
      <c r="CH1238" s="261"/>
      <c r="CI1238" s="261"/>
      <c r="CJ1238" s="261"/>
      <c r="CK1238" s="261"/>
      <c r="CL1238" s="255"/>
      <c r="CN1238" s="256"/>
      <c r="CO1238" s="256"/>
      <c r="CP1238" s="261"/>
      <c r="CQ1238" s="261"/>
      <c r="CR1238" s="255"/>
      <c r="CS1238" s="261"/>
      <c r="CT1238" s="261"/>
      <c r="CU1238" s="261"/>
      <c r="CV1238" s="261"/>
      <c r="CW1238" s="261"/>
      <c r="CX1238" s="261"/>
      <c r="CY1238" s="255"/>
    </row>
    <row r="1239" spans="1:103" ht="10.25" customHeight="1">
      <c r="A1239" s="270"/>
      <c r="D1239" s="372"/>
      <c r="E1239" s="372"/>
      <c r="H1239" s="209"/>
      <c r="I1239" s="213"/>
      <c r="J1239" s="213"/>
      <c r="K1239" s="213"/>
      <c r="L1239" s="213"/>
      <c r="M1239" s="213"/>
      <c r="N1239" s="213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CA1239" s="256"/>
      <c r="CB1239" s="261"/>
      <c r="CC1239" s="255"/>
      <c r="CD1239" s="261"/>
      <c r="CE1239" s="261"/>
      <c r="CF1239" s="261"/>
      <c r="CG1239" s="261"/>
      <c r="CH1239" s="261"/>
      <c r="CI1239" s="261"/>
      <c r="CJ1239" s="261"/>
      <c r="CK1239" s="261"/>
      <c r="CL1239" s="255"/>
      <c r="CN1239" s="256"/>
      <c r="CO1239" s="256"/>
      <c r="CP1239" s="261"/>
      <c r="CQ1239" s="261"/>
      <c r="CR1239" s="255"/>
      <c r="CS1239" s="261"/>
      <c r="CT1239" s="261"/>
      <c r="CU1239" s="261"/>
      <c r="CV1239" s="261"/>
      <c r="CW1239" s="261"/>
      <c r="CX1239" s="261"/>
      <c r="CY1239" s="255"/>
    </row>
    <row r="1240" spans="1:103" ht="10.25" customHeight="1">
      <c r="A1240" s="270"/>
      <c r="C1240" s="269"/>
      <c r="D1240" s="275"/>
      <c r="E1240" s="275"/>
      <c r="F1240" s="209"/>
      <c r="G1240" s="209"/>
      <c r="H1240" s="209"/>
      <c r="I1240" s="209"/>
      <c r="J1240" s="209"/>
      <c r="K1240" s="209"/>
      <c r="L1240" s="376"/>
      <c r="M1240" s="376"/>
      <c r="N1240" s="279"/>
      <c r="O1240" s="51"/>
      <c r="P1240" s="51"/>
      <c r="Q1240" s="51"/>
      <c r="R1240" s="51"/>
      <c r="S1240" s="51"/>
      <c r="T1240" s="51"/>
      <c r="U1240" s="51"/>
      <c r="V1240" s="51"/>
      <c r="W1240" s="51"/>
      <c r="X1240" s="51"/>
      <c r="Y1240" s="51"/>
      <c r="Z1240" s="51"/>
      <c r="AA1240" s="51"/>
      <c r="AB1240" s="51"/>
      <c r="AC1240" s="51"/>
      <c r="AD1240" s="51"/>
      <c r="AE1240" s="51"/>
      <c r="AF1240" s="51"/>
      <c r="AG1240" s="51"/>
      <c r="AH1240" s="51"/>
      <c r="AI1240" s="51"/>
      <c r="AJ1240" s="51"/>
      <c r="AK1240" s="51"/>
      <c r="AL1240" s="51"/>
      <c r="AM1240" s="51"/>
      <c r="AN1240" s="51"/>
      <c r="AO1240" s="51"/>
      <c r="AP1240" s="51"/>
      <c r="AQ1240" s="51"/>
      <c r="CA1240" s="256"/>
      <c r="CB1240" s="261"/>
      <c r="CC1240" s="255"/>
      <c r="CD1240" s="261"/>
      <c r="CE1240" s="261"/>
      <c r="CF1240" s="261"/>
      <c r="CG1240" s="261"/>
      <c r="CH1240" s="261"/>
      <c r="CI1240" s="261"/>
      <c r="CJ1240" s="261"/>
      <c r="CK1240" s="261"/>
      <c r="CL1240" s="255"/>
      <c r="CN1240" s="256"/>
      <c r="CO1240" s="256"/>
      <c r="CP1240" s="261"/>
      <c r="CQ1240" s="261"/>
      <c r="CR1240" s="255"/>
      <c r="CS1240" s="261"/>
      <c r="CT1240" s="261"/>
      <c r="CU1240" s="261"/>
      <c r="CV1240" s="261"/>
      <c r="CW1240" s="261"/>
      <c r="CX1240" s="261"/>
      <c r="CY1240" s="255"/>
    </row>
    <row r="1241" spans="1:103" ht="10.25" customHeight="1">
      <c r="A1241" s="270"/>
      <c r="C1241" s="269"/>
      <c r="D1241" s="269"/>
      <c r="F1241" s="209"/>
      <c r="G1241" s="209"/>
      <c r="H1241" s="276"/>
      <c r="I1241" s="276"/>
      <c r="J1241" s="276"/>
      <c r="K1241" s="276"/>
      <c r="L1241" s="374"/>
      <c r="M1241" s="374"/>
      <c r="N1241" s="213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CA1241" s="256"/>
      <c r="CB1241" s="261"/>
      <c r="CC1241" s="255"/>
      <c r="CD1241" s="261"/>
      <c r="CE1241" s="261"/>
      <c r="CF1241" s="261"/>
      <c r="CG1241" s="261"/>
      <c r="CH1241" s="261"/>
      <c r="CI1241" s="261"/>
      <c r="CJ1241" s="261"/>
      <c r="CK1241" s="261"/>
      <c r="CL1241" s="255"/>
      <c r="CN1241" s="256"/>
      <c r="CO1241" s="256"/>
      <c r="CP1241" s="261"/>
      <c r="CQ1241" s="261"/>
      <c r="CR1241" s="255"/>
      <c r="CS1241" s="261"/>
      <c r="CT1241" s="261"/>
      <c r="CU1241" s="261"/>
      <c r="CV1241" s="261"/>
      <c r="CW1241" s="261"/>
      <c r="CX1241" s="261"/>
      <c r="CY1241" s="255"/>
    </row>
    <row r="1242" spans="1:103" ht="10.25" customHeight="1">
      <c r="A1242" s="270"/>
      <c r="D1242" s="269"/>
      <c r="F1242" s="208"/>
      <c r="G1242" s="208"/>
      <c r="H1242" s="277"/>
      <c r="I1242" s="277"/>
      <c r="J1242" s="277"/>
      <c r="K1242" s="277"/>
      <c r="L1242" s="372"/>
      <c r="M1242" s="372"/>
      <c r="N1242" s="214"/>
      <c r="O1242" s="41"/>
      <c r="P1242" s="41"/>
      <c r="Q1242" s="41"/>
      <c r="R1242" s="41"/>
      <c r="S1242" s="41"/>
      <c r="T1242" s="41"/>
      <c r="U1242" s="41"/>
      <c r="V1242" s="41"/>
      <c r="W1242" s="41"/>
      <c r="X1242" s="41"/>
      <c r="Y1242" s="41"/>
      <c r="Z1242" s="41"/>
      <c r="AA1242" s="41"/>
      <c r="AB1242" s="41"/>
      <c r="AC1242" s="41"/>
      <c r="AD1242" s="41"/>
      <c r="AE1242" s="41"/>
      <c r="AF1242" s="41"/>
      <c r="AG1242" s="41"/>
      <c r="AH1242" s="41"/>
      <c r="AI1242" s="41"/>
      <c r="AJ1242" s="41"/>
      <c r="AK1242" s="41"/>
      <c r="AL1242" s="41"/>
      <c r="AM1242" s="41"/>
      <c r="AN1242" s="41"/>
      <c r="AO1242" s="41"/>
      <c r="AP1242" s="41"/>
      <c r="AQ1242" s="41"/>
      <c r="CA1242" s="256"/>
      <c r="CB1242" s="261"/>
      <c r="CC1242" s="255"/>
      <c r="CD1242" s="261"/>
      <c r="CE1242" s="261"/>
      <c r="CF1242" s="261"/>
      <c r="CG1242" s="261"/>
      <c r="CH1242" s="261"/>
      <c r="CI1242" s="261"/>
      <c r="CJ1242" s="261"/>
      <c r="CK1242" s="261"/>
      <c r="CL1242" s="255"/>
      <c r="CN1242" s="256"/>
      <c r="CO1242" s="256"/>
      <c r="CP1242" s="261"/>
      <c r="CQ1242" s="261"/>
      <c r="CR1242" s="255"/>
      <c r="CS1242" s="261"/>
      <c r="CT1242" s="261"/>
      <c r="CU1242" s="261"/>
      <c r="CV1242" s="261"/>
      <c r="CW1242" s="261"/>
      <c r="CX1242" s="261"/>
      <c r="CY1242" s="255"/>
    </row>
    <row r="1243" spans="1:103" ht="10.25" customHeight="1">
      <c r="CA1243" s="256"/>
      <c r="CB1243" s="261"/>
      <c r="CC1243" s="255"/>
      <c r="CD1243" s="261"/>
      <c r="CE1243" s="261"/>
      <c r="CF1243" s="255"/>
      <c r="CG1243" s="261"/>
      <c r="CH1243" s="261"/>
      <c r="CI1243" s="261"/>
      <c r="CJ1243" s="261"/>
      <c r="CK1243" s="261"/>
      <c r="CL1243" s="255"/>
      <c r="CN1243" s="256"/>
      <c r="CO1243" s="256"/>
      <c r="CP1243" s="261"/>
      <c r="CQ1243" s="261"/>
      <c r="CR1243" s="255"/>
      <c r="CS1243" s="261"/>
      <c r="CT1243" s="261"/>
      <c r="CU1243" s="255"/>
      <c r="CV1243" s="261"/>
      <c r="CW1243" s="261"/>
      <c r="CX1243" s="261"/>
      <c r="CY1243" s="255"/>
    </row>
    <row r="1244" spans="1:103" ht="10.25" customHeight="1">
      <c r="C1244" s="278"/>
      <c r="CA1244" s="256"/>
      <c r="CB1244" s="261"/>
      <c r="CC1244" s="255"/>
      <c r="CD1244" s="261"/>
      <c r="CE1244" s="261"/>
      <c r="CF1244" s="255"/>
      <c r="CG1244" s="261"/>
      <c r="CH1244" s="261"/>
      <c r="CI1244" s="261"/>
      <c r="CJ1244" s="261"/>
      <c r="CK1244" s="261"/>
      <c r="CL1244" s="255"/>
      <c r="CN1244" s="256"/>
      <c r="CO1244" s="256"/>
      <c r="CP1244" s="261"/>
      <c r="CQ1244" s="261"/>
      <c r="CR1244" s="255"/>
      <c r="CS1244" s="261"/>
      <c r="CT1244" s="261"/>
      <c r="CU1244" s="255"/>
      <c r="CV1244" s="261"/>
      <c r="CW1244" s="261"/>
      <c r="CX1244" s="261"/>
      <c r="CY1244" s="255"/>
    </row>
    <row r="1245" spans="1:103" ht="10.25" customHeight="1">
      <c r="C1245" s="278"/>
      <c r="F1245" s="377"/>
      <c r="G1245" s="377"/>
      <c r="H1245" s="377"/>
      <c r="I1245" s="377"/>
      <c r="J1245" s="377"/>
      <c r="K1245" s="377"/>
      <c r="L1245" s="377"/>
      <c r="M1245" s="377"/>
      <c r="N1245" s="269"/>
      <c r="O1245" s="63"/>
      <c r="P1245" s="63"/>
      <c r="Q1245" s="63"/>
      <c r="R1245" s="63"/>
      <c r="S1245" s="63"/>
      <c r="T1245" s="63"/>
      <c r="U1245" s="63"/>
      <c r="V1245" s="63"/>
      <c r="W1245" s="63"/>
      <c r="X1245" s="63"/>
      <c r="Y1245" s="63"/>
      <c r="Z1245" s="63"/>
      <c r="AA1245" s="63"/>
      <c r="AB1245" s="63"/>
      <c r="AC1245" s="63"/>
      <c r="AD1245" s="63"/>
      <c r="AE1245" s="63"/>
      <c r="AF1245" s="63"/>
      <c r="AG1245" s="63"/>
      <c r="AH1245" s="63"/>
      <c r="AI1245" s="63"/>
      <c r="AJ1245" s="63"/>
      <c r="AK1245" s="63"/>
      <c r="AL1245" s="63"/>
      <c r="AM1245" s="63"/>
      <c r="AN1245" s="63"/>
      <c r="AO1245" s="63"/>
      <c r="AP1245" s="63"/>
      <c r="AQ1245" s="63"/>
      <c r="CA1245" s="256"/>
      <c r="CB1245" s="261"/>
      <c r="CC1245" s="255"/>
      <c r="CD1245" s="261"/>
      <c r="CE1245" s="261"/>
      <c r="CF1245" s="255"/>
      <c r="CG1245" s="261"/>
      <c r="CH1245" s="261"/>
      <c r="CI1245" s="261"/>
      <c r="CJ1245" s="261"/>
      <c r="CK1245" s="261"/>
      <c r="CL1245" s="255"/>
      <c r="CN1245" s="256"/>
      <c r="CO1245" s="256"/>
      <c r="CP1245" s="261"/>
      <c r="CQ1245" s="261"/>
      <c r="CR1245" s="255"/>
      <c r="CS1245" s="261"/>
      <c r="CT1245" s="261"/>
      <c r="CU1245" s="255"/>
      <c r="CV1245" s="261"/>
      <c r="CW1245" s="261"/>
      <c r="CX1245" s="261"/>
      <c r="CY1245" s="255"/>
    </row>
    <row r="1246" spans="1:103" ht="10.4" customHeight="1">
      <c r="C1246" s="278"/>
      <c r="F1246" s="377"/>
      <c r="G1246" s="377"/>
      <c r="H1246" s="377"/>
      <c r="I1246" s="377"/>
      <c r="J1246" s="377"/>
      <c r="K1246" s="377"/>
      <c r="L1246" s="377"/>
      <c r="M1246" s="377"/>
      <c r="N1246" s="269"/>
      <c r="O1246" s="63"/>
      <c r="P1246" s="63"/>
      <c r="Q1246" s="63"/>
      <c r="R1246" s="63"/>
      <c r="S1246" s="63"/>
      <c r="T1246" s="63"/>
      <c r="U1246" s="63"/>
      <c r="V1246" s="63"/>
      <c r="W1246" s="63"/>
      <c r="X1246" s="63"/>
      <c r="Y1246" s="63"/>
      <c r="Z1246" s="63"/>
      <c r="AA1246" s="63"/>
      <c r="AB1246" s="63"/>
      <c r="AC1246" s="63"/>
      <c r="AD1246" s="63"/>
      <c r="AE1246" s="63"/>
      <c r="AF1246" s="63"/>
      <c r="AG1246" s="63"/>
      <c r="AH1246" s="63"/>
      <c r="AI1246" s="63"/>
      <c r="AJ1246" s="63"/>
      <c r="AK1246" s="63"/>
      <c r="AL1246" s="63"/>
      <c r="AM1246" s="63"/>
      <c r="AN1246" s="63"/>
      <c r="AO1246" s="63"/>
      <c r="AP1246" s="63"/>
      <c r="AQ1246" s="63"/>
      <c r="AS1246" s="236"/>
      <c r="BE1246" s="63"/>
      <c r="BF1246" s="63"/>
      <c r="BG1246" s="63"/>
      <c r="BK1246" s="317"/>
      <c r="BL1246" s="5"/>
      <c r="BM1246" s="5"/>
      <c r="BN1246" s="5"/>
      <c r="BO1246" s="5"/>
      <c r="BP1246" s="5"/>
      <c r="BQ1246" s="5"/>
      <c r="BR1246" s="5"/>
      <c r="BS1246" s="5"/>
      <c r="BT1246" s="5"/>
      <c r="BV1246" s="317"/>
      <c r="CF1246" s="5"/>
      <c r="CG1246" s="5"/>
      <c r="CH1246" s="5"/>
      <c r="CI1246" s="5"/>
      <c r="CJ1246" s="5"/>
      <c r="CK1246" s="5"/>
      <c r="CL1246" s="5"/>
    </row>
    <row r="1247" spans="1:103" ht="10.25" customHeight="1">
      <c r="A1247" s="377"/>
      <c r="B1247" s="377"/>
      <c r="C1247" s="377"/>
      <c r="D1247" s="377"/>
      <c r="E1247" s="377"/>
      <c r="F1247" s="377"/>
      <c r="G1247" s="377"/>
      <c r="H1247" s="377"/>
      <c r="I1247" s="377"/>
      <c r="J1247" s="377"/>
      <c r="K1247" s="377"/>
      <c r="L1247" s="377"/>
      <c r="M1247" s="377"/>
      <c r="N1247" s="269"/>
      <c r="O1247" s="63"/>
      <c r="P1247" s="63"/>
      <c r="Q1247" s="63"/>
      <c r="R1247" s="63"/>
      <c r="S1247" s="63"/>
      <c r="T1247" s="63"/>
      <c r="U1247" s="63"/>
      <c r="V1247" s="63"/>
      <c r="W1247" s="63"/>
      <c r="X1247" s="63"/>
      <c r="Y1247" s="63"/>
      <c r="Z1247" s="63"/>
      <c r="AA1247" s="63"/>
      <c r="AB1247" s="63"/>
      <c r="AC1247" s="63"/>
      <c r="AD1247" s="63"/>
      <c r="AE1247" s="63"/>
      <c r="AF1247" s="63"/>
      <c r="AG1247" s="63"/>
      <c r="AH1247" s="63"/>
      <c r="AI1247" s="63"/>
      <c r="AJ1247" s="63"/>
      <c r="AK1247" s="63"/>
      <c r="AL1247" s="63"/>
      <c r="AM1247" s="63"/>
      <c r="AN1247" s="63"/>
      <c r="AO1247" s="63"/>
      <c r="AP1247" s="63"/>
      <c r="AQ1247" s="63"/>
      <c r="BE1247" s="63"/>
      <c r="BF1247" s="63"/>
      <c r="BG1247" s="63"/>
      <c r="BK1247" s="317"/>
      <c r="BL1247" s="5"/>
      <c r="BM1247" s="5"/>
      <c r="BN1247" s="5"/>
      <c r="BO1247" s="5"/>
      <c r="BP1247" s="5"/>
      <c r="BQ1247" s="5"/>
      <c r="BR1247" s="5"/>
      <c r="BS1247" s="5"/>
      <c r="BT1247" s="5"/>
      <c r="BV1247" s="317"/>
      <c r="CF1247" s="5"/>
      <c r="CG1247" s="5"/>
      <c r="CH1247" s="5"/>
      <c r="CI1247" s="5"/>
      <c r="CJ1247" s="5"/>
      <c r="CK1247" s="5"/>
      <c r="CL1247" s="5"/>
    </row>
    <row r="1248" spans="1:103" ht="10.25" customHeight="1">
      <c r="A1248" s="376"/>
      <c r="B1248" s="376"/>
      <c r="C1248" s="376"/>
      <c r="D1248" s="376"/>
      <c r="E1248" s="376"/>
      <c r="F1248" s="376"/>
      <c r="G1248" s="376"/>
      <c r="H1248" s="376"/>
      <c r="I1248" s="376"/>
      <c r="J1248" s="376"/>
      <c r="K1248" s="376"/>
      <c r="L1248" s="376"/>
      <c r="M1248" s="376"/>
      <c r="N1248" s="279"/>
      <c r="O1248" s="51"/>
      <c r="P1248" s="51"/>
      <c r="Q1248" s="51"/>
      <c r="R1248" s="51"/>
      <c r="S1248" s="51"/>
      <c r="T1248" s="51"/>
      <c r="U1248" s="51"/>
      <c r="V1248" s="51"/>
      <c r="W1248" s="51"/>
      <c r="X1248" s="51"/>
      <c r="Y1248" s="51"/>
      <c r="Z1248" s="51"/>
      <c r="AA1248" s="51"/>
      <c r="AB1248" s="51"/>
      <c r="AC1248" s="51"/>
      <c r="AD1248" s="51"/>
      <c r="AE1248" s="51"/>
      <c r="AF1248" s="51"/>
      <c r="AG1248" s="51"/>
      <c r="AH1248" s="51"/>
      <c r="AI1248" s="51"/>
      <c r="AJ1248" s="51"/>
      <c r="AK1248" s="51"/>
      <c r="AL1248" s="51"/>
      <c r="AM1248" s="51"/>
      <c r="AN1248" s="51"/>
      <c r="AO1248" s="51"/>
      <c r="AP1248" s="51"/>
      <c r="AQ1248" s="51"/>
      <c r="BE1248" s="63"/>
      <c r="BF1248" s="63"/>
      <c r="BG1248" s="63"/>
      <c r="BK1248" s="317"/>
      <c r="BL1248" s="5"/>
      <c r="BM1248" s="5"/>
      <c r="BN1248" s="5"/>
      <c r="BO1248" s="5"/>
      <c r="BP1248" s="5"/>
      <c r="BQ1248" s="5"/>
      <c r="BR1248" s="5"/>
      <c r="BS1248" s="5"/>
      <c r="BT1248" s="5"/>
      <c r="BV1248" s="317"/>
      <c r="CF1248" s="5"/>
      <c r="CG1248" s="5"/>
      <c r="CH1248" s="5"/>
      <c r="CI1248" s="5"/>
      <c r="CJ1248" s="5"/>
      <c r="CK1248" s="5"/>
      <c r="CL1248" s="5"/>
    </row>
    <row r="1249" spans="1:103" ht="10.25" customHeight="1">
      <c r="A1249" s="374"/>
      <c r="B1249" s="374"/>
      <c r="C1249" s="374"/>
      <c r="D1249" s="374"/>
      <c r="E1249" s="374"/>
      <c r="F1249" s="374"/>
      <c r="G1249" s="374"/>
      <c r="H1249" s="374"/>
      <c r="I1249" s="374"/>
      <c r="J1249" s="374"/>
      <c r="K1249" s="374"/>
      <c r="L1249" s="374"/>
      <c r="M1249" s="374"/>
      <c r="N1249" s="213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BE1249" s="63"/>
      <c r="BF1249" s="63"/>
      <c r="BG1249" s="63"/>
      <c r="BK1249" s="317"/>
      <c r="BL1249" s="5"/>
      <c r="BM1249" s="5"/>
      <c r="BN1249" s="5"/>
      <c r="BO1249" s="5"/>
      <c r="BP1249" s="5"/>
      <c r="BQ1249" s="5"/>
      <c r="BR1249" s="5"/>
      <c r="BS1249" s="5"/>
      <c r="BT1249" s="5"/>
      <c r="BV1249" s="317"/>
      <c r="CF1249" s="5"/>
      <c r="CG1249" s="5"/>
      <c r="CH1249" s="5"/>
      <c r="CI1249" s="5"/>
      <c r="CJ1249" s="5"/>
      <c r="CK1249" s="5"/>
      <c r="CL1249" s="5"/>
    </row>
    <row r="1250" spans="1:103" ht="6" customHeight="1">
      <c r="A1250" s="208"/>
      <c r="B1250" s="209"/>
      <c r="C1250" s="209"/>
      <c r="D1250" s="209"/>
      <c r="E1250" s="209"/>
      <c r="F1250" s="280"/>
      <c r="G1250" s="280"/>
      <c r="H1250" s="280"/>
      <c r="I1250" s="280"/>
      <c r="J1250" s="280"/>
      <c r="K1250" s="280"/>
      <c r="L1250" s="280"/>
      <c r="M1250" s="280"/>
      <c r="N1250" s="280"/>
      <c r="O1250" s="42"/>
      <c r="P1250" s="42"/>
      <c r="Q1250" s="42"/>
      <c r="R1250" s="42"/>
      <c r="S1250" s="42"/>
      <c r="T1250" s="42"/>
      <c r="U1250" s="42"/>
      <c r="V1250" s="42"/>
      <c r="W1250" s="42"/>
      <c r="X1250" s="42"/>
      <c r="Y1250" s="42"/>
      <c r="Z1250" s="42"/>
      <c r="AA1250" s="42"/>
      <c r="AB1250" s="42"/>
      <c r="AC1250" s="42"/>
      <c r="AD1250" s="42"/>
      <c r="AE1250" s="42"/>
      <c r="AF1250" s="42"/>
      <c r="AG1250" s="42"/>
      <c r="AH1250" s="42"/>
      <c r="AI1250" s="42"/>
      <c r="AJ1250" s="42"/>
      <c r="AK1250" s="42"/>
      <c r="AL1250" s="42"/>
      <c r="AM1250" s="42"/>
      <c r="AN1250" s="42"/>
      <c r="AO1250" s="42"/>
      <c r="AP1250" s="42"/>
      <c r="AQ1250" s="42"/>
      <c r="BK1250" s="317"/>
      <c r="BL1250" s="5"/>
      <c r="BM1250" s="5"/>
      <c r="BN1250" s="5"/>
      <c r="BO1250" s="5"/>
      <c r="BP1250" s="5"/>
      <c r="BQ1250" s="5"/>
      <c r="BR1250" s="5"/>
      <c r="BS1250" s="5"/>
      <c r="BT1250" s="5"/>
      <c r="BV1250" s="317"/>
      <c r="CF1250" s="5"/>
      <c r="CG1250" s="5"/>
      <c r="CH1250" s="5"/>
      <c r="CI1250" s="5"/>
      <c r="CJ1250" s="5"/>
      <c r="CK1250" s="5"/>
      <c r="CL1250" s="5"/>
    </row>
    <row r="1251" spans="1:103" ht="10.25" customHeight="1">
      <c r="A1251" s="208"/>
      <c r="B1251" s="209"/>
      <c r="C1251" s="209"/>
      <c r="D1251" s="210"/>
      <c r="E1251" s="211"/>
      <c r="F1251" s="369"/>
      <c r="G1251" s="369"/>
      <c r="H1251" s="369"/>
      <c r="I1251" s="369"/>
      <c r="J1251" s="369"/>
      <c r="K1251" s="369"/>
      <c r="L1251" s="369"/>
      <c r="M1251" s="230"/>
      <c r="N1251" s="230"/>
      <c r="O1251" s="235"/>
      <c r="P1251" s="235"/>
      <c r="Q1251" s="235"/>
      <c r="R1251" s="235"/>
      <c r="S1251" s="235"/>
      <c r="T1251" s="235"/>
      <c r="U1251" s="235"/>
      <c r="V1251" s="235"/>
      <c r="W1251" s="235"/>
      <c r="X1251" s="235"/>
      <c r="Y1251" s="235"/>
      <c r="Z1251" s="235"/>
      <c r="AA1251" s="235"/>
      <c r="AB1251" s="235"/>
      <c r="AC1251" s="235"/>
      <c r="AD1251" s="235"/>
      <c r="AE1251" s="235"/>
      <c r="AF1251" s="235"/>
      <c r="AG1251" s="235"/>
      <c r="AH1251" s="235"/>
      <c r="AI1251" s="235"/>
      <c r="AJ1251" s="235"/>
      <c r="AK1251" s="235"/>
      <c r="AL1251" s="235"/>
      <c r="AM1251" s="235"/>
      <c r="AN1251" s="235"/>
      <c r="AO1251" s="235"/>
      <c r="AP1251" s="235"/>
      <c r="AQ1251" s="235"/>
      <c r="BK1251" s="317"/>
      <c r="BL1251" s="5"/>
      <c r="BM1251" s="5"/>
      <c r="BN1251" s="5"/>
      <c r="BO1251" s="5"/>
      <c r="BP1251" s="5"/>
      <c r="BQ1251" s="5"/>
      <c r="BR1251" s="5"/>
      <c r="BS1251" s="5"/>
      <c r="BT1251" s="5"/>
      <c r="BV1251" s="317"/>
      <c r="CF1251" s="5"/>
      <c r="CG1251" s="5"/>
      <c r="CH1251" s="5"/>
      <c r="CI1251" s="5"/>
      <c r="CJ1251" s="5"/>
      <c r="CK1251" s="5"/>
      <c r="CL1251" s="5"/>
    </row>
    <row r="1252" spans="1:103" ht="2" customHeight="1">
      <c r="A1252" s="209"/>
      <c r="B1252" s="209"/>
      <c r="C1252" s="212"/>
      <c r="D1252" s="213"/>
      <c r="E1252" s="209"/>
      <c r="F1252" s="209"/>
      <c r="G1252" s="209"/>
      <c r="H1252" s="209"/>
      <c r="I1252" s="209"/>
      <c r="J1252" s="209"/>
      <c r="K1252" s="209"/>
      <c r="L1252" s="209"/>
      <c r="M1252" s="209"/>
      <c r="N1252" s="209"/>
      <c r="O1252" s="46"/>
      <c r="P1252" s="46"/>
      <c r="Q1252" s="46"/>
      <c r="R1252" s="46"/>
      <c r="S1252" s="46"/>
      <c r="T1252" s="46"/>
      <c r="U1252" s="46"/>
      <c r="V1252" s="46"/>
      <c r="W1252" s="46"/>
      <c r="X1252" s="46"/>
      <c r="Y1252" s="46"/>
      <c r="Z1252" s="46"/>
      <c r="AA1252" s="46"/>
      <c r="AB1252" s="46"/>
      <c r="AC1252" s="46"/>
      <c r="AD1252" s="46"/>
      <c r="AE1252" s="46"/>
      <c r="AF1252" s="46"/>
      <c r="AG1252" s="46"/>
      <c r="AH1252" s="46"/>
      <c r="AI1252" s="46"/>
      <c r="AJ1252" s="46"/>
      <c r="AK1252" s="46"/>
      <c r="AL1252" s="46"/>
      <c r="AM1252" s="46"/>
      <c r="AN1252" s="46"/>
      <c r="AO1252" s="46"/>
      <c r="AP1252" s="46"/>
      <c r="AQ1252" s="46"/>
      <c r="BK1252" s="317"/>
      <c r="BL1252" s="5"/>
      <c r="BM1252" s="5"/>
      <c r="BN1252" s="5"/>
      <c r="BO1252" s="5"/>
      <c r="BP1252" s="5"/>
      <c r="BQ1252" s="5"/>
      <c r="BR1252" s="5"/>
      <c r="BS1252" s="5"/>
      <c r="BT1252" s="5"/>
      <c r="BV1252" s="317"/>
      <c r="CF1252" s="5"/>
      <c r="CG1252" s="5"/>
      <c r="CH1252" s="5"/>
      <c r="CI1252" s="5"/>
      <c r="CJ1252" s="5"/>
      <c r="CK1252" s="5"/>
      <c r="CL1252" s="5"/>
    </row>
    <row r="1253" spans="1:103" ht="26.4" customHeight="1">
      <c r="A1253" s="374"/>
      <c r="B1253" s="374"/>
      <c r="C1253" s="374"/>
      <c r="D1253" s="372"/>
      <c r="E1253" s="373"/>
      <c r="F1253" s="370"/>
      <c r="G1253" s="215"/>
      <c r="H1253" s="373"/>
      <c r="I1253" s="370"/>
      <c r="J1253" s="370"/>
      <c r="K1253" s="370"/>
      <c r="L1253" s="373"/>
      <c r="M1253" s="374"/>
      <c r="N1253" s="213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BK1253" s="317"/>
      <c r="BL1253" s="5"/>
      <c r="BM1253" s="5"/>
      <c r="BN1253" s="5"/>
      <c r="BO1253" s="5"/>
      <c r="BP1253" s="5"/>
      <c r="BQ1253" s="5"/>
      <c r="BR1253" s="5"/>
      <c r="BS1253" s="5"/>
      <c r="BT1253" s="5"/>
      <c r="BV1253" s="317"/>
      <c r="CF1253" s="5"/>
      <c r="CG1253" s="5"/>
      <c r="CH1253" s="5"/>
      <c r="CI1253" s="5"/>
      <c r="CJ1253" s="5"/>
      <c r="CK1253" s="5"/>
      <c r="CL1253" s="5"/>
    </row>
    <row r="1254" spans="1:103" ht="9.65" customHeight="1">
      <c r="A1254" s="374"/>
      <c r="B1254" s="374"/>
      <c r="C1254" s="374"/>
      <c r="D1254" s="372"/>
      <c r="E1254" s="373"/>
      <c r="F1254" s="370"/>
      <c r="G1254" s="215"/>
      <c r="H1254" s="373"/>
      <c r="I1254" s="233"/>
      <c r="J1254" s="233"/>
      <c r="K1254" s="233"/>
      <c r="L1254" s="373"/>
      <c r="M1254" s="374"/>
      <c r="N1254" s="213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BK1254" s="317"/>
      <c r="BL1254" s="5"/>
      <c r="BM1254" s="5"/>
      <c r="BN1254" s="5"/>
      <c r="BO1254" s="5"/>
      <c r="BP1254" s="5"/>
      <c r="BQ1254" s="5"/>
      <c r="BR1254" s="5"/>
      <c r="BS1254" s="5"/>
      <c r="BT1254" s="5"/>
      <c r="BV1254" s="317"/>
      <c r="CF1254" s="5"/>
      <c r="CG1254" s="5"/>
      <c r="CH1254" s="5"/>
      <c r="CI1254" s="5"/>
      <c r="CJ1254" s="5"/>
      <c r="CK1254" s="5"/>
      <c r="CL1254" s="5"/>
    </row>
    <row r="1255" spans="1:103" ht="10.25" customHeight="1">
      <c r="A1255" s="216"/>
      <c r="B1255" s="217"/>
      <c r="C1255" s="218"/>
      <c r="D1255" s="219"/>
      <c r="E1255" s="217"/>
      <c r="F1255" s="217"/>
      <c r="G1255" s="217"/>
      <c r="H1255" s="220"/>
      <c r="I1255" s="217"/>
      <c r="J1255" s="217"/>
      <c r="K1255" s="217"/>
      <c r="L1255" s="217"/>
      <c r="M1255" s="217"/>
      <c r="N1255" s="217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BA1255" s="5"/>
      <c r="BB1255" s="5"/>
      <c r="BC1255" s="5"/>
      <c r="BD1255" s="5"/>
      <c r="BE1255" s="63"/>
      <c r="BF1255" s="63"/>
      <c r="BG1255" s="63"/>
      <c r="BK1255" s="317"/>
      <c r="BL1255" s="5"/>
      <c r="BM1255" s="5"/>
      <c r="BN1255" s="5"/>
      <c r="BO1255" s="5"/>
      <c r="BP1255" s="5"/>
      <c r="BQ1255" s="5"/>
      <c r="BR1255" s="5"/>
      <c r="BS1255" s="5"/>
      <c r="BT1255" s="5"/>
      <c r="BV1255" s="317"/>
      <c r="CF1255" s="5"/>
      <c r="CG1255" s="53"/>
      <c r="CH1255" s="53"/>
      <c r="CI1255" s="53"/>
      <c r="CJ1255" s="53"/>
      <c r="CK1255" s="53"/>
      <c r="CL1255" s="53"/>
      <c r="CN1255" s="53"/>
      <c r="CO1255" s="53"/>
      <c r="CP1255" s="53"/>
      <c r="CQ1255" s="53"/>
      <c r="CR1255" s="53"/>
      <c r="CS1255" s="53"/>
    </row>
    <row r="1256" spans="1:103" ht="10.25" customHeight="1">
      <c r="A1256" s="216"/>
      <c r="B1256" s="217"/>
      <c r="C1256" s="218"/>
      <c r="D1256" s="219"/>
      <c r="E1256" s="217"/>
      <c r="F1256" s="217"/>
      <c r="G1256" s="217"/>
      <c r="H1256" s="220"/>
      <c r="I1256" s="217"/>
      <c r="J1256" s="217"/>
      <c r="K1256" s="217"/>
      <c r="L1256" s="217"/>
      <c r="M1256" s="217"/>
      <c r="N1256" s="217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BA1256" s="5"/>
      <c r="BB1256" s="5"/>
      <c r="BC1256" s="5"/>
      <c r="BD1256" s="5"/>
      <c r="BE1256" s="63"/>
      <c r="BF1256" s="63"/>
      <c r="BG1256" s="63"/>
      <c r="BK1256" s="317"/>
      <c r="BL1256" s="5"/>
      <c r="BM1256" s="5"/>
      <c r="BN1256" s="5"/>
      <c r="BO1256" s="5"/>
      <c r="BP1256" s="5"/>
      <c r="BQ1256" s="5"/>
      <c r="BR1256" s="5"/>
      <c r="BS1256" s="5"/>
      <c r="BT1256" s="5"/>
      <c r="BV1256" s="317"/>
      <c r="CF1256" s="5"/>
      <c r="CG1256" s="53"/>
      <c r="CH1256" s="53"/>
      <c r="CI1256" s="53"/>
      <c r="CJ1256" s="53"/>
      <c r="CK1256" s="53"/>
      <c r="CL1256" s="53"/>
      <c r="CN1256" s="53"/>
      <c r="CO1256" s="53"/>
      <c r="CP1256" s="53"/>
      <c r="CQ1256" s="53"/>
      <c r="CR1256" s="53"/>
      <c r="CS1256" s="53"/>
    </row>
    <row r="1257" spans="1:103" ht="10.25" customHeight="1">
      <c r="A1257" s="216"/>
      <c r="B1257" s="217"/>
      <c r="C1257" s="218"/>
      <c r="D1257" s="219"/>
      <c r="E1257" s="217"/>
      <c r="F1257" s="217"/>
      <c r="G1257" s="217"/>
      <c r="H1257" s="220"/>
      <c r="I1257" s="217"/>
      <c r="J1257" s="217"/>
      <c r="K1257" s="217"/>
      <c r="L1257" s="217"/>
      <c r="M1257" s="217"/>
      <c r="N1257" s="217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BA1257" s="5"/>
      <c r="BB1257" s="5"/>
      <c r="BC1257" s="5"/>
      <c r="BD1257" s="5"/>
      <c r="BE1257" s="63"/>
      <c r="BF1257" s="63"/>
      <c r="BG1257" s="63"/>
      <c r="BK1257" s="317"/>
      <c r="BL1257" s="5"/>
      <c r="BM1257" s="5"/>
      <c r="BN1257" s="5"/>
      <c r="BO1257" s="5"/>
      <c r="BP1257" s="5"/>
      <c r="BQ1257" s="5"/>
      <c r="BR1257" s="5"/>
      <c r="BS1257" s="5"/>
      <c r="BT1257" s="5"/>
      <c r="BV1257" s="317"/>
      <c r="CF1257" s="5"/>
      <c r="CG1257" s="53"/>
      <c r="CH1257" s="53"/>
      <c r="CI1257" s="53"/>
      <c r="CJ1257" s="53"/>
      <c r="CK1257" s="53"/>
      <c r="CL1257" s="53"/>
      <c r="CN1257" s="53"/>
      <c r="CO1257" s="53"/>
      <c r="CP1257" s="53"/>
      <c r="CQ1257" s="53"/>
      <c r="CR1257" s="53"/>
      <c r="CS1257" s="53"/>
    </row>
    <row r="1258" spans="1:103" ht="10.25" customHeight="1">
      <c r="A1258" s="216"/>
      <c r="B1258" s="217"/>
      <c r="C1258" s="218"/>
      <c r="D1258" s="219"/>
      <c r="E1258" s="217"/>
      <c r="F1258" s="217"/>
      <c r="G1258" s="217"/>
      <c r="H1258" s="220"/>
      <c r="I1258" s="217"/>
      <c r="J1258" s="217"/>
      <c r="K1258" s="217"/>
      <c r="L1258" s="217"/>
      <c r="M1258" s="217"/>
      <c r="N1258" s="217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BA1258" s="5"/>
      <c r="BB1258" s="5"/>
      <c r="BC1258" s="5"/>
      <c r="BD1258" s="5"/>
      <c r="BE1258" s="63"/>
      <c r="BF1258" s="63"/>
      <c r="BG1258" s="63"/>
      <c r="BK1258" s="317"/>
      <c r="BL1258" s="5"/>
      <c r="BM1258" s="5"/>
      <c r="BN1258" s="5"/>
      <c r="BO1258" s="5"/>
      <c r="BP1258" s="5"/>
      <c r="BQ1258" s="5"/>
      <c r="BR1258" s="5"/>
      <c r="BS1258" s="5"/>
      <c r="BT1258" s="5"/>
      <c r="BV1258" s="317"/>
      <c r="CF1258" s="5"/>
      <c r="CG1258" s="53"/>
      <c r="CH1258" s="53"/>
      <c r="CI1258" s="53"/>
      <c r="CJ1258" s="53"/>
      <c r="CK1258" s="53"/>
      <c r="CL1258" s="53"/>
      <c r="CN1258" s="53"/>
      <c r="CO1258" s="53"/>
      <c r="CP1258" s="53"/>
      <c r="CQ1258" s="53"/>
      <c r="CR1258" s="53"/>
      <c r="CS1258" s="53"/>
    </row>
    <row r="1259" spans="1:103" ht="10.25" customHeight="1">
      <c r="A1259" s="216"/>
      <c r="B1259" s="217"/>
      <c r="C1259" s="218"/>
      <c r="D1259" s="219"/>
      <c r="E1259" s="217"/>
      <c r="F1259" s="217"/>
      <c r="G1259" s="217"/>
      <c r="H1259" s="220"/>
      <c r="I1259" s="217"/>
      <c r="J1259" s="217"/>
      <c r="K1259" s="217"/>
      <c r="L1259" s="217"/>
      <c r="M1259" s="217"/>
      <c r="N1259" s="217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BA1259" s="5"/>
      <c r="BB1259" s="5"/>
      <c r="BC1259" s="5"/>
      <c r="BD1259" s="5"/>
      <c r="BE1259" s="63"/>
      <c r="BF1259" s="63"/>
      <c r="BG1259" s="63"/>
      <c r="BK1259" s="317"/>
      <c r="BL1259" s="5"/>
      <c r="BM1259" s="5"/>
      <c r="BN1259" s="5"/>
      <c r="BO1259" s="5"/>
      <c r="BP1259" s="5"/>
      <c r="BQ1259" s="5"/>
      <c r="BR1259" s="5"/>
      <c r="BS1259" s="5"/>
      <c r="BT1259" s="5"/>
      <c r="BV1259" s="317"/>
      <c r="CF1259" s="5"/>
      <c r="CG1259" s="53"/>
      <c r="CH1259" s="53"/>
      <c r="CI1259" s="53"/>
      <c r="CJ1259" s="53"/>
      <c r="CK1259" s="53"/>
      <c r="CL1259" s="53"/>
      <c r="CN1259" s="53"/>
      <c r="CO1259" s="53"/>
      <c r="CP1259" s="53"/>
      <c r="CQ1259" s="53"/>
      <c r="CR1259" s="53"/>
      <c r="CS1259" s="53"/>
    </row>
    <row r="1260" spans="1:103" ht="10.25" customHeight="1">
      <c r="A1260" s="216"/>
      <c r="B1260" s="217"/>
      <c r="C1260" s="218"/>
      <c r="D1260" s="219"/>
      <c r="E1260" s="217"/>
      <c r="F1260" s="217"/>
      <c r="G1260" s="217"/>
      <c r="H1260" s="220"/>
      <c r="I1260" s="217"/>
      <c r="J1260" s="217"/>
      <c r="K1260" s="217"/>
      <c r="L1260" s="217"/>
      <c r="M1260" s="217"/>
      <c r="N1260" s="217"/>
      <c r="O1260" s="44"/>
      <c r="P1260" s="44"/>
      <c r="Q1260" s="44"/>
      <c r="R1260" s="44"/>
      <c r="S1260" s="44"/>
      <c r="T1260" s="44"/>
      <c r="U1260" s="44"/>
      <c r="V1260" s="44"/>
      <c r="W1260" s="44"/>
      <c r="X1260" s="44"/>
      <c r="Y1260" s="44"/>
      <c r="Z1260" s="44"/>
      <c r="AA1260" s="44"/>
      <c r="AB1260" s="44"/>
      <c r="AC1260" s="44"/>
      <c r="AD1260" s="44"/>
      <c r="AE1260" s="44"/>
      <c r="AF1260" s="44"/>
      <c r="AG1260" s="44"/>
      <c r="AH1260" s="44"/>
      <c r="AI1260" s="44"/>
      <c r="AJ1260" s="44"/>
      <c r="AK1260" s="44"/>
      <c r="AL1260" s="44"/>
      <c r="AM1260" s="44"/>
      <c r="AN1260" s="44"/>
      <c r="AO1260" s="44"/>
      <c r="AP1260" s="44"/>
      <c r="AQ1260" s="44"/>
      <c r="BA1260" s="5"/>
      <c r="BB1260" s="5"/>
      <c r="BC1260" s="5"/>
      <c r="BD1260" s="5"/>
      <c r="BE1260" s="63"/>
      <c r="BF1260" s="63"/>
      <c r="BG1260" s="63"/>
      <c r="BK1260" s="317"/>
      <c r="BL1260" s="5"/>
      <c r="BM1260" s="5"/>
      <c r="BN1260" s="5"/>
      <c r="BO1260" s="5"/>
      <c r="BP1260" s="5"/>
      <c r="BQ1260" s="5"/>
      <c r="BR1260" s="5"/>
      <c r="BS1260" s="5"/>
      <c r="BT1260" s="5"/>
      <c r="BV1260" s="317"/>
      <c r="CF1260" s="5"/>
      <c r="CG1260" s="53"/>
      <c r="CH1260" s="53"/>
      <c r="CI1260" s="53"/>
      <c r="CJ1260" s="53"/>
      <c r="CK1260" s="53"/>
      <c r="CL1260" s="53"/>
      <c r="CN1260" s="53"/>
      <c r="CO1260" s="53"/>
      <c r="CP1260" s="53"/>
      <c r="CQ1260" s="53"/>
      <c r="CR1260" s="53"/>
      <c r="CS1260" s="53"/>
    </row>
    <row r="1261" spans="1:103" ht="10.25" customHeight="1">
      <c r="A1261" s="216"/>
      <c r="B1261" s="217"/>
      <c r="C1261" s="218"/>
      <c r="D1261" s="219"/>
      <c r="E1261" s="217"/>
      <c r="F1261" s="217"/>
      <c r="G1261" s="217"/>
      <c r="H1261" s="220"/>
      <c r="I1261" s="217"/>
      <c r="J1261" s="217"/>
      <c r="K1261" s="217"/>
      <c r="L1261" s="217"/>
      <c r="M1261" s="217"/>
      <c r="N1261" s="217"/>
      <c r="O1261" s="44"/>
      <c r="P1261" s="44"/>
      <c r="Q1261" s="44"/>
      <c r="R1261" s="44"/>
      <c r="S1261" s="44"/>
      <c r="T1261" s="44"/>
      <c r="U1261" s="44"/>
      <c r="V1261" s="44"/>
      <c r="W1261" s="44"/>
      <c r="X1261" s="44"/>
      <c r="Y1261" s="44"/>
      <c r="Z1261" s="44"/>
      <c r="AA1261" s="44"/>
      <c r="AB1261" s="44"/>
      <c r="AC1261" s="44"/>
      <c r="AD1261" s="44"/>
      <c r="AE1261" s="44"/>
      <c r="AF1261" s="44"/>
      <c r="AG1261" s="44"/>
      <c r="AH1261" s="44"/>
      <c r="AI1261" s="44"/>
      <c r="AJ1261" s="44"/>
      <c r="AK1261" s="44"/>
      <c r="AL1261" s="44"/>
      <c r="AM1261" s="44"/>
      <c r="AN1261" s="44"/>
      <c r="AO1261" s="44"/>
      <c r="AP1261" s="44"/>
      <c r="AQ1261" s="44"/>
      <c r="BA1261" s="5"/>
      <c r="BB1261" s="5"/>
      <c r="BC1261" s="5"/>
      <c r="BD1261" s="5"/>
      <c r="BE1261" s="63"/>
      <c r="BF1261" s="63"/>
      <c r="BG1261" s="63"/>
      <c r="BK1261" s="317"/>
      <c r="BL1261" s="5"/>
      <c r="BM1261" s="5"/>
      <c r="BN1261" s="5"/>
      <c r="BO1261" s="5"/>
      <c r="BP1261" s="5"/>
      <c r="BQ1261" s="5"/>
      <c r="BR1261" s="5"/>
      <c r="BS1261" s="5"/>
      <c r="BT1261" s="5"/>
      <c r="BV1261" s="317"/>
      <c r="CF1261" s="5"/>
      <c r="CG1261" s="53"/>
      <c r="CH1261" s="53"/>
      <c r="CI1261" s="53"/>
      <c r="CJ1261" s="53"/>
      <c r="CK1261" s="53"/>
      <c r="CL1261" s="53"/>
      <c r="CN1261" s="53"/>
      <c r="CO1261" s="53"/>
      <c r="CP1261" s="53"/>
      <c r="CQ1261" s="53"/>
      <c r="CR1261" s="53"/>
      <c r="CS1261" s="53"/>
    </row>
    <row r="1262" spans="1:103" ht="10.25" customHeight="1">
      <c r="A1262" s="216"/>
      <c r="B1262" s="217"/>
      <c r="C1262" s="218"/>
      <c r="D1262" s="219"/>
      <c r="E1262" s="217"/>
      <c r="F1262" s="217"/>
      <c r="G1262" s="217"/>
      <c r="H1262" s="220"/>
      <c r="I1262" s="217"/>
      <c r="J1262" s="217"/>
      <c r="K1262" s="217"/>
      <c r="L1262" s="217"/>
      <c r="M1262" s="217"/>
      <c r="N1262" s="217"/>
      <c r="O1262" s="44"/>
      <c r="P1262" s="44"/>
      <c r="Q1262" s="44"/>
      <c r="R1262" s="44"/>
      <c r="S1262" s="44"/>
      <c r="T1262" s="44"/>
      <c r="U1262" s="44"/>
      <c r="V1262" s="44"/>
      <c r="W1262" s="44"/>
      <c r="X1262" s="44"/>
      <c r="Y1262" s="44"/>
      <c r="Z1262" s="44"/>
      <c r="AA1262" s="44"/>
      <c r="AB1262" s="44"/>
      <c r="AC1262" s="44"/>
      <c r="AD1262" s="44"/>
      <c r="AE1262" s="44"/>
      <c r="AF1262" s="44"/>
      <c r="AG1262" s="44"/>
      <c r="AH1262" s="44"/>
      <c r="AI1262" s="44"/>
      <c r="AJ1262" s="44"/>
      <c r="AK1262" s="44"/>
      <c r="AL1262" s="44"/>
      <c r="AM1262" s="44"/>
      <c r="AN1262" s="44"/>
      <c r="AO1262" s="44"/>
      <c r="AP1262" s="44"/>
      <c r="AQ1262" s="44"/>
      <c r="AW1262" s="63"/>
      <c r="AX1262" s="63"/>
      <c r="AY1262" s="63"/>
      <c r="AZ1262" s="63"/>
      <c r="BA1262" s="5"/>
      <c r="BB1262" s="5"/>
      <c r="BC1262" s="5"/>
      <c r="BD1262" s="5"/>
      <c r="BE1262" s="63"/>
      <c r="BF1262" s="63"/>
      <c r="BG1262" s="63"/>
      <c r="BV1262" s="317"/>
      <c r="CF1262" s="5"/>
      <c r="CG1262" s="53"/>
      <c r="CH1262" s="53"/>
      <c r="CI1262" s="53"/>
      <c r="CJ1262" s="53"/>
      <c r="CK1262" s="53"/>
      <c r="CL1262" s="53"/>
      <c r="CN1262" s="53"/>
      <c r="CO1262" s="53"/>
      <c r="CP1262" s="53"/>
      <c r="CQ1262" s="53"/>
      <c r="CR1262" s="53"/>
      <c r="CS1262" s="53"/>
    </row>
    <row r="1263" spans="1:103" ht="10.25" customHeight="1">
      <c r="A1263" s="216"/>
      <c r="B1263" s="217"/>
      <c r="C1263" s="218"/>
      <c r="D1263" s="219"/>
      <c r="E1263" s="217"/>
      <c r="F1263" s="217"/>
      <c r="G1263" s="217"/>
      <c r="H1263" s="220"/>
      <c r="I1263" s="217"/>
      <c r="J1263" s="217"/>
      <c r="K1263" s="217"/>
      <c r="L1263" s="217"/>
      <c r="M1263" s="217"/>
      <c r="N1263" s="217"/>
      <c r="O1263" s="44"/>
      <c r="P1263" s="44"/>
      <c r="Q1263" s="44"/>
      <c r="R1263" s="44"/>
      <c r="S1263" s="44"/>
      <c r="T1263" s="44"/>
      <c r="U1263" s="44"/>
      <c r="V1263" s="44"/>
      <c r="W1263" s="44"/>
      <c r="X1263" s="44"/>
      <c r="Y1263" s="44"/>
      <c r="Z1263" s="44"/>
      <c r="AA1263" s="44"/>
      <c r="AB1263" s="44"/>
      <c r="AC1263" s="44"/>
      <c r="AD1263" s="44"/>
      <c r="AE1263" s="44"/>
      <c r="AF1263" s="44"/>
      <c r="AG1263" s="44"/>
      <c r="AH1263" s="44"/>
      <c r="AI1263" s="44"/>
      <c r="AJ1263" s="44"/>
      <c r="AK1263" s="44"/>
      <c r="AL1263" s="44"/>
      <c r="AM1263" s="44"/>
      <c r="AN1263" s="44"/>
      <c r="AO1263" s="44"/>
      <c r="AP1263" s="44"/>
      <c r="AQ1263" s="44"/>
      <c r="AW1263" s="63"/>
      <c r="AX1263" s="63"/>
      <c r="AY1263" s="63"/>
      <c r="AZ1263" s="63"/>
      <c r="BA1263" s="5"/>
      <c r="BB1263" s="5"/>
      <c r="BC1263" s="5"/>
      <c r="BD1263" s="5"/>
      <c r="BE1263" s="63"/>
      <c r="BF1263" s="63"/>
      <c r="BG1263" s="63"/>
      <c r="BV1263" s="317"/>
      <c r="CF1263" s="5"/>
      <c r="CG1263" s="53"/>
      <c r="CH1263" s="53"/>
      <c r="CI1263" s="53"/>
      <c r="CJ1263" s="53"/>
      <c r="CK1263" s="53"/>
      <c r="CL1263" s="53"/>
      <c r="CN1263" s="53"/>
      <c r="CO1263" s="53"/>
      <c r="CP1263" s="53"/>
      <c r="CQ1263" s="53"/>
      <c r="CR1263" s="53"/>
      <c r="CS1263" s="53"/>
    </row>
    <row r="1264" spans="1:103" ht="10.25" customHeight="1">
      <c r="A1264" s="216"/>
      <c r="B1264" s="217"/>
      <c r="C1264" s="218"/>
      <c r="D1264" s="219"/>
      <c r="E1264" s="217"/>
      <c r="F1264" s="217"/>
      <c r="G1264" s="217"/>
      <c r="H1264" s="220"/>
      <c r="I1264" s="217"/>
      <c r="J1264" s="217"/>
      <c r="K1264" s="217"/>
      <c r="L1264" s="217"/>
      <c r="M1264" s="217"/>
      <c r="N1264" s="217"/>
      <c r="O1264" s="44"/>
      <c r="P1264" s="44"/>
      <c r="Q1264" s="44"/>
      <c r="R1264" s="44"/>
      <c r="S1264" s="44"/>
      <c r="T1264" s="44"/>
      <c r="U1264" s="44"/>
      <c r="V1264" s="44"/>
      <c r="W1264" s="44"/>
      <c r="X1264" s="44"/>
      <c r="Y1264" s="44"/>
      <c r="Z1264" s="44"/>
      <c r="AA1264" s="44"/>
      <c r="AB1264" s="44"/>
      <c r="AC1264" s="44"/>
      <c r="AD1264" s="44"/>
      <c r="AE1264" s="44"/>
      <c r="AF1264" s="44"/>
      <c r="AG1264" s="44"/>
      <c r="AH1264" s="44"/>
      <c r="AI1264" s="44"/>
      <c r="AJ1264" s="44"/>
      <c r="AK1264" s="44"/>
      <c r="AL1264" s="44"/>
      <c r="AM1264" s="44"/>
      <c r="AN1264" s="44"/>
      <c r="AO1264" s="44"/>
      <c r="AP1264" s="44"/>
      <c r="AQ1264" s="44"/>
      <c r="AW1264" s="63"/>
      <c r="AX1264" s="63"/>
      <c r="AY1264" s="63"/>
      <c r="AZ1264" s="63"/>
      <c r="BA1264" s="5"/>
      <c r="BB1264" s="5"/>
      <c r="BC1264" s="5"/>
      <c r="BD1264" s="5"/>
      <c r="BE1264" s="63"/>
      <c r="BF1264" s="63"/>
      <c r="BG1264" s="63"/>
      <c r="BV1264" s="317"/>
      <c r="CF1264" s="5"/>
      <c r="CG1264" s="53"/>
      <c r="CH1264" s="53"/>
      <c r="CI1264" s="53"/>
      <c r="CJ1264" s="53"/>
      <c r="CK1264" s="53"/>
      <c r="CL1264" s="53"/>
      <c r="CN1264" s="53"/>
      <c r="CO1264" s="53"/>
      <c r="CP1264" s="53"/>
      <c r="CQ1264" s="53"/>
      <c r="CR1264" s="53"/>
      <c r="CS1264" s="53"/>
      <c r="CT1264" s="5"/>
      <c r="CU1264" s="5"/>
      <c r="CV1264" s="5"/>
      <c r="CW1264" s="5"/>
      <c r="CX1264" s="5"/>
      <c r="CY1264" s="5"/>
    </row>
    <row r="1265" spans="1:103" ht="10.25" customHeight="1">
      <c r="A1265" s="216"/>
      <c r="B1265" s="217"/>
      <c r="C1265" s="218"/>
      <c r="D1265" s="219"/>
      <c r="E1265" s="217"/>
      <c r="F1265" s="217"/>
      <c r="G1265" s="217"/>
      <c r="H1265" s="220"/>
      <c r="I1265" s="217"/>
      <c r="J1265" s="217"/>
      <c r="K1265" s="217"/>
      <c r="L1265" s="217"/>
      <c r="M1265" s="217"/>
      <c r="N1265" s="217"/>
      <c r="O1265" s="44"/>
      <c r="P1265" s="44"/>
      <c r="Q1265" s="44"/>
      <c r="R1265" s="44"/>
      <c r="S1265" s="44"/>
      <c r="T1265" s="44"/>
      <c r="U1265" s="44"/>
      <c r="V1265" s="44"/>
      <c r="W1265" s="44"/>
      <c r="X1265" s="44"/>
      <c r="Y1265" s="44"/>
      <c r="Z1265" s="44"/>
      <c r="AA1265" s="44"/>
      <c r="AB1265" s="44"/>
      <c r="AC1265" s="44"/>
      <c r="AD1265" s="44"/>
      <c r="AE1265" s="44"/>
      <c r="AF1265" s="44"/>
      <c r="AG1265" s="44"/>
      <c r="AH1265" s="44"/>
      <c r="AI1265" s="44"/>
      <c r="AJ1265" s="44"/>
      <c r="AK1265" s="44"/>
      <c r="AL1265" s="44"/>
      <c r="AM1265" s="44"/>
      <c r="AN1265" s="44"/>
      <c r="AO1265" s="44"/>
      <c r="AP1265" s="44"/>
      <c r="AQ1265" s="44"/>
      <c r="AW1265" s="63"/>
      <c r="AX1265" s="63"/>
      <c r="AY1265" s="63"/>
      <c r="AZ1265" s="63"/>
      <c r="BA1265" s="5"/>
      <c r="BB1265" s="5"/>
      <c r="BC1265" s="5"/>
      <c r="BD1265" s="5"/>
      <c r="BE1265" s="63"/>
      <c r="BF1265" s="63"/>
      <c r="BG1265" s="63"/>
      <c r="BV1265" s="317"/>
      <c r="CF1265" s="5"/>
      <c r="CG1265" s="53"/>
      <c r="CH1265" s="53"/>
      <c r="CI1265" s="53"/>
      <c r="CJ1265" s="53"/>
      <c r="CK1265" s="53"/>
      <c r="CL1265" s="53"/>
      <c r="CN1265" s="53"/>
      <c r="CO1265" s="53"/>
      <c r="CP1265" s="53"/>
      <c r="CQ1265" s="53"/>
      <c r="CR1265" s="53"/>
      <c r="CS1265" s="53"/>
      <c r="CT1265" s="5"/>
      <c r="CU1265" s="5"/>
      <c r="CV1265" s="5"/>
      <c r="CW1265" s="5"/>
      <c r="CX1265" s="5"/>
      <c r="CY1265" s="5"/>
    </row>
    <row r="1266" spans="1:103" ht="10.25" customHeight="1">
      <c r="A1266" s="216"/>
      <c r="B1266" s="217"/>
      <c r="C1266" s="218"/>
      <c r="D1266" s="219"/>
      <c r="E1266" s="217"/>
      <c r="F1266" s="217"/>
      <c r="G1266" s="217"/>
      <c r="H1266" s="220"/>
      <c r="I1266" s="217"/>
      <c r="J1266" s="217"/>
      <c r="K1266" s="217"/>
      <c r="L1266" s="217"/>
      <c r="M1266" s="217"/>
      <c r="N1266" s="217"/>
      <c r="O1266" s="44"/>
      <c r="P1266" s="44"/>
      <c r="Q1266" s="44"/>
      <c r="R1266" s="44"/>
      <c r="S1266" s="44"/>
      <c r="T1266" s="44"/>
      <c r="U1266" s="44"/>
      <c r="V1266" s="44"/>
      <c r="W1266" s="44"/>
      <c r="X1266" s="44"/>
      <c r="Y1266" s="44"/>
      <c r="Z1266" s="44"/>
      <c r="AA1266" s="44"/>
      <c r="AB1266" s="44"/>
      <c r="AC1266" s="44"/>
      <c r="AD1266" s="44"/>
      <c r="AE1266" s="44"/>
      <c r="AF1266" s="44"/>
      <c r="AG1266" s="44"/>
      <c r="AH1266" s="44"/>
      <c r="AI1266" s="44"/>
      <c r="AJ1266" s="44"/>
      <c r="AK1266" s="44"/>
      <c r="AL1266" s="44"/>
      <c r="AM1266" s="44"/>
      <c r="AN1266" s="44"/>
      <c r="AO1266" s="44"/>
      <c r="AP1266" s="44"/>
      <c r="AQ1266" s="44"/>
      <c r="AW1266" s="63"/>
      <c r="AX1266" s="63"/>
      <c r="AY1266" s="63"/>
      <c r="AZ1266" s="63"/>
      <c r="BA1266" s="5"/>
      <c r="BB1266" s="5"/>
      <c r="BC1266" s="5"/>
      <c r="BD1266" s="5"/>
      <c r="BE1266" s="63"/>
      <c r="BF1266" s="63"/>
      <c r="BG1266" s="63"/>
      <c r="BV1266" s="317"/>
      <c r="CF1266" s="5"/>
      <c r="CG1266" s="53"/>
      <c r="CH1266" s="53"/>
      <c r="CI1266" s="53"/>
      <c r="CJ1266" s="53"/>
      <c r="CK1266" s="53"/>
      <c r="CL1266" s="53"/>
      <c r="CN1266" s="53"/>
      <c r="CO1266" s="53"/>
      <c r="CP1266" s="53"/>
      <c r="CQ1266" s="53"/>
      <c r="CR1266" s="53"/>
      <c r="CS1266" s="53"/>
      <c r="CT1266" s="5"/>
      <c r="CU1266" s="5"/>
      <c r="CV1266" s="5"/>
      <c r="CW1266" s="5"/>
      <c r="CX1266" s="5"/>
      <c r="CY1266" s="5"/>
    </row>
    <row r="1267" spans="1:103" ht="10.25" customHeight="1">
      <c r="A1267" s="216"/>
      <c r="B1267" s="217"/>
      <c r="C1267" s="218"/>
      <c r="D1267" s="219"/>
      <c r="E1267" s="217"/>
      <c r="F1267" s="217"/>
      <c r="G1267" s="217"/>
      <c r="H1267" s="220"/>
      <c r="I1267" s="217"/>
      <c r="J1267" s="217"/>
      <c r="K1267" s="217"/>
      <c r="L1267" s="217"/>
      <c r="M1267" s="217"/>
      <c r="N1267" s="217"/>
      <c r="O1267" s="44"/>
      <c r="P1267" s="44"/>
      <c r="Q1267" s="44"/>
      <c r="R1267" s="44"/>
      <c r="S1267" s="44"/>
      <c r="T1267" s="44"/>
      <c r="U1267" s="44"/>
      <c r="V1267" s="44"/>
      <c r="W1267" s="44"/>
      <c r="X1267" s="44"/>
      <c r="Y1267" s="44"/>
      <c r="Z1267" s="44"/>
      <c r="AA1267" s="44"/>
      <c r="AB1267" s="44"/>
      <c r="AC1267" s="44"/>
      <c r="AD1267" s="44"/>
      <c r="AE1267" s="44"/>
      <c r="AF1267" s="44"/>
      <c r="AG1267" s="44"/>
      <c r="AH1267" s="44"/>
      <c r="AI1267" s="44"/>
      <c r="AJ1267" s="44"/>
      <c r="AK1267" s="44"/>
      <c r="AL1267" s="44"/>
      <c r="AM1267" s="44"/>
      <c r="AN1267" s="44"/>
      <c r="AO1267" s="44"/>
      <c r="AP1267" s="44"/>
      <c r="AQ1267" s="44"/>
      <c r="BA1267" s="5"/>
      <c r="BB1267" s="5"/>
      <c r="BC1267" s="5"/>
      <c r="BD1267" s="5"/>
      <c r="BE1267" s="63"/>
      <c r="BF1267" s="63"/>
      <c r="BG1267" s="63"/>
      <c r="BV1267" s="317"/>
      <c r="CF1267" s="5"/>
      <c r="CG1267" s="53"/>
      <c r="CH1267" s="53"/>
      <c r="CI1267" s="53"/>
      <c r="CJ1267" s="53"/>
      <c r="CK1267" s="53"/>
      <c r="CL1267" s="53"/>
      <c r="CN1267" s="53"/>
      <c r="CO1267" s="53"/>
      <c r="CP1267" s="53"/>
      <c r="CQ1267" s="53"/>
      <c r="CR1267" s="53"/>
      <c r="CS1267" s="53"/>
      <c r="CT1267" s="5"/>
      <c r="CU1267" s="5"/>
      <c r="CV1267" s="5"/>
      <c r="CW1267" s="5"/>
      <c r="CX1267" s="5"/>
      <c r="CY1267" s="5"/>
    </row>
    <row r="1268" spans="1:103" ht="10.25" customHeight="1">
      <c r="A1268" s="216"/>
      <c r="B1268" s="217"/>
      <c r="C1268" s="218"/>
      <c r="D1268" s="219"/>
      <c r="E1268" s="217"/>
      <c r="F1268" s="217"/>
      <c r="G1268" s="217"/>
      <c r="H1268" s="220"/>
      <c r="I1268" s="217"/>
      <c r="J1268" s="217"/>
      <c r="K1268" s="217"/>
      <c r="L1268" s="217"/>
      <c r="M1268" s="217"/>
      <c r="N1268" s="217"/>
      <c r="O1268" s="44"/>
      <c r="P1268" s="44"/>
      <c r="Q1268" s="44"/>
      <c r="R1268" s="44"/>
      <c r="S1268" s="44"/>
      <c r="T1268" s="44"/>
      <c r="U1268" s="44"/>
      <c r="V1268" s="44"/>
      <c r="W1268" s="44"/>
      <c r="X1268" s="44"/>
      <c r="Y1268" s="44"/>
      <c r="Z1268" s="44"/>
      <c r="AA1268" s="44"/>
      <c r="AB1268" s="44"/>
      <c r="AC1268" s="44"/>
      <c r="AD1268" s="44"/>
      <c r="AE1268" s="44"/>
      <c r="AF1268" s="44"/>
      <c r="AG1268" s="44"/>
      <c r="AH1268" s="44"/>
      <c r="AI1268" s="44"/>
      <c r="AJ1268" s="44"/>
      <c r="AK1268" s="44"/>
      <c r="AL1268" s="44"/>
      <c r="AM1268" s="44"/>
      <c r="AN1268" s="44"/>
      <c r="AO1268" s="44"/>
      <c r="AP1268" s="44"/>
      <c r="AQ1268" s="44"/>
      <c r="BA1268" s="5"/>
      <c r="BB1268" s="5"/>
      <c r="BC1268" s="5"/>
      <c r="BD1268" s="5"/>
      <c r="BE1268" s="63"/>
      <c r="BF1268" s="63"/>
      <c r="BG1268" s="63"/>
      <c r="BV1268" s="317"/>
      <c r="CF1268" s="5"/>
      <c r="CG1268" s="53"/>
      <c r="CH1268" s="53"/>
      <c r="CI1268" s="53"/>
      <c r="CJ1268" s="53"/>
      <c r="CK1268" s="53"/>
      <c r="CL1268" s="53"/>
      <c r="CN1268" s="53"/>
      <c r="CO1268" s="53"/>
      <c r="CP1268" s="53"/>
      <c r="CQ1268" s="53"/>
      <c r="CR1268" s="53"/>
      <c r="CS1268" s="53"/>
      <c r="CT1268" s="5"/>
      <c r="CU1268" s="5"/>
      <c r="CV1268" s="5"/>
      <c r="CW1268" s="5"/>
      <c r="CX1268" s="5"/>
      <c r="CY1268" s="5"/>
    </row>
    <row r="1269" spans="1:103" ht="10.25" customHeight="1">
      <c r="A1269" s="216"/>
      <c r="B1269" s="217"/>
      <c r="C1269" s="218"/>
      <c r="D1269" s="219"/>
      <c r="E1269" s="217"/>
      <c r="F1269" s="217"/>
      <c r="G1269" s="217"/>
      <c r="H1269" s="220"/>
      <c r="I1269" s="217"/>
      <c r="J1269" s="217"/>
      <c r="K1269" s="217"/>
      <c r="L1269" s="217"/>
      <c r="M1269" s="217"/>
      <c r="N1269" s="217"/>
      <c r="O1269" s="44"/>
      <c r="P1269" s="44"/>
      <c r="Q1269" s="44"/>
      <c r="R1269" s="44"/>
      <c r="S1269" s="44"/>
      <c r="T1269" s="44"/>
      <c r="U1269" s="44"/>
      <c r="V1269" s="44"/>
      <c r="W1269" s="44"/>
      <c r="X1269" s="44"/>
      <c r="Y1269" s="44"/>
      <c r="Z1269" s="44"/>
      <c r="AA1269" s="44"/>
      <c r="AB1269" s="44"/>
      <c r="AC1269" s="44"/>
      <c r="AD1269" s="44"/>
      <c r="AE1269" s="44"/>
      <c r="AF1269" s="44"/>
      <c r="AG1269" s="44"/>
      <c r="AH1269" s="44"/>
      <c r="AI1269" s="44"/>
      <c r="AJ1269" s="44"/>
      <c r="AK1269" s="44"/>
      <c r="AL1269" s="44"/>
      <c r="AM1269" s="44"/>
      <c r="AN1269" s="44"/>
      <c r="AO1269" s="44"/>
      <c r="AP1269" s="44"/>
      <c r="AQ1269" s="44"/>
      <c r="BA1269" s="5"/>
      <c r="BB1269" s="5"/>
      <c r="BC1269" s="5"/>
      <c r="BD1269" s="5"/>
      <c r="BE1269" s="63"/>
      <c r="BF1269" s="63"/>
      <c r="BG1269" s="63"/>
      <c r="CA1269" s="317"/>
      <c r="CF1269" s="5"/>
      <c r="CG1269" s="53"/>
      <c r="CH1269" s="53"/>
      <c r="CI1269" s="53"/>
      <c r="CJ1269" s="53"/>
      <c r="CK1269" s="53"/>
      <c r="CL1269" s="53"/>
      <c r="CN1269" s="53"/>
      <c r="CO1269" s="53"/>
      <c r="CP1269" s="53"/>
      <c r="CQ1269" s="53"/>
      <c r="CR1269" s="53"/>
      <c r="CS1269" s="53"/>
      <c r="CT1269" s="5"/>
      <c r="CU1269" s="5"/>
      <c r="CV1269" s="5"/>
      <c r="CW1269" s="5"/>
      <c r="CX1269" s="5"/>
      <c r="CY1269" s="5"/>
    </row>
    <row r="1270" spans="1:103" ht="10.25" customHeight="1">
      <c r="A1270" s="216"/>
      <c r="B1270" s="217"/>
      <c r="C1270" s="218"/>
      <c r="D1270" s="219"/>
      <c r="E1270" s="217"/>
      <c r="F1270" s="217"/>
      <c r="G1270" s="217"/>
      <c r="H1270" s="220"/>
      <c r="I1270" s="217"/>
      <c r="J1270" s="217"/>
      <c r="K1270" s="217"/>
      <c r="L1270" s="217"/>
      <c r="M1270" s="217"/>
      <c r="N1270" s="217"/>
      <c r="O1270" s="44"/>
      <c r="P1270" s="44"/>
      <c r="Q1270" s="44"/>
      <c r="R1270" s="44"/>
      <c r="S1270" s="44"/>
      <c r="T1270" s="44"/>
      <c r="U1270" s="44"/>
      <c r="V1270" s="44"/>
      <c r="W1270" s="44"/>
      <c r="X1270" s="44"/>
      <c r="Y1270" s="44"/>
      <c r="Z1270" s="44"/>
      <c r="AA1270" s="44"/>
      <c r="AB1270" s="44"/>
      <c r="AC1270" s="44"/>
      <c r="AD1270" s="44"/>
      <c r="AE1270" s="44"/>
      <c r="AF1270" s="44"/>
      <c r="AG1270" s="44"/>
      <c r="AH1270" s="44"/>
      <c r="AI1270" s="44"/>
      <c r="AJ1270" s="44"/>
      <c r="AK1270" s="44"/>
      <c r="AL1270" s="44"/>
      <c r="AM1270" s="44"/>
      <c r="AN1270" s="44"/>
      <c r="AO1270" s="44"/>
      <c r="AP1270" s="44"/>
      <c r="AQ1270" s="44"/>
      <c r="BA1270" s="5"/>
      <c r="BB1270" s="5"/>
      <c r="BC1270" s="5"/>
      <c r="BD1270" s="5"/>
      <c r="BE1270" s="63"/>
      <c r="BF1270" s="63"/>
      <c r="BG1270" s="63"/>
      <c r="CA1270" s="317"/>
      <c r="CF1270" s="5"/>
      <c r="CG1270" s="53"/>
      <c r="CH1270" s="53"/>
      <c r="CI1270" s="53"/>
      <c r="CJ1270" s="53"/>
      <c r="CK1270" s="53"/>
      <c r="CL1270" s="53"/>
      <c r="CN1270" s="53"/>
      <c r="CO1270" s="53"/>
      <c r="CP1270" s="53"/>
      <c r="CQ1270" s="53"/>
      <c r="CR1270" s="53"/>
      <c r="CS1270" s="53"/>
      <c r="CT1270" s="5"/>
      <c r="CU1270" s="5"/>
      <c r="CV1270" s="5"/>
      <c r="CW1270" s="5"/>
      <c r="CX1270" s="5"/>
      <c r="CY1270" s="5"/>
    </row>
    <row r="1271" spans="1:103" ht="10.25" customHeight="1">
      <c r="A1271" s="216"/>
      <c r="B1271" s="217"/>
      <c r="C1271" s="218"/>
      <c r="D1271" s="219"/>
      <c r="E1271" s="217"/>
      <c r="F1271" s="217"/>
      <c r="G1271" s="217"/>
      <c r="H1271" s="220"/>
      <c r="I1271" s="217"/>
      <c r="J1271" s="217"/>
      <c r="K1271" s="217"/>
      <c r="L1271" s="217"/>
      <c r="M1271" s="217"/>
      <c r="N1271" s="217"/>
      <c r="O1271" s="44"/>
      <c r="P1271" s="44"/>
      <c r="Q1271" s="44"/>
      <c r="R1271" s="44"/>
      <c r="S1271" s="44"/>
      <c r="T1271" s="44"/>
      <c r="U1271" s="44"/>
      <c r="V1271" s="44"/>
      <c r="W1271" s="44"/>
      <c r="X1271" s="44"/>
      <c r="Y1271" s="44"/>
      <c r="Z1271" s="44"/>
      <c r="AA1271" s="44"/>
      <c r="AB1271" s="44"/>
      <c r="AC1271" s="44"/>
      <c r="AD1271" s="44"/>
      <c r="AE1271" s="44"/>
      <c r="AF1271" s="44"/>
      <c r="AG1271" s="44"/>
      <c r="AH1271" s="44"/>
      <c r="AI1271" s="44"/>
      <c r="AJ1271" s="44"/>
      <c r="AK1271" s="44"/>
      <c r="AL1271" s="44"/>
      <c r="AM1271" s="44"/>
      <c r="AN1271" s="44"/>
      <c r="AO1271" s="44"/>
      <c r="AP1271" s="44"/>
      <c r="AQ1271" s="44"/>
      <c r="BA1271" s="5"/>
      <c r="BB1271" s="5"/>
      <c r="BC1271" s="5"/>
      <c r="BD1271" s="5"/>
      <c r="BE1271" s="63"/>
      <c r="BF1271" s="63"/>
      <c r="BG1271" s="63"/>
      <c r="CA1271" s="317"/>
      <c r="CF1271" s="5"/>
      <c r="CG1271" s="53"/>
      <c r="CH1271" s="53"/>
      <c r="CI1271" s="53"/>
      <c r="CJ1271" s="53"/>
      <c r="CK1271" s="53"/>
      <c r="CL1271" s="53"/>
      <c r="CN1271" s="53"/>
      <c r="CO1271" s="53"/>
      <c r="CP1271" s="53"/>
      <c r="CQ1271" s="53"/>
      <c r="CR1271" s="53"/>
      <c r="CS1271" s="53"/>
      <c r="CT1271" s="5"/>
      <c r="CU1271" s="5"/>
      <c r="CV1271" s="5"/>
      <c r="CW1271" s="5"/>
      <c r="CX1271" s="5"/>
      <c r="CY1271" s="5"/>
    </row>
    <row r="1272" spans="1:103" ht="10.25" customHeight="1">
      <c r="A1272" s="216"/>
      <c r="B1272" s="217"/>
      <c r="C1272" s="218"/>
      <c r="D1272" s="219"/>
      <c r="E1272" s="217"/>
      <c r="F1272" s="217"/>
      <c r="G1272" s="217"/>
      <c r="H1272" s="220"/>
      <c r="I1272" s="217"/>
      <c r="J1272" s="217"/>
      <c r="K1272" s="217"/>
      <c r="L1272" s="217"/>
      <c r="M1272" s="217"/>
      <c r="N1272" s="217"/>
      <c r="O1272" s="44"/>
      <c r="P1272" s="44"/>
      <c r="Q1272" s="44"/>
      <c r="R1272" s="44"/>
      <c r="S1272" s="44"/>
      <c r="T1272" s="44"/>
      <c r="U1272" s="44"/>
      <c r="V1272" s="44"/>
      <c r="W1272" s="44"/>
      <c r="X1272" s="44"/>
      <c r="Y1272" s="44"/>
      <c r="Z1272" s="44"/>
      <c r="AA1272" s="44"/>
      <c r="AB1272" s="44"/>
      <c r="AC1272" s="44"/>
      <c r="AD1272" s="44"/>
      <c r="AE1272" s="44"/>
      <c r="AF1272" s="44"/>
      <c r="AG1272" s="44"/>
      <c r="AH1272" s="44"/>
      <c r="AI1272" s="44"/>
      <c r="AJ1272" s="44"/>
      <c r="AK1272" s="44"/>
      <c r="AL1272" s="44"/>
      <c r="AM1272" s="44"/>
      <c r="AN1272" s="44"/>
      <c r="AO1272" s="44"/>
      <c r="AP1272" s="44"/>
      <c r="AQ1272" s="44"/>
      <c r="BA1272" s="5"/>
      <c r="BB1272" s="5"/>
      <c r="BC1272" s="5"/>
      <c r="BD1272" s="5"/>
      <c r="BE1272" s="63"/>
      <c r="BF1272" s="63"/>
      <c r="BG1272" s="63"/>
      <c r="CA1272" s="317"/>
      <c r="CF1272" s="5"/>
      <c r="CG1272" s="53"/>
      <c r="CH1272" s="53"/>
      <c r="CI1272" s="53"/>
      <c r="CJ1272" s="53"/>
      <c r="CK1272" s="53"/>
      <c r="CL1272" s="53"/>
      <c r="CN1272" s="53"/>
      <c r="CO1272" s="53"/>
      <c r="CP1272" s="53"/>
      <c r="CQ1272" s="53"/>
      <c r="CR1272" s="53"/>
      <c r="CS1272" s="53"/>
      <c r="CT1272" s="5"/>
      <c r="CU1272" s="5"/>
      <c r="CV1272" s="5"/>
      <c r="CW1272" s="5"/>
      <c r="CX1272" s="5"/>
      <c r="CY1272" s="5"/>
    </row>
    <row r="1273" spans="1:103" ht="10.25" customHeight="1">
      <c r="A1273" s="216"/>
      <c r="B1273" s="217"/>
      <c r="C1273" s="218"/>
      <c r="D1273" s="219"/>
      <c r="E1273" s="217"/>
      <c r="F1273" s="217"/>
      <c r="G1273" s="217"/>
      <c r="H1273" s="220"/>
      <c r="I1273" s="217"/>
      <c r="J1273" s="217"/>
      <c r="K1273" s="217"/>
      <c r="L1273" s="217"/>
      <c r="M1273" s="217"/>
      <c r="N1273" s="217"/>
      <c r="O1273" s="44"/>
      <c r="P1273" s="44"/>
      <c r="Q1273" s="44"/>
      <c r="R1273" s="44"/>
      <c r="S1273" s="44"/>
      <c r="T1273" s="44"/>
      <c r="U1273" s="44"/>
      <c r="V1273" s="44"/>
      <c r="W1273" s="44"/>
      <c r="X1273" s="44"/>
      <c r="Y1273" s="44"/>
      <c r="Z1273" s="44"/>
      <c r="AA1273" s="44"/>
      <c r="AB1273" s="44"/>
      <c r="AC1273" s="44"/>
      <c r="AD1273" s="44"/>
      <c r="AE1273" s="44"/>
      <c r="AF1273" s="44"/>
      <c r="AG1273" s="44"/>
      <c r="AH1273" s="44"/>
      <c r="AI1273" s="44"/>
      <c r="AJ1273" s="44"/>
      <c r="AK1273" s="44"/>
      <c r="AL1273" s="44"/>
      <c r="AM1273" s="44"/>
      <c r="AN1273" s="44"/>
      <c r="AO1273" s="44"/>
      <c r="AP1273" s="44"/>
      <c r="AQ1273" s="44"/>
      <c r="BA1273" s="5"/>
      <c r="BB1273" s="5"/>
      <c r="BC1273" s="5"/>
      <c r="BD1273" s="5"/>
      <c r="BE1273" s="63"/>
      <c r="BF1273" s="63"/>
      <c r="BG1273" s="63"/>
      <c r="CA1273" s="317"/>
      <c r="CF1273" s="5"/>
      <c r="CG1273" s="53"/>
      <c r="CH1273" s="53"/>
      <c r="CI1273" s="53"/>
      <c r="CJ1273" s="53"/>
      <c r="CK1273" s="53"/>
      <c r="CL1273" s="53"/>
      <c r="CN1273" s="53"/>
      <c r="CO1273" s="53"/>
      <c r="CP1273" s="53"/>
      <c r="CQ1273" s="53"/>
      <c r="CR1273" s="53"/>
      <c r="CS1273" s="53"/>
      <c r="CT1273" s="5"/>
      <c r="CU1273" s="5"/>
      <c r="CV1273" s="5"/>
      <c r="CW1273" s="5"/>
      <c r="CX1273" s="5"/>
      <c r="CY1273" s="5"/>
    </row>
    <row r="1274" spans="1:103" ht="10.25" customHeight="1">
      <c r="A1274" s="216"/>
      <c r="B1274" s="217"/>
      <c r="C1274" s="218"/>
      <c r="D1274" s="219"/>
      <c r="E1274" s="217"/>
      <c r="F1274" s="217"/>
      <c r="G1274" s="217"/>
      <c r="H1274" s="220"/>
      <c r="I1274" s="217"/>
      <c r="J1274" s="217"/>
      <c r="K1274" s="217"/>
      <c r="L1274" s="217"/>
      <c r="M1274" s="217"/>
      <c r="N1274" s="217"/>
      <c r="O1274" s="44"/>
      <c r="P1274" s="44"/>
      <c r="Q1274" s="44"/>
      <c r="R1274" s="44"/>
      <c r="S1274" s="44"/>
      <c r="T1274" s="44"/>
      <c r="U1274" s="44"/>
      <c r="V1274" s="44"/>
      <c r="W1274" s="44"/>
      <c r="X1274" s="44"/>
      <c r="Y1274" s="44"/>
      <c r="Z1274" s="44"/>
      <c r="AA1274" s="44"/>
      <c r="AB1274" s="44"/>
      <c r="AC1274" s="44"/>
      <c r="AD1274" s="44"/>
      <c r="AE1274" s="44"/>
      <c r="AF1274" s="44"/>
      <c r="AG1274" s="44"/>
      <c r="AH1274" s="44"/>
      <c r="AI1274" s="44"/>
      <c r="AJ1274" s="44"/>
      <c r="AK1274" s="44"/>
      <c r="AL1274" s="44"/>
      <c r="AM1274" s="44"/>
      <c r="AN1274" s="44"/>
      <c r="AO1274" s="44"/>
      <c r="AP1274" s="44"/>
      <c r="AQ1274" s="44"/>
      <c r="BA1274" s="5"/>
      <c r="BB1274" s="5"/>
      <c r="BC1274" s="5"/>
      <c r="BD1274" s="5"/>
      <c r="BE1274" s="63"/>
      <c r="BF1274" s="63"/>
      <c r="BG1274" s="63"/>
      <c r="CA1274" s="317"/>
      <c r="CF1274" s="5"/>
      <c r="CG1274" s="53"/>
      <c r="CH1274" s="53"/>
      <c r="CI1274" s="53"/>
      <c r="CJ1274" s="53"/>
      <c r="CK1274" s="53"/>
      <c r="CL1274" s="53"/>
      <c r="CN1274" s="53"/>
      <c r="CO1274" s="53"/>
      <c r="CP1274" s="53"/>
      <c r="CQ1274" s="53"/>
      <c r="CR1274" s="53"/>
      <c r="CS1274" s="53"/>
      <c r="CT1274" s="5"/>
      <c r="CU1274" s="5"/>
      <c r="CV1274" s="5"/>
      <c r="CW1274" s="5"/>
      <c r="CX1274" s="5"/>
      <c r="CY1274" s="5"/>
    </row>
    <row r="1275" spans="1:103" ht="10.25" customHeight="1">
      <c r="A1275" s="216"/>
      <c r="B1275" s="217"/>
      <c r="C1275" s="218"/>
      <c r="D1275" s="219"/>
      <c r="E1275" s="217"/>
      <c r="F1275" s="217"/>
      <c r="G1275" s="217"/>
      <c r="H1275" s="220"/>
      <c r="I1275" s="217"/>
      <c r="J1275" s="217"/>
      <c r="K1275" s="217"/>
      <c r="L1275" s="217"/>
      <c r="M1275" s="217"/>
      <c r="N1275" s="217"/>
      <c r="O1275" s="44"/>
      <c r="P1275" s="44"/>
      <c r="Q1275" s="44"/>
      <c r="R1275" s="44"/>
      <c r="S1275" s="44"/>
      <c r="T1275" s="44"/>
      <c r="U1275" s="44"/>
      <c r="V1275" s="44"/>
      <c r="W1275" s="44"/>
      <c r="X1275" s="44"/>
      <c r="Y1275" s="44"/>
      <c r="Z1275" s="44"/>
      <c r="AA1275" s="44"/>
      <c r="AB1275" s="44"/>
      <c r="AC1275" s="44"/>
      <c r="AD1275" s="44"/>
      <c r="AE1275" s="44"/>
      <c r="AF1275" s="44"/>
      <c r="AG1275" s="44"/>
      <c r="AH1275" s="44"/>
      <c r="AI1275" s="44"/>
      <c r="AJ1275" s="44"/>
      <c r="AK1275" s="44"/>
      <c r="AL1275" s="44"/>
      <c r="AM1275" s="44"/>
      <c r="AN1275" s="44"/>
      <c r="AO1275" s="44"/>
      <c r="AP1275" s="44"/>
      <c r="AQ1275" s="44"/>
      <c r="BA1275" s="5"/>
      <c r="BB1275" s="5"/>
      <c r="BC1275" s="5"/>
      <c r="BD1275" s="5"/>
      <c r="BE1275" s="63"/>
      <c r="BF1275" s="63"/>
      <c r="BG1275" s="63"/>
      <c r="CA1275" s="317"/>
      <c r="CF1275" s="5"/>
      <c r="CG1275" s="53"/>
      <c r="CH1275" s="53"/>
      <c r="CI1275" s="53"/>
      <c r="CJ1275" s="53"/>
      <c r="CK1275" s="53"/>
      <c r="CL1275" s="53"/>
      <c r="CN1275" s="53"/>
      <c r="CO1275" s="53"/>
      <c r="CP1275" s="53"/>
      <c r="CQ1275" s="53"/>
      <c r="CR1275" s="53"/>
      <c r="CS1275" s="53"/>
      <c r="CT1275" s="5"/>
      <c r="CU1275" s="5"/>
      <c r="CV1275" s="5"/>
      <c r="CW1275" s="5"/>
      <c r="CX1275" s="5"/>
      <c r="CY1275" s="5"/>
    </row>
    <row r="1276" spans="1:103" ht="10.25" customHeight="1">
      <c r="A1276" s="216"/>
      <c r="B1276" s="217"/>
      <c r="C1276" s="218"/>
      <c r="D1276" s="219"/>
      <c r="E1276" s="217"/>
      <c r="F1276" s="217"/>
      <c r="G1276" s="217"/>
      <c r="H1276" s="220"/>
      <c r="I1276" s="217"/>
      <c r="J1276" s="217"/>
      <c r="K1276" s="217"/>
      <c r="L1276" s="217"/>
      <c r="M1276" s="217"/>
      <c r="N1276" s="217"/>
      <c r="O1276" s="44"/>
      <c r="P1276" s="44"/>
      <c r="Q1276" s="44"/>
      <c r="R1276" s="44"/>
      <c r="S1276" s="44"/>
      <c r="T1276" s="44"/>
      <c r="U1276" s="44"/>
      <c r="V1276" s="44"/>
      <c r="W1276" s="44"/>
      <c r="X1276" s="44"/>
      <c r="Y1276" s="44"/>
      <c r="Z1276" s="44"/>
      <c r="AA1276" s="44"/>
      <c r="AB1276" s="44"/>
      <c r="AC1276" s="44"/>
      <c r="AD1276" s="44"/>
      <c r="AE1276" s="44"/>
      <c r="AF1276" s="44"/>
      <c r="AG1276" s="44"/>
      <c r="AH1276" s="44"/>
      <c r="AI1276" s="44"/>
      <c r="AJ1276" s="44"/>
      <c r="AK1276" s="44"/>
      <c r="AL1276" s="44"/>
      <c r="AM1276" s="44"/>
      <c r="AN1276" s="44"/>
      <c r="AO1276" s="44"/>
      <c r="AP1276" s="44"/>
      <c r="AQ1276" s="44"/>
      <c r="BA1276" s="5"/>
      <c r="BB1276" s="5"/>
      <c r="BC1276" s="5"/>
      <c r="BD1276" s="5"/>
      <c r="BE1276" s="63"/>
      <c r="BF1276" s="63"/>
      <c r="BG1276" s="63"/>
      <c r="CA1276" s="317"/>
      <c r="CF1276" s="5"/>
      <c r="CG1276" s="53"/>
      <c r="CH1276" s="53"/>
      <c r="CI1276" s="53"/>
      <c r="CJ1276" s="53"/>
      <c r="CK1276" s="53"/>
      <c r="CL1276" s="53"/>
      <c r="CN1276" s="53"/>
      <c r="CO1276" s="53"/>
      <c r="CP1276" s="53"/>
      <c r="CQ1276" s="53"/>
      <c r="CR1276" s="53"/>
      <c r="CS1276" s="53"/>
      <c r="CT1276" s="5"/>
      <c r="CU1276" s="5"/>
      <c r="CV1276" s="5"/>
      <c r="CW1276" s="5"/>
      <c r="CX1276" s="5"/>
      <c r="CY1276" s="5"/>
    </row>
    <row r="1277" spans="1:103" ht="10.25" customHeight="1">
      <c r="A1277" s="216"/>
      <c r="B1277" s="217"/>
      <c r="C1277" s="218"/>
      <c r="D1277" s="219"/>
      <c r="E1277" s="217"/>
      <c r="F1277" s="217"/>
      <c r="G1277" s="217"/>
      <c r="H1277" s="220"/>
      <c r="I1277" s="217"/>
      <c r="J1277" s="217"/>
      <c r="K1277" s="217"/>
      <c r="L1277" s="217"/>
      <c r="M1277" s="217"/>
      <c r="N1277" s="217"/>
      <c r="O1277" s="44"/>
      <c r="P1277" s="44"/>
      <c r="Q1277" s="44"/>
      <c r="R1277" s="44"/>
      <c r="S1277" s="44"/>
      <c r="T1277" s="44"/>
      <c r="U1277" s="44"/>
      <c r="V1277" s="44"/>
      <c r="W1277" s="44"/>
      <c r="X1277" s="44"/>
      <c r="Y1277" s="44"/>
      <c r="Z1277" s="44"/>
      <c r="AA1277" s="44"/>
      <c r="AB1277" s="44"/>
      <c r="AC1277" s="44"/>
      <c r="AD1277" s="44"/>
      <c r="AE1277" s="44"/>
      <c r="AF1277" s="44"/>
      <c r="AG1277" s="44"/>
      <c r="AH1277" s="44"/>
      <c r="AI1277" s="44"/>
      <c r="AJ1277" s="44"/>
      <c r="AK1277" s="44"/>
      <c r="AL1277" s="44"/>
      <c r="AM1277" s="44"/>
      <c r="AN1277" s="44"/>
      <c r="AO1277" s="44"/>
      <c r="AP1277" s="44"/>
      <c r="AQ1277" s="44"/>
      <c r="BA1277" s="5"/>
      <c r="BB1277" s="5"/>
      <c r="BC1277" s="5"/>
      <c r="BD1277" s="5"/>
      <c r="BE1277" s="63"/>
      <c r="BF1277" s="63"/>
      <c r="BG1277" s="63"/>
      <c r="CA1277" s="317"/>
      <c r="CF1277" s="5"/>
      <c r="CG1277" s="53"/>
      <c r="CH1277" s="53"/>
      <c r="CI1277" s="53"/>
      <c r="CJ1277" s="53"/>
      <c r="CK1277" s="53"/>
      <c r="CL1277" s="53"/>
      <c r="CN1277" s="53"/>
      <c r="CO1277" s="53"/>
      <c r="CP1277" s="53"/>
      <c r="CQ1277" s="53"/>
      <c r="CR1277" s="53"/>
      <c r="CS1277" s="53"/>
      <c r="CT1277" s="5"/>
      <c r="CU1277" s="5"/>
      <c r="CV1277" s="5"/>
      <c r="CW1277" s="5"/>
      <c r="CX1277" s="5"/>
      <c r="CY1277" s="5"/>
    </row>
    <row r="1278" spans="1:103" ht="10.25" customHeight="1">
      <c r="A1278" s="216"/>
      <c r="B1278" s="217"/>
      <c r="C1278" s="218"/>
      <c r="D1278" s="219"/>
      <c r="E1278" s="217"/>
      <c r="F1278" s="217"/>
      <c r="G1278" s="217"/>
      <c r="H1278" s="220"/>
      <c r="I1278" s="217"/>
      <c r="J1278" s="217"/>
      <c r="K1278" s="217"/>
      <c r="L1278" s="217"/>
      <c r="M1278" s="217"/>
      <c r="N1278" s="217"/>
      <c r="O1278" s="44"/>
      <c r="P1278" s="44"/>
      <c r="Q1278" s="44"/>
      <c r="R1278" s="44"/>
      <c r="S1278" s="44"/>
      <c r="T1278" s="44"/>
      <c r="U1278" s="44"/>
      <c r="V1278" s="44"/>
      <c r="W1278" s="44"/>
      <c r="X1278" s="44"/>
      <c r="Y1278" s="44"/>
      <c r="Z1278" s="44"/>
      <c r="AA1278" s="44"/>
      <c r="AB1278" s="44"/>
      <c r="AC1278" s="44"/>
      <c r="AD1278" s="44"/>
      <c r="AE1278" s="44"/>
      <c r="AF1278" s="44"/>
      <c r="AG1278" s="44"/>
      <c r="AH1278" s="44"/>
      <c r="AI1278" s="44"/>
      <c r="AJ1278" s="44"/>
      <c r="AK1278" s="44"/>
      <c r="AL1278" s="44"/>
      <c r="AM1278" s="44"/>
      <c r="AN1278" s="44"/>
      <c r="AO1278" s="44"/>
      <c r="AP1278" s="44"/>
      <c r="AQ1278" s="44"/>
      <c r="BA1278" s="5"/>
      <c r="BB1278" s="5"/>
      <c r="BC1278" s="5"/>
      <c r="BD1278" s="5"/>
      <c r="BE1278" s="63"/>
      <c r="BF1278" s="63"/>
      <c r="BG1278" s="63"/>
      <c r="CA1278" s="317"/>
      <c r="CF1278" s="5"/>
      <c r="CG1278" s="53"/>
      <c r="CH1278" s="53"/>
      <c r="CI1278" s="53"/>
      <c r="CJ1278" s="53"/>
      <c r="CK1278" s="53"/>
      <c r="CL1278" s="53"/>
      <c r="CN1278" s="53"/>
      <c r="CO1278" s="53"/>
      <c r="CP1278" s="53"/>
      <c r="CQ1278" s="53"/>
      <c r="CR1278" s="53"/>
      <c r="CS1278" s="53"/>
      <c r="CT1278" s="5"/>
      <c r="CU1278" s="5"/>
      <c r="CV1278" s="5"/>
      <c r="CW1278" s="5"/>
      <c r="CX1278" s="5"/>
      <c r="CY1278" s="5"/>
    </row>
    <row r="1279" spans="1:103" ht="10.25" customHeight="1">
      <c r="A1279" s="216"/>
      <c r="B1279" s="217"/>
      <c r="C1279" s="218"/>
      <c r="D1279" s="219"/>
      <c r="E1279" s="217"/>
      <c r="F1279" s="217"/>
      <c r="G1279" s="217"/>
      <c r="H1279" s="220"/>
      <c r="I1279" s="217"/>
      <c r="J1279" s="217"/>
      <c r="K1279" s="217"/>
      <c r="L1279" s="217"/>
      <c r="M1279" s="217"/>
      <c r="N1279" s="217"/>
      <c r="O1279" s="44"/>
      <c r="P1279" s="44"/>
      <c r="Q1279" s="44"/>
      <c r="R1279" s="44"/>
      <c r="S1279" s="44"/>
      <c r="T1279" s="44"/>
      <c r="U1279" s="44"/>
      <c r="V1279" s="44"/>
      <c r="W1279" s="44"/>
      <c r="X1279" s="44"/>
      <c r="Y1279" s="44"/>
      <c r="Z1279" s="44"/>
      <c r="AA1279" s="44"/>
      <c r="AB1279" s="44"/>
      <c r="AC1279" s="44"/>
      <c r="AD1279" s="44"/>
      <c r="AE1279" s="44"/>
      <c r="AF1279" s="44"/>
      <c r="AG1279" s="44"/>
      <c r="AH1279" s="44"/>
      <c r="AI1279" s="44"/>
      <c r="AJ1279" s="44"/>
      <c r="AK1279" s="44"/>
      <c r="AL1279" s="44"/>
      <c r="AM1279" s="44"/>
      <c r="AN1279" s="44"/>
      <c r="AO1279" s="44"/>
      <c r="AP1279" s="44"/>
      <c r="AQ1279" s="44"/>
      <c r="BA1279" s="5"/>
      <c r="BB1279" s="5"/>
      <c r="BC1279" s="5"/>
      <c r="BD1279" s="5"/>
      <c r="BE1279" s="63"/>
      <c r="BF1279" s="63"/>
      <c r="BG1279" s="63"/>
      <c r="CA1279" s="317"/>
      <c r="CF1279" s="5"/>
      <c r="CG1279" s="53"/>
      <c r="CH1279" s="53"/>
      <c r="CI1279" s="53"/>
      <c r="CJ1279" s="53"/>
      <c r="CK1279" s="53"/>
      <c r="CL1279" s="53"/>
      <c r="CN1279" s="53"/>
      <c r="CO1279" s="53"/>
      <c r="CP1279" s="53"/>
      <c r="CQ1279" s="53"/>
      <c r="CR1279" s="53"/>
      <c r="CS1279" s="53"/>
      <c r="CT1279" s="5"/>
      <c r="CU1279" s="5"/>
      <c r="CV1279" s="5"/>
      <c r="CW1279" s="5"/>
      <c r="CX1279" s="5"/>
      <c r="CY1279" s="5"/>
    </row>
    <row r="1280" spans="1:103" ht="10.25" customHeight="1">
      <c r="A1280" s="216"/>
      <c r="B1280" s="217"/>
      <c r="C1280" s="218"/>
      <c r="D1280" s="219"/>
      <c r="E1280" s="217"/>
      <c r="F1280" s="217"/>
      <c r="G1280" s="217"/>
      <c r="H1280" s="220"/>
      <c r="I1280" s="217"/>
      <c r="J1280" s="217"/>
      <c r="K1280" s="217"/>
      <c r="L1280" s="217"/>
      <c r="M1280" s="217"/>
      <c r="N1280" s="217"/>
      <c r="O1280" s="44"/>
      <c r="P1280" s="44"/>
      <c r="Q1280" s="44"/>
      <c r="R1280" s="44"/>
      <c r="S1280" s="44"/>
      <c r="T1280" s="44"/>
      <c r="U1280" s="44"/>
      <c r="V1280" s="44"/>
      <c r="W1280" s="44"/>
      <c r="X1280" s="44"/>
      <c r="Y1280" s="44"/>
      <c r="Z1280" s="44"/>
      <c r="AA1280" s="44"/>
      <c r="AB1280" s="44"/>
      <c r="AC1280" s="44"/>
      <c r="AD1280" s="44"/>
      <c r="AE1280" s="44"/>
      <c r="AF1280" s="44"/>
      <c r="AG1280" s="44"/>
      <c r="AH1280" s="44"/>
      <c r="AI1280" s="44"/>
      <c r="AJ1280" s="44"/>
      <c r="AK1280" s="44"/>
      <c r="AL1280" s="44"/>
      <c r="AM1280" s="44"/>
      <c r="AN1280" s="44"/>
      <c r="AO1280" s="44"/>
      <c r="AP1280" s="44"/>
      <c r="AQ1280" s="44"/>
      <c r="BA1280" s="5"/>
      <c r="BB1280" s="5"/>
      <c r="BC1280" s="5"/>
      <c r="BD1280" s="5"/>
      <c r="BE1280" s="63"/>
      <c r="BF1280" s="63"/>
      <c r="BG1280" s="63"/>
      <c r="CA1280" s="317"/>
      <c r="CF1280" s="5"/>
      <c r="CG1280" s="53"/>
      <c r="CH1280" s="53"/>
      <c r="CI1280" s="53"/>
      <c r="CJ1280" s="53"/>
      <c r="CK1280" s="53"/>
      <c r="CL1280" s="53"/>
      <c r="CN1280" s="53"/>
      <c r="CO1280" s="53"/>
      <c r="CP1280" s="53"/>
      <c r="CQ1280" s="53"/>
      <c r="CR1280" s="53"/>
      <c r="CS1280" s="53"/>
      <c r="CT1280" s="5"/>
      <c r="CU1280" s="5"/>
      <c r="CV1280" s="5"/>
      <c r="CW1280" s="5"/>
      <c r="CX1280" s="5"/>
      <c r="CY1280" s="5"/>
    </row>
    <row r="1281" spans="1:103" ht="10.25" customHeight="1">
      <c r="A1281" s="216"/>
      <c r="B1281" s="217"/>
      <c r="C1281" s="218"/>
      <c r="D1281" s="219"/>
      <c r="E1281" s="217"/>
      <c r="F1281" s="217"/>
      <c r="G1281" s="217"/>
      <c r="H1281" s="220"/>
      <c r="I1281" s="217"/>
      <c r="J1281" s="217"/>
      <c r="K1281" s="217"/>
      <c r="L1281" s="217"/>
      <c r="M1281" s="217"/>
      <c r="N1281" s="217"/>
      <c r="O1281" s="44"/>
      <c r="P1281" s="44"/>
      <c r="Q1281" s="44"/>
      <c r="R1281" s="44"/>
      <c r="S1281" s="44"/>
      <c r="T1281" s="44"/>
      <c r="U1281" s="44"/>
      <c r="V1281" s="44"/>
      <c r="W1281" s="44"/>
      <c r="X1281" s="44"/>
      <c r="Y1281" s="44"/>
      <c r="Z1281" s="44"/>
      <c r="AA1281" s="44"/>
      <c r="AB1281" s="44"/>
      <c r="AC1281" s="44"/>
      <c r="AD1281" s="44"/>
      <c r="AE1281" s="44"/>
      <c r="AF1281" s="44"/>
      <c r="AG1281" s="44"/>
      <c r="AH1281" s="44"/>
      <c r="AI1281" s="44"/>
      <c r="AJ1281" s="44"/>
      <c r="AK1281" s="44"/>
      <c r="AL1281" s="44"/>
      <c r="AM1281" s="44"/>
      <c r="AN1281" s="44"/>
      <c r="AO1281" s="44"/>
      <c r="AP1281" s="44"/>
      <c r="AQ1281" s="44"/>
      <c r="BA1281" s="5"/>
      <c r="BB1281" s="5"/>
      <c r="BC1281" s="5"/>
      <c r="BD1281" s="5"/>
      <c r="BE1281" s="63"/>
      <c r="BF1281" s="63"/>
      <c r="BG1281" s="63"/>
      <c r="CA1281" s="256"/>
      <c r="CB1281" s="261"/>
      <c r="CC1281" s="261"/>
      <c r="CD1281" s="261"/>
      <c r="CE1281" s="261"/>
      <c r="CF1281" s="255"/>
      <c r="CG1281" s="53"/>
      <c r="CH1281" s="53"/>
      <c r="CI1281" s="53"/>
      <c r="CJ1281" s="53"/>
      <c r="CK1281" s="53"/>
      <c r="CL1281" s="53"/>
      <c r="CN1281" s="53"/>
      <c r="CO1281" s="53"/>
      <c r="CP1281" s="53"/>
      <c r="CQ1281" s="53"/>
      <c r="CR1281" s="53"/>
      <c r="CS1281" s="53"/>
      <c r="CT1281" s="261"/>
      <c r="CU1281" s="255"/>
      <c r="CV1281" s="261"/>
      <c r="CW1281" s="261"/>
      <c r="CX1281" s="261"/>
      <c r="CY1281" s="255"/>
    </row>
    <row r="1282" spans="1:103" ht="10.25" customHeight="1">
      <c r="A1282" s="216"/>
      <c r="B1282" s="217"/>
      <c r="C1282" s="218"/>
      <c r="D1282" s="219"/>
      <c r="E1282" s="217"/>
      <c r="F1282" s="217"/>
      <c r="G1282" s="217"/>
      <c r="H1282" s="220"/>
      <c r="I1282" s="217"/>
      <c r="J1282" s="217"/>
      <c r="K1282" s="217"/>
      <c r="L1282" s="217"/>
      <c r="M1282" s="217"/>
      <c r="N1282" s="217"/>
      <c r="O1282" s="44"/>
      <c r="P1282" s="44"/>
      <c r="Q1282" s="44"/>
      <c r="R1282" s="44"/>
      <c r="S1282" s="44"/>
      <c r="T1282" s="44"/>
      <c r="U1282" s="44"/>
      <c r="V1282" s="44"/>
      <c r="W1282" s="44"/>
      <c r="X1282" s="44"/>
      <c r="Y1282" s="44"/>
      <c r="Z1282" s="44"/>
      <c r="AA1282" s="44"/>
      <c r="AB1282" s="44"/>
      <c r="AC1282" s="44"/>
      <c r="AD1282" s="44"/>
      <c r="AE1282" s="44"/>
      <c r="AF1282" s="44"/>
      <c r="AG1282" s="44"/>
      <c r="AH1282" s="44"/>
      <c r="AI1282" s="44"/>
      <c r="AJ1282" s="44"/>
      <c r="AK1282" s="44"/>
      <c r="AL1282" s="44"/>
      <c r="AM1282" s="44"/>
      <c r="AN1282" s="44"/>
      <c r="AO1282" s="44"/>
      <c r="AP1282" s="44"/>
      <c r="AQ1282" s="44"/>
      <c r="BA1282" s="5"/>
      <c r="BB1282" s="5"/>
      <c r="BC1282" s="5"/>
      <c r="BD1282" s="5"/>
      <c r="BE1282" s="63"/>
      <c r="BF1282" s="63"/>
      <c r="BG1282" s="63"/>
      <c r="CA1282" s="256"/>
      <c r="CB1282" s="261"/>
      <c r="CC1282" s="261"/>
      <c r="CD1282" s="261"/>
      <c r="CE1282" s="261"/>
      <c r="CF1282" s="255"/>
      <c r="CG1282" s="53"/>
      <c r="CH1282" s="53"/>
      <c r="CI1282" s="53"/>
      <c r="CJ1282" s="53"/>
      <c r="CK1282" s="53"/>
      <c r="CL1282" s="53"/>
      <c r="CN1282" s="53"/>
      <c r="CO1282" s="53"/>
      <c r="CP1282" s="53"/>
      <c r="CQ1282" s="53"/>
      <c r="CR1282" s="53"/>
      <c r="CS1282" s="53"/>
      <c r="CT1282" s="261"/>
      <c r="CU1282" s="255"/>
      <c r="CV1282" s="261"/>
      <c r="CW1282" s="261"/>
      <c r="CX1282" s="261"/>
      <c r="CY1282" s="255"/>
    </row>
    <row r="1283" spans="1:103" ht="10.25" customHeight="1">
      <c r="A1283" s="216"/>
      <c r="B1283" s="217"/>
      <c r="C1283" s="218"/>
      <c r="D1283" s="219"/>
      <c r="E1283" s="217"/>
      <c r="F1283" s="217"/>
      <c r="G1283" s="217"/>
      <c r="H1283" s="220"/>
      <c r="I1283" s="217"/>
      <c r="J1283" s="217"/>
      <c r="K1283" s="217"/>
      <c r="L1283" s="217"/>
      <c r="M1283" s="217"/>
      <c r="N1283" s="217"/>
      <c r="O1283" s="44"/>
      <c r="P1283" s="44"/>
      <c r="Q1283" s="44"/>
      <c r="R1283" s="44"/>
      <c r="S1283" s="44"/>
      <c r="T1283" s="44"/>
      <c r="U1283" s="44"/>
      <c r="V1283" s="44"/>
      <c r="W1283" s="44"/>
      <c r="X1283" s="44"/>
      <c r="Y1283" s="44"/>
      <c r="Z1283" s="44"/>
      <c r="AA1283" s="44"/>
      <c r="AB1283" s="44"/>
      <c r="AC1283" s="44"/>
      <c r="AD1283" s="44"/>
      <c r="AE1283" s="44"/>
      <c r="AF1283" s="44"/>
      <c r="AG1283" s="44"/>
      <c r="AH1283" s="44"/>
      <c r="AI1283" s="44"/>
      <c r="AJ1283" s="44"/>
      <c r="AK1283" s="44"/>
      <c r="AL1283" s="44"/>
      <c r="AM1283" s="44"/>
      <c r="AN1283" s="44"/>
      <c r="AO1283" s="44"/>
      <c r="AP1283" s="44"/>
      <c r="AQ1283" s="44"/>
      <c r="BA1283" s="5"/>
      <c r="BB1283" s="5"/>
      <c r="BC1283" s="5"/>
      <c r="BD1283" s="5"/>
      <c r="BE1283" s="63"/>
      <c r="BF1283" s="63"/>
      <c r="BG1283" s="63"/>
      <c r="CA1283" s="256"/>
      <c r="CB1283" s="261"/>
      <c r="CC1283" s="261"/>
      <c r="CD1283" s="261"/>
      <c r="CE1283" s="261"/>
      <c r="CF1283" s="255"/>
      <c r="CG1283" s="53"/>
      <c r="CH1283" s="53"/>
      <c r="CI1283" s="53"/>
      <c r="CJ1283" s="53"/>
      <c r="CK1283" s="53"/>
      <c r="CL1283" s="53"/>
      <c r="CN1283" s="53"/>
      <c r="CO1283" s="53"/>
      <c r="CP1283" s="53"/>
      <c r="CQ1283" s="53"/>
      <c r="CR1283" s="53"/>
      <c r="CS1283" s="53"/>
      <c r="CT1283" s="261"/>
      <c r="CU1283" s="255"/>
      <c r="CV1283" s="261"/>
      <c r="CW1283" s="255"/>
      <c r="CX1283" s="261"/>
      <c r="CY1283" s="255"/>
    </row>
    <row r="1284" spans="1:103" ht="10.25" customHeight="1">
      <c r="A1284" s="216"/>
      <c r="B1284" s="217"/>
      <c r="C1284" s="218"/>
      <c r="D1284" s="219"/>
      <c r="E1284" s="217"/>
      <c r="F1284" s="217"/>
      <c r="G1284" s="217"/>
      <c r="H1284" s="220"/>
      <c r="I1284" s="217"/>
      <c r="J1284" s="217"/>
      <c r="K1284" s="217"/>
      <c r="L1284" s="217"/>
      <c r="M1284" s="217"/>
      <c r="N1284" s="217"/>
      <c r="O1284" s="44"/>
      <c r="P1284" s="44"/>
      <c r="Q1284" s="44"/>
      <c r="R1284" s="44"/>
      <c r="S1284" s="44"/>
      <c r="T1284" s="44"/>
      <c r="U1284" s="44"/>
      <c r="V1284" s="44"/>
      <c r="W1284" s="44"/>
      <c r="X1284" s="44"/>
      <c r="Y1284" s="44"/>
      <c r="Z1284" s="44"/>
      <c r="AA1284" s="44"/>
      <c r="AB1284" s="44"/>
      <c r="AC1284" s="44"/>
      <c r="AD1284" s="44"/>
      <c r="AE1284" s="44"/>
      <c r="AF1284" s="44"/>
      <c r="AG1284" s="44"/>
      <c r="AH1284" s="44"/>
      <c r="AI1284" s="44"/>
      <c r="AJ1284" s="44"/>
      <c r="AK1284" s="44"/>
      <c r="AL1284" s="44"/>
      <c r="AM1284" s="44"/>
      <c r="AN1284" s="44"/>
      <c r="AO1284" s="44"/>
      <c r="AP1284" s="44"/>
      <c r="AQ1284" s="44"/>
      <c r="BA1284" s="5"/>
      <c r="BB1284" s="5"/>
      <c r="BC1284" s="5"/>
      <c r="BD1284" s="5"/>
      <c r="BE1284" s="63"/>
      <c r="BF1284" s="63"/>
      <c r="BG1284" s="63"/>
      <c r="CA1284" s="256"/>
      <c r="CB1284" s="261"/>
      <c r="CC1284" s="261"/>
      <c r="CD1284" s="261"/>
      <c r="CE1284" s="261"/>
      <c r="CF1284" s="255"/>
      <c r="CG1284" s="53"/>
      <c r="CH1284" s="53"/>
      <c r="CI1284" s="53"/>
      <c r="CJ1284" s="53"/>
      <c r="CK1284" s="53"/>
      <c r="CL1284" s="53"/>
      <c r="CN1284" s="53"/>
      <c r="CO1284" s="53"/>
      <c r="CP1284" s="53"/>
      <c r="CQ1284" s="53"/>
      <c r="CR1284" s="53"/>
      <c r="CS1284" s="53"/>
      <c r="CT1284" s="261"/>
      <c r="CU1284" s="255"/>
      <c r="CV1284" s="255"/>
      <c r="CW1284" s="261"/>
      <c r="CX1284" s="261"/>
      <c r="CY1284" s="255"/>
    </row>
    <row r="1285" spans="1:103" ht="10.25" customHeight="1">
      <c r="A1285" s="216"/>
      <c r="B1285" s="217"/>
      <c r="C1285" s="218"/>
      <c r="D1285" s="219"/>
      <c r="E1285" s="217"/>
      <c r="F1285" s="217"/>
      <c r="G1285" s="217"/>
      <c r="H1285" s="220"/>
      <c r="I1285" s="217"/>
      <c r="J1285" s="217"/>
      <c r="K1285" s="217"/>
      <c r="L1285" s="217"/>
      <c r="M1285" s="217"/>
      <c r="N1285" s="217"/>
      <c r="O1285" s="44"/>
      <c r="P1285" s="44"/>
      <c r="Q1285" s="44"/>
      <c r="R1285" s="44"/>
      <c r="S1285" s="44"/>
      <c r="T1285" s="44"/>
      <c r="U1285" s="44"/>
      <c r="V1285" s="44"/>
      <c r="W1285" s="44"/>
      <c r="X1285" s="44"/>
      <c r="Y1285" s="44"/>
      <c r="Z1285" s="44"/>
      <c r="AA1285" s="44"/>
      <c r="AB1285" s="44"/>
      <c r="AC1285" s="44"/>
      <c r="AD1285" s="44"/>
      <c r="AE1285" s="44"/>
      <c r="AF1285" s="44"/>
      <c r="AG1285" s="44"/>
      <c r="AH1285" s="44"/>
      <c r="AI1285" s="44"/>
      <c r="AJ1285" s="44"/>
      <c r="AK1285" s="44"/>
      <c r="AL1285" s="44"/>
      <c r="AM1285" s="44"/>
      <c r="AN1285" s="44"/>
      <c r="AO1285" s="44"/>
      <c r="AP1285" s="44"/>
      <c r="AQ1285" s="44"/>
      <c r="BA1285" s="5"/>
      <c r="BB1285" s="5"/>
      <c r="BC1285" s="5"/>
      <c r="BD1285" s="5"/>
      <c r="BE1285" s="63"/>
      <c r="BF1285" s="63"/>
      <c r="BG1285" s="63"/>
      <c r="CA1285" s="256"/>
      <c r="CB1285" s="261"/>
      <c r="CC1285" s="261"/>
      <c r="CD1285" s="261"/>
      <c r="CE1285" s="261"/>
      <c r="CF1285" s="255"/>
      <c r="CG1285" s="53"/>
      <c r="CH1285" s="53"/>
      <c r="CI1285" s="53"/>
      <c r="CJ1285" s="53"/>
      <c r="CK1285" s="53"/>
      <c r="CL1285" s="53"/>
      <c r="CN1285" s="53"/>
      <c r="CO1285" s="53"/>
      <c r="CP1285" s="53"/>
      <c r="CQ1285" s="53"/>
      <c r="CR1285" s="53"/>
      <c r="CS1285" s="53"/>
      <c r="CT1285" s="261"/>
      <c r="CU1285" s="255"/>
      <c r="CV1285" s="261"/>
      <c r="CW1285" s="255"/>
      <c r="CX1285" s="261"/>
      <c r="CY1285" s="255"/>
    </row>
    <row r="1286" spans="1:103" ht="10.25" customHeight="1">
      <c r="A1286" s="216"/>
      <c r="B1286" s="217"/>
      <c r="C1286" s="218"/>
      <c r="D1286" s="219"/>
      <c r="E1286" s="217"/>
      <c r="F1286" s="217"/>
      <c r="G1286" s="217"/>
      <c r="H1286" s="220"/>
      <c r="I1286" s="217"/>
      <c r="J1286" s="217"/>
      <c r="K1286" s="217"/>
      <c r="L1286" s="217"/>
      <c r="M1286" s="217"/>
      <c r="N1286" s="217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BA1286" s="5"/>
      <c r="BB1286" s="5"/>
      <c r="BC1286" s="5"/>
      <c r="BD1286" s="5"/>
      <c r="BE1286" s="63"/>
      <c r="BF1286" s="63"/>
      <c r="BG1286" s="63"/>
      <c r="CA1286" s="256"/>
      <c r="CB1286" s="261"/>
      <c r="CC1286" s="261"/>
      <c r="CD1286" s="261"/>
      <c r="CE1286" s="255"/>
      <c r="CF1286" s="261"/>
      <c r="CG1286" s="53"/>
      <c r="CH1286" s="53"/>
      <c r="CI1286" s="53"/>
      <c r="CJ1286" s="53"/>
      <c r="CK1286" s="53"/>
      <c r="CL1286" s="53"/>
      <c r="CN1286" s="53"/>
      <c r="CO1286" s="53"/>
      <c r="CP1286" s="53"/>
      <c r="CQ1286" s="53"/>
      <c r="CR1286" s="53"/>
      <c r="CS1286" s="53"/>
      <c r="CT1286" s="255"/>
      <c r="CU1286" s="261"/>
      <c r="CV1286" s="255"/>
      <c r="CW1286" s="261"/>
      <c r="CX1286" s="261"/>
      <c r="CY1286" s="255"/>
    </row>
    <row r="1287" spans="1:103" ht="10.25" customHeight="1">
      <c r="A1287" s="216"/>
      <c r="B1287" s="217"/>
      <c r="C1287" s="218"/>
      <c r="D1287" s="219"/>
      <c r="E1287" s="217"/>
      <c r="F1287" s="217"/>
      <c r="G1287" s="217"/>
      <c r="H1287" s="220"/>
      <c r="I1287" s="217"/>
      <c r="J1287" s="217"/>
      <c r="K1287" s="217"/>
      <c r="L1287" s="217"/>
      <c r="M1287" s="217"/>
      <c r="N1287" s="217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BA1287" s="5"/>
      <c r="BB1287" s="5"/>
      <c r="BC1287" s="5"/>
      <c r="BD1287" s="5"/>
      <c r="BE1287" s="63"/>
      <c r="BF1287" s="63"/>
      <c r="BG1287" s="63"/>
      <c r="CA1287" s="256"/>
      <c r="CB1287" s="261"/>
      <c r="CC1287" s="261"/>
      <c r="CD1287" s="261"/>
      <c r="CE1287" s="255"/>
      <c r="CF1287" s="261"/>
      <c r="CG1287" s="53"/>
      <c r="CH1287" s="53"/>
      <c r="CI1287" s="53"/>
      <c r="CJ1287" s="53"/>
      <c r="CK1287" s="53"/>
      <c r="CL1287" s="53"/>
      <c r="CN1287" s="53"/>
      <c r="CO1287" s="53"/>
      <c r="CP1287" s="53"/>
      <c r="CQ1287" s="53"/>
      <c r="CR1287" s="53"/>
      <c r="CS1287" s="53"/>
      <c r="CT1287" s="255"/>
      <c r="CU1287" s="261"/>
      <c r="CV1287" s="261"/>
      <c r="CW1287" s="255"/>
      <c r="CX1287" s="261"/>
      <c r="CY1287" s="255"/>
    </row>
    <row r="1288" spans="1:103" ht="10.25" customHeight="1">
      <c r="A1288" s="216"/>
      <c r="B1288" s="217"/>
      <c r="C1288" s="218"/>
      <c r="D1288" s="219"/>
      <c r="E1288" s="217"/>
      <c r="F1288" s="217"/>
      <c r="G1288" s="217"/>
      <c r="H1288" s="220"/>
      <c r="I1288" s="217"/>
      <c r="J1288" s="217"/>
      <c r="K1288" s="217"/>
      <c r="L1288" s="217"/>
      <c r="M1288" s="217"/>
      <c r="N1288" s="217"/>
      <c r="O1288" s="44"/>
      <c r="P1288" s="44"/>
      <c r="Q1288" s="44"/>
      <c r="R1288" s="44"/>
      <c r="S1288" s="44"/>
      <c r="T1288" s="44"/>
      <c r="U1288" s="44"/>
      <c r="V1288" s="44"/>
      <c r="W1288" s="44"/>
      <c r="X1288" s="44"/>
      <c r="Y1288" s="44"/>
      <c r="Z1288" s="44"/>
      <c r="AA1288" s="44"/>
      <c r="AB1288" s="44"/>
      <c r="AC1288" s="44"/>
      <c r="AD1288" s="44"/>
      <c r="AE1288" s="44"/>
      <c r="AF1288" s="44"/>
      <c r="AG1288" s="44"/>
      <c r="AH1288" s="44"/>
      <c r="AI1288" s="44"/>
      <c r="AJ1288" s="44"/>
      <c r="AK1288" s="44"/>
      <c r="AL1288" s="44"/>
      <c r="AM1288" s="44"/>
      <c r="AN1288" s="44"/>
      <c r="AO1288" s="44"/>
      <c r="AP1288" s="44"/>
      <c r="AQ1288" s="44"/>
      <c r="BA1288" s="5"/>
      <c r="BB1288" s="5"/>
      <c r="BC1288" s="5"/>
      <c r="BD1288" s="5"/>
      <c r="BE1288" s="63"/>
      <c r="BF1288" s="63"/>
      <c r="BG1288" s="63"/>
      <c r="CA1288" s="256"/>
      <c r="CB1288" s="261"/>
      <c r="CC1288" s="261"/>
      <c r="CD1288" s="255"/>
      <c r="CE1288" s="261"/>
      <c r="CF1288" s="261"/>
      <c r="CG1288" s="53"/>
      <c r="CH1288" s="53"/>
      <c r="CI1288" s="53"/>
      <c r="CJ1288" s="53"/>
      <c r="CK1288" s="53"/>
      <c r="CL1288" s="53"/>
      <c r="CN1288" s="53"/>
      <c r="CO1288" s="53"/>
      <c r="CP1288" s="53"/>
      <c r="CQ1288" s="53"/>
      <c r="CR1288" s="53"/>
      <c r="CS1288" s="53"/>
      <c r="CT1288" s="261"/>
      <c r="CU1288" s="261"/>
      <c r="CV1288" s="255"/>
      <c r="CW1288" s="261"/>
      <c r="CX1288" s="261"/>
      <c r="CY1288" s="255"/>
    </row>
    <row r="1289" spans="1:103" ht="10.25" customHeight="1">
      <c r="A1289" s="216"/>
      <c r="B1289" s="217"/>
      <c r="C1289" s="218"/>
      <c r="D1289" s="219"/>
      <c r="E1289" s="217"/>
      <c r="F1289" s="217"/>
      <c r="G1289" s="217"/>
      <c r="H1289" s="220"/>
      <c r="I1289" s="217"/>
      <c r="J1289" s="217"/>
      <c r="K1289" s="217"/>
      <c r="L1289" s="217"/>
      <c r="M1289" s="217"/>
      <c r="N1289" s="217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44"/>
      <c r="AL1289" s="44"/>
      <c r="AM1289" s="44"/>
      <c r="AN1289" s="44"/>
      <c r="AO1289" s="44"/>
      <c r="AP1289" s="44"/>
      <c r="AQ1289" s="44"/>
      <c r="BA1289" s="5"/>
      <c r="BB1289" s="5"/>
      <c r="BC1289" s="5"/>
      <c r="BD1289" s="5"/>
      <c r="BE1289" s="63"/>
      <c r="BF1289" s="63"/>
      <c r="BG1289" s="63"/>
      <c r="CA1289" s="256"/>
      <c r="CB1289" s="261"/>
      <c r="CC1289" s="261"/>
      <c r="CD1289" s="255"/>
      <c r="CE1289" s="261"/>
      <c r="CF1289" s="261"/>
      <c r="CG1289" s="53"/>
      <c r="CH1289" s="53"/>
      <c r="CI1289" s="53"/>
      <c r="CJ1289" s="53"/>
      <c r="CK1289" s="53"/>
      <c r="CL1289" s="53"/>
      <c r="CN1289" s="53"/>
      <c r="CO1289" s="53"/>
      <c r="CP1289" s="53"/>
      <c r="CQ1289" s="53"/>
      <c r="CR1289" s="53"/>
      <c r="CS1289" s="53"/>
      <c r="CT1289" s="261"/>
      <c r="CU1289" s="261"/>
      <c r="CV1289" s="261"/>
      <c r="CW1289" s="255"/>
      <c r="CX1289" s="261"/>
      <c r="CY1289" s="255"/>
    </row>
    <row r="1290" spans="1:103" ht="10.25" customHeight="1">
      <c r="A1290" s="216"/>
      <c r="B1290" s="217"/>
      <c r="C1290" s="218"/>
      <c r="D1290" s="219"/>
      <c r="E1290" s="217"/>
      <c r="F1290" s="217"/>
      <c r="G1290" s="217"/>
      <c r="H1290" s="220"/>
      <c r="I1290" s="217"/>
      <c r="J1290" s="217"/>
      <c r="K1290" s="217"/>
      <c r="L1290" s="217"/>
      <c r="M1290" s="217"/>
      <c r="N1290" s="217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BA1290" s="5"/>
      <c r="BB1290" s="5"/>
      <c r="BC1290" s="5"/>
      <c r="BD1290" s="5"/>
      <c r="BE1290" s="63"/>
      <c r="BF1290" s="63"/>
      <c r="BG1290" s="63"/>
      <c r="CA1290" s="256"/>
      <c r="CB1290" s="261"/>
      <c r="CC1290" s="261"/>
      <c r="CD1290" s="255"/>
      <c r="CE1290" s="261"/>
      <c r="CF1290" s="261"/>
      <c r="CG1290" s="53"/>
      <c r="CH1290" s="53"/>
      <c r="CI1290" s="53"/>
      <c r="CJ1290" s="53"/>
      <c r="CK1290" s="53"/>
      <c r="CL1290" s="53"/>
      <c r="CN1290" s="53"/>
      <c r="CO1290" s="53"/>
      <c r="CP1290" s="53"/>
      <c r="CQ1290" s="53"/>
      <c r="CR1290" s="53"/>
      <c r="CS1290" s="53"/>
      <c r="CT1290" s="261"/>
      <c r="CU1290" s="261"/>
      <c r="CV1290" s="261"/>
      <c r="CW1290" s="261"/>
      <c r="CX1290" s="261"/>
      <c r="CY1290" s="255"/>
    </row>
    <row r="1291" spans="1:103" ht="10.25" customHeight="1">
      <c r="A1291" s="216"/>
      <c r="B1291" s="217"/>
      <c r="C1291" s="218"/>
      <c r="D1291" s="219"/>
      <c r="E1291" s="217"/>
      <c r="F1291" s="217"/>
      <c r="G1291" s="217"/>
      <c r="H1291" s="220"/>
      <c r="I1291" s="217"/>
      <c r="J1291" s="217"/>
      <c r="K1291" s="217"/>
      <c r="L1291" s="217"/>
      <c r="M1291" s="217"/>
      <c r="N1291" s="217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BA1291" s="5"/>
      <c r="BB1291" s="5"/>
      <c r="BC1291" s="5"/>
      <c r="BD1291" s="5"/>
      <c r="BE1291" s="63"/>
      <c r="BF1291" s="63"/>
      <c r="BG1291" s="63"/>
      <c r="CA1291" s="256"/>
      <c r="CB1291" s="261"/>
      <c r="CC1291" s="261"/>
      <c r="CD1291" s="261"/>
      <c r="CE1291" s="261"/>
      <c r="CF1291" s="261"/>
      <c r="CG1291" s="53"/>
      <c r="CH1291" s="53"/>
      <c r="CI1291" s="53"/>
      <c r="CJ1291" s="53"/>
      <c r="CK1291" s="53"/>
      <c r="CL1291" s="53"/>
      <c r="CN1291" s="53"/>
      <c r="CO1291" s="53"/>
      <c r="CP1291" s="53"/>
      <c r="CQ1291" s="53"/>
      <c r="CR1291" s="53"/>
      <c r="CS1291" s="53"/>
      <c r="CT1291" s="261"/>
      <c r="CU1291" s="261"/>
      <c r="CV1291" s="255"/>
      <c r="CW1291" s="255"/>
      <c r="CX1291" s="261"/>
      <c r="CY1291" s="255"/>
    </row>
    <row r="1292" spans="1:103" ht="10.25" customHeight="1">
      <c r="A1292" s="216"/>
      <c r="B1292" s="217"/>
      <c r="C1292" s="218"/>
      <c r="D1292" s="219"/>
      <c r="E1292" s="217"/>
      <c r="F1292" s="217"/>
      <c r="G1292" s="217"/>
      <c r="H1292" s="220"/>
      <c r="I1292" s="217"/>
      <c r="J1292" s="217"/>
      <c r="K1292" s="217"/>
      <c r="L1292" s="217"/>
      <c r="M1292" s="217"/>
      <c r="N1292" s="217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BA1292" s="5"/>
      <c r="BB1292" s="5"/>
      <c r="BC1292" s="5"/>
      <c r="BD1292" s="5"/>
      <c r="BE1292" s="63"/>
      <c r="BF1292" s="63"/>
      <c r="BG1292" s="63"/>
      <c r="CA1292" s="256"/>
      <c r="CB1292" s="261"/>
      <c r="CC1292" s="261"/>
      <c r="CD1292" s="261"/>
      <c r="CE1292" s="261"/>
      <c r="CF1292" s="261"/>
      <c r="CG1292" s="53"/>
      <c r="CH1292" s="53"/>
      <c r="CI1292" s="53"/>
      <c r="CJ1292" s="53"/>
      <c r="CK1292" s="53"/>
      <c r="CL1292" s="53"/>
      <c r="CN1292" s="53"/>
      <c r="CO1292" s="53"/>
      <c r="CP1292" s="53"/>
      <c r="CQ1292" s="53"/>
      <c r="CR1292" s="53"/>
      <c r="CS1292" s="53"/>
      <c r="CT1292" s="261"/>
      <c r="CU1292" s="261"/>
      <c r="CV1292" s="261"/>
      <c r="CW1292" s="261"/>
      <c r="CX1292" s="261"/>
      <c r="CY1292" s="255"/>
    </row>
    <row r="1293" spans="1:103" ht="10.25" customHeight="1">
      <c r="A1293" s="216"/>
      <c r="B1293" s="217"/>
      <c r="C1293" s="218"/>
      <c r="D1293" s="219"/>
      <c r="E1293" s="217"/>
      <c r="F1293" s="217"/>
      <c r="G1293" s="217"/>
      <c r="H1293" s="220"/>
      <c r="I1293" s="217"/>
      <c r="J1293" s="217"/>
      <c r="K1293" s="217"/>
      <c r="L1293" s="217"/>
      <c r="M1293" s="217"/>
      <c r="N1293" s="217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BA1293" s="5"/>
      <c r="BB1293" s="5"/>
      <c r="BC1293" s="5"/>
      <c r="BD1293" s="5"/>
      <c r="BE1293" s="63"/>
      <c r="BF1293" s="63"/>
      <c r="BG1293" s="63"/>
      <c r="CA1293" s="256"/>
      <c r="CB1293" s="261"/>
      <c r="CC1293" s="261"/>
      <c r="CD1293" s="261"/>
      <c r="CE1293" s="261"/>
      <c r="CF1293" s="261"/>
      <c r="CG1293" s="53"/>
      <c r="CH1293" s="53"/>
      <c r="CI1293" s="53"/>
      <c r="CJ1293" s="53"/>
      <c r="CK1293" s="53"/>
      <c r="CL1293" s="53"/>
      <c r="CN1293" s="53"/>
      <c r="CO1293" s="53"/>
      <c r="CP1293" s="53"/>
      <c r="CQ1293" s="53"/>
      <c r="CR1293" s="53"/>
      <c r="CS1293" s="53"/>
      <c r="CT1293" s="261"/>
      <c r="CU1293" s="261"/>
      <c r="CV1293" s="255"/>
      <c r="CW1293" s="255"/>
      <c r="CX1293" s="261"/>
      <c r="CY1293" s="255"/>
    </row>
    <row r="1294" spans="1:103" ht="10.25" customHeight="1">
      <c r="A1294" s="216"/>
      <c r="B1294" s="217"/>
      <c r="C1294" s="218"/>
      <c r="D1294" s="219"/>
      <c r="E1294" s="217"/>
      <c r="F1294" s="217"/>
      <c r="G1294" s="217"/>
      <c r="H1294" s="220"/>
      <c r="I1294" s="217"/>
      <c r="J1294" s="217"/>
      <c r="K1294" s="217"/>
      <c r="L1294" s="217"/>
      <c r="M1294" s="217"/>
      <c r="N1294" s="217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BA1294" s="5"/>
      <c r="BB1294" s="5"/>
      <c r="BC1294" s="5"/>
      <c r="BD1294" s="5"/>
      <c r="BE1294" s="63"/>
      <c r="BF1294" s="63"/>
      <c r="BG1294" s="63"/>
      <c r="CA1294" s="256"/>
      <c r="CB1294" s="261"/>
      <c r="CC1294" s="261"/>
      <c r="CD1294" s="261"/>
      <c r="CE1294" s="261"/>
      <c r="CF1294" s="261"/>
      <c r="CG1294" s="53"/>
      <c r="CH1294" s="53"/>
      <c r="CI1294" s="53"/>
      <c r="CJ1294" s="53"/>
      <c r="CK1294" s="53"/>
      <c r="CL1294" s="53"/>
      <c r="CN1294" s="53"/>
      <c r="CO1294" s="53"/>
      <c r="CP1294" s="53"/>
      <c r="CQ1294" s="53"/>
      <c r="CR1294" s="53"/>
      <c r="CS1294" s="53"/>
      <c r="CT1294" s="261"/>
      <c r="CU1294" s="261"/>
      <c r="CV1294" s="261"/>
      <c r="CW1294" s="261"/>
      <c r="CX1294" s="255"/>
      <c r="CY1294" s="255"/>
    </row>
    <row r="1295" spans="1:103" ht="10.25" customHeight="1">
      <c r="A1295" s="216"/>
      <c r="B1295" s="217"/>
      <c r="C1295" s="218"/>
      <c r="D1295" s="219"/>
      <c r="E1295" s="217"/>
      <c r="F1295" s="217"/>
      <c r="G1295" s="217"/>
      <c r="H1295" s="220"/>
      <c r="I1295" s="217"/>
      <c r="J1295" s="217"/>
      <c r="K1295" s="217"/>
      <c r="L1295" s="217"/>
      <c r="M1295" s="217"/>
      <c r="N1295" s="217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BA1295" s="5"/>
      <c r="BB1295" s="5"/>
      <c r="BC1295" s="5"/>
      <c r="BD1295" s="5"/>
      <c r="BE1295" s="63"/>
      <c r="BF1295" s="63"/>
      <c r="BG1295" s="63"/>
      <c r="CA1295" s="256"/>
      <c r="CB1295" s="261"/>
      <c r="CC1295" s="261"/>
      <c r="CD1295" s="261"/>
      <c r="CE1295" s="261"/>
      <c r="CF1295" s="261"/>
      <c r="CG1295" s="53"/>
      <c r="CH1295" s="53"/>
      <c r="CI1295" s="53"/>
      <c r="CJ1295" s="53"/>
      <c r="CK1295" s="53"/>
      <c r="CL1295" s="53"/>
      <c r="CN1295" s="53"/>
      <c r="CO1295" s="53"/>
      <c r="CP1295" s="53"/>
      <c r="CQ1295" s="53"/>
      <c r="CR1295" s="53"/>
      <c r="CS1295" s="53"/>
      <c r="CT1295" s="261"/>
      <c r="CU1295" s="261"/>
      <c r="CV1295" s="255"/>
      <c r="CW1295" s="255"/>
      <c r="CX1295" s="261"/>
      <c r="CY1295" s="255"/>
    </row>
    <row r="1296" spans="1:103" ht="10.25" customHeight="1">
      <c r="A1296" s="216"/>
      <c r="B1296" s="217"/>
      <c r="C1296" s="218"/>
      <c r="D1296" s="219"/>
      <c r="E1296" s="217"/>
      <c r="F1296" s="217"/>
      <c r="G1296" s="217"/>
      <c r="H1296" s="220"/>
      <c r="I1296" s="217"/>
      <c r="J1296" s="217"/>
      <c r="K1296" s="217"/>
      <c r="L1296" s="217"/>
      <c r="M1296" s="217"/>
      <c r="N1296" s="217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BA1296" s="5"/>
      <c r="BB1296" s="5"/>
      <c r="BC1296" s="5"/>
      <c r="BD1296" s="5"/>
      <c r="BE1296" s="63"/>
      <c r="BF1296" s="63"/>
      <c r="BG1296" s="63"/>
      <c r="CA1296" s="256"/>
      <c r="CB1296" s="261"/>
      <c r="CC1296" s="261"/>
      <c r="CD1296" s="261"/>
      <c r="CE1296" s="261"/>
      <c r="CF1296" s="261"/>
      <c r="CG1296" s="53"/>
      <c r="CH1296" s="53"/>
      <c r="CI1296" s="53"/>
      <c r="CJ1296" s="53"/>
      <c r="CK1296" s="53"/>
      <c r="CL1296" s="53"/>
      <c r="CN1296" s="53"/>
      <c r="CO1296" s="53"/>
      <c r="CP1296" s="53"/>
      <c r="CQ1296" s="53"/>
      <c r="CR1296" s="53"/>
      <c r="CS1296" s="53"/>
      <c r="CT1296" s="261"/>
      <c r="CU1296" s="261"/>
      <c r="CV1296" s="261"/>
      <c r="CW1296" s="261"/>
      <c r="CX1296" s="261"/>
      <c r="CY1296" s="255"/>
    </row>
    <row r="1297" spans="1:103" ht="10.25" customHeight="1">
      <c r="A1297" s="216"/>
      <c r="B1297" s="217"/>
      <c r="C1297" s="218"/>
      <c r="D1297" s="219"/>
      <c r="E1297" s="217"/>
      <c r="F1297" s="217"/>
      <c r="G1297" s="217"/>
      <c r="H1297" s="220"/>
      <c r="I1297" s="217"/>
      <c r="J1297" s="217"/>
      <c r="K1297" s="217"/>
      <c r="L1297" s="217"/>
      <c r="M1297" s="217"/>
      <c r="N1297" s="217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BA1297" s="5"/>
      <c r="BB1297" s="5"/>
      <c r="BC1297" s="5"/>
      <c r="BD1297" s="5"/>
      <c r="BE1297" s="63"/>
      <c r="BF1297" s="63"/>
      <c r="BG1297" s="63"/>
      <c r="CA1297" s="256"/>
      <c r="CB1297" s="261"/>
      <c r="CC1297" s="261"/>
      <c r="CD1297" s="261"/>
      <c r="CE1297" s="261"/>
      <c r="CF1297" s="261"/>
      <c r="CG1297" s="53"/>
      <c r="CH1297" s="53"/>
      <c r="CI1297" s="53"/>
      <c r="CJ1297" s="53"/>
      <c r="CK1297" s="53"/>
      <c r="CL1297" s="53"/>
      <c r="CN1297" s="53"/>
      <c r="CO1297" s="53"/>
      <c r="CP1297" s="53"/>
      <c r="CQ1297" s="53"/>
      <c r="CR1297" s="53"/>
      <c r="CS1297" s="53"/>
      <c r="CT1297" s="261"/>
      <c r="CU1297" s="261"/>
      <c r="CV1297" s="261"/>
      <c r="CW1297" s="255"/>
      <c r="CX1297" s="261"/>
      <c r="CY1297" s="255"/>
    </row>
    <row r="1298" spans="1:103" ht="10.25" customHeight="1">
      <c r="A1298" s="216"/>
      <c r="B1298" s="217"/>
      <c r="C1298" s="218"/>
      <c r="D1298" s="219"/>
      <c r="E1298" s="217"/>
      <c r="F1298" s="217"/>
      <c r="G1298" s="217"/>
      <c r="H1298" s="220"/>
      <c r="I1298" s="217"/>
      <c r="J1298" s="217"/>
      <c r="K1298" s="217"/>
      <c r="L1298" s="217"/>
      <c r="M1298" s="217"/>
      <c r="N1298" s="217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BA1298" s="5"/>
      <c r="BB1298" s="5"/>
      <c r="BC1298" s="5"/>
      <c r="BD1298" s="5"/>
      <c r="BE1298" s="63"/>
      <c r="BF1298" s="63"/>
      <c r="BG1298" s="63"/>
      <c r="CA1298" s="256"/>
      <c r="CB1298" s="261"/>
      <c r="CC1298" s="261"/>
      <c r="CD1298" s="261"/>
      <c r="CE1298" s="261"/>
      <c r="CF1298" s="261"/>
      <c r="CG1298" s="53"/>
      <c r="CH1298" s="53"/>
      <c r="CI1298" s="53"/>
      <c r="CJ1298" s="53"/>
      <c r="CK1298" s="53"/>
      <c r="CL1298" s="53"/>
      <c r="CN1298" s="53"/>
      <c r="CO1298" s="53"/>
      <c r="CP1298" s="53"/>
      <c r="CQ1298" s="53"/>
      <c r="CR1298" s="53"/>
      <c r="CS1298" s="53"/>
      <c r="CT1298" s="261"/>
      <c r="CU1298" s="261"/>
      <c r="CV1298" s="261"/>
      <c r="CW1298" s="261"/>
      <c r="CX1298" s="261"/>
      <c r="CY1298" s="255"/>
    </row>
    <row r="1299" spans="1:103" ht="10.25" customHeight="1">
      <c r="A1299" s="216"/>
      <c r="B1299" s="217"/>
      <c r="C1299" s="218"/>
      <c r="D1299" s="219"/>
      <c r="E1299" s="217"/>
      <c r="F1299" s="217"/>
      <c r="G1299" s="217"/>
      <c r="H1299" s="220"/>
      <c r="I1299" s="217"/>
      <c r="J1299" s="217"/>
      <c r="K1299" s="217"/>
      <c r="L1299" s="217"/>
      <c r="M1299" s="217"/>
      <c r="N1299" s="217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BA1299" s="5"/>
      <c r="BB1299" s="5"/>
      <c r="BC1299" s="5"/>
      <c r="BD1299" s="5"/>
      <c r="BE1299" s="63"/>
      <c r="BF1299" s="63"/>
      <c r="BG1299" s="63"/>
      <c r="CA1299" s="256"/>
      <c r="CB1299" s="261"/>
      <c r="CC1299" s="261"/>
      <c r="CD1299" s="261"/>
      <c r="CE1299" s="261"/>
      <c r="CF1299" s="261"/>
      <c r="CG1299" s="53"/>
      <c r="CH1299" s="53"/>
      <c r="CI1299" s="53"/>
      <c r="CJ1299" s="53"/>
      <c r="CK1299" s="53"/>
      <c r="CL1299" s="53"/>
      <c r="CN1299" s="53"/>
      <c r="CO1299" s="53"/>
      <c r="CP1299" s="53"/>
      <c r="CQ1299" s="53"/>
      <c r="CR1299" s="53"/>
      <c r="CS1299" s="53"/>
      <c r="CT1299" s="261"/>
      <c r="CU1299" s="261"/>
      <c r="CV1299" s="255"/>
      <c r="CW1299" s="255"/>
      <c r="CX1299" s="261"/>
      <c r="CY1299" s="255"/>
    </row>
    <row r="1300" spans="1:103" ht="10.25" customHeight="1">
      <c r="A1300" s="216"/>
      <c r="B1300" s="217"/>
      <c r="C1300" s="218"/>
      <c r="D1300" s="219"/>
      <c r="E1300" s="217"/>
      <c r="F1300" s="217"/>
      <c r="G1300" s="217"/>
      <c r="H1300" s="220"/>
      <c r="I1300" s="217"/>
      <c r="J1300" s="217"/>
      <c r="K1300" s="217"/>
      <c r="L1300" s="217"/>
      <c r="M1300" s="217"/>
      <c r="N1300" s="217"/>
      <c r="O1300" s="44"/>
      <c r="P1300" s="44"/>
      <c r="Q1300" s="44"/>
      <c r="R1300" s="44"/>
      <c r="S1300" s="44"/>
      <c r="T1300" s="44"/>
      <c r="U1300" s="44"/>
      <c r="V1300" s="44"/>
      <c r="W1300" s="44"/>
      <c r="X1300" s="44"/>
      <c r="Y1300" s="44"/>
      <c r="Z1300" s="44"/>
      <c r="AA1300" s="44"/>
      <c r="AB1300" s="44"/>
      <c r="AC1300" s="44"/>
      <c r="AD1300" s="44"/>
      <c r="AE1300" s="44"/>
      <c r="AF1300" s="44"/>
      <c r="AG1300" s="44"/>
      <c r="AH1300" s="44"/>
      <c r="AI1300" s="44"/>
      <c r="AJ1300" s="44"/>
      <c r="AK1300" s="44"/>
      <c r="AL1300" s="44"/>
      <c r="AM1300" s="44"/>
      <c r="AN1300" s="44"/>
      <c r="AO1300" s="44"/>
      <c r="AP1300" s="44"/>
      <c r="AQ1300" s="44"/>
      <c r="BA1300" s="5"/>
      <c r="BB1300" s="5"/>
      <c r="BC1300" s="5"/>
      <c r="BD1300" s="5"/>
      <c r="BE1300" s="63"/>
      <c r="BF1300" s="63"/>
      <c r="BG1300" s="63"/>
      <c r="CA1300" s="256"/>
      <c r="CB1300" s="261"/>
      <c r="CC1300" s="261"/>
      <c r="CD1300" s="261"/>
      <c r="CE1300" s="261"/>
      <c r="CF1300" s="261"/>
      <c r="CG1300" s="53"/>
      <c r="CH1300" s="53"/>
      <c r="CI1300" s="53"/>
      <c r="CJ1300" s="53"/>
      <c r="CK1300" s="53"/>
      <c r="CL1300" s="53"/>
      <c r="CN1300" s="53"/>
      <c r="CO1300" s="53"/>
      <c r="CP1300" s="53"/>
      <c r="CQ1300" s="53"/>
      <c r="CR1300" s="53"/>
      <c r="CS1300" s="53"/>
      <c r="CT1300" s="261"/>
      <c r="CU1300" s="261"/>
      <c r="CV1300" s="261"/>
      <c r="CW1300" s="261"/>
      <c r="CX1300" s="261"/>
      <c r="CY1300" s="255"/>
    </row>
    <row r="1301" spans="1:103" ht="10.25" customHeight="1">
      <c r="A1301" s="216"/>
      <c r="B1301" s="217"/>
      <c r="C1301" s="218"/>
      <c r="D1301" s="219"/>
      <c r="E1301" s="217"/>
      <c r="F1301" s="217"/>
      <c r="G1301" s="217"/>
      <c r="H1301" s="220"/>
      <c r="I1301" s="217"/>
      <c r="J1301" s="217"/>
      <c r="K1301" s="217"/>
      <c r="L1301" s="217"/>
      <c r="M1301" s="217"/>
      <c r="N1301" s="217"/>
      <c r="O1301" s="44"/>
      <c r="P1301" s="44"/>
      <c r="Q1301" s="44"/>
      <c r="R1301" s="44"/>
      <c r="S1301" s="44"/>
      <c r="T1301" s="44"/>
      <c r="U1301" s="44"/>
      <c r="V1301" s="44"/>
      <c r="W1301" s="44"/>
      <c r="X1301" s="44"/>
      <c r="Y1301" s="44"/>
      <c r="Z1301" s="44"/>
      <c r="AA1301" s="44"/>
      <c r="AB1301" s="44"/>
      <c r="AC1301" s="44"/>
      <c r="AD1301" s="44"/>
      <c r="AE1301" s="44"/>
      <c r="AF1301" s="44"/>
      <c r="AG1301" s="44"/>
      <c r="AH1301" s="44"/>
      <c r="AI1301" s="44"/>
      <c r="AJ1301" s="44"/>
      <c r="AK1301" s="44"/>
      <c r="AL1301" s="44"/>
      <c r="AM1301" s="44"/>
      <c r="AN1301" s="44"/>
      <c r="AO1301" s="44"/>
      <c r="AP1301" s="44"/>
      <c r="AQ1301" s="44"/>
      <c r="BA1301" s="5"/>
      <c r="BB1301" s="5"/>
      <c r="BC1301" s="5"/>
      <c r="BD1301" s="5"/>
      <c r="BE1301" s="63"/>
      <c r="BF1301" s="63"/>
      <c r="BG1301" s="63"/>
      <c r="CA1301" s="256"/>
      <c r="CB1301" s="261"/>
      <c r="CC1301" s="261"/>
      <c r="CD1301" s="261"/>
      <c r="CE1301" s="261"/>
      <c r="CF1301" s="261"/>
      <c r="CG1301" s="53"/>
      <c r="CH1301" s="53"/>
      <c r="CI1301" s="53"/>
      <c r="CJ1301" s="53"/>
      <c r="CK1301" s="53"/>
      <c r="CL1301" s="53"/>
      <c r="CN1301" s="53"/>
      <c r="CO1301" s="53"/>
      <c r="CP1301" s="53"/>
      <c r="CQ1301" s="53"/>
      <c r="CR1301" s="53"/>
      <c r="CS1301" s="53"/>
      <c r="CT1301" s="261"/>
      <c r="CU1301" s="261"/>
      <c r="CV1301" s="255"/>
      <c r="CW1301" s="255"/>
      <c r="CX1301" s="255"/>
      <c r="CY1301" s="255"/>
    </row>
    <row r="1302" spans="1:103" ht="10.25" customHeight="1">
      <c r="A1302" s="216"/>
      <c r="B1302" s="217"/>
      <c r="C1302" s="218"/>
      <c r="D1302" s="219"/>
      <c r="E1302" s="217"/>
      <c r="F1302" s="217"/>
      <c r="G1302" s="217"/>
      <c r="H1302" s="220"/>
      <c r="I1302" s="217"/>
      <c r="J1302" s="217"/>
      <c r="K1302" s="217"/>
      <c r="L1302" s="217"/>
      <c r="M1302" s="217"/>
      <c r="N1302" s="217"/>
      <c r="O1302" s="44"/>
      <c r="P1302" s="44"/>
      <c r="Q1302" s="44"/>
      <c r="R1302" s="44"/>
      <c r="S1302" s="44"/>
      <c r="T1302" s="44"/>
      <c r="U1302" s="44"/>
      <c r="V1302" s="44"/>
      <c r="W1302" s="44"/>
      <c r="X1302" s="44"/>
      <c r="Y1302" s="44"/>
      <c r="Z1302" s="44"/>
      <c r="AA1302" s="44"/>
      <c r="AB1302" s="44"/>
      <c r="AC1302" s="44"/>
      <c r="AD1302" s="44"/>
      <c r="AE1302" s="44"/>
      <c r="AF1302" s="44"/>
      <c r="AG1302" s="44"/>
      <c r="AH1302" s="44"/>
      <c r="AI1302" s="44"/>
      <c r="AJ1302" s="44"/>
      <c r="AK1302" s="44"/>
      <c r="AL1302" s="44"/>
      <c r="AM1302" s="44"/>
      <c r="AN1302" s="44"/>
      <c r="AO1302" s="44"/>
      <c r="AP1302" s="44"/>
      <c r="AQ1302" s="44"/>
      <c r="BA1302" s="5"/>
      <c r="BB1302" s="5"/>
      <c r="BC1302" s="5"/>
      <c r="BD1302" s="5"/>
      <c r="BE1302" s="63"/>
      <c r="BF1302" s="63"/>
      <c r="BG1302" s="63"/>
      <c r="CA1302" s="256"/>
      <c r="CB1302" s="261"/>
      <c r="CC1302" s="261"/>
      <c r="CD1302" s="261"/>
      <c r="CE1302" s="261"/>
      <c r="CF1302" s="261"/>
      <c r="CG1302" s="53"/>
      <c r="CH1302" s="53"/>
      <c r="CI1302" s="53"/>
      <c r="CJ1302" s="53"/>
      <c r="CK1302" s="53"/>
      <c r="CL1302" s="53"/>
      <c r="CN1302" s="53"/>
      <c r="CO1302" s="53"/>
      <c r="CP1302" s="53"/>
      <c r="CQ1302" s="53"/>
      <c r="CR1302" s="53"/>
      <c r="CS1302" s="53"/>
      <c r="CT1302" s="261"/>
      <c r="CU1302" s="261"/>
      <c r="CV1302" s="261"/>
      <c r="CW1302" s="255"/>
      <c r="CX1302" s="261"/>
      <c r="CY1302" s="255"/>
    </row>
    <row r="1303" spans="1:103" ht="10.25" customHeight="1">
      <c r="A1303" s="216"/>
      <c r="B1303" s="217"/>
      <c r="C1303" s="218"/>
      <c r="D1303" s="219"/>
      <c r="E1303" s="217"/>
      <c r="F1303" s="217"/>
      <c r="G1303" s="217"/>
      <c r="H1303" s="220"/>
      <c r="I1303" s="217"/>
      <c r="J1303" s="217"/>
      <c r="K1303" s="217"/>
      <c r="L1303" s="217"/>
      <c r="M1303" s="217"/>
      <c r="N1303" s="217"/>
      <c r="O1303" s="44"/>
      <c r="P1303" s="44"/>
      <c r="Q1303" s="44"/>
      <c r="R1303" s="44"/>
      <c r="S1303" s="44"/>
      <c r="T1303" s="44"/>
      <c r="U1303" s="44"/>
      <c r="V1303" s="44"/>
      <c r="W1303" s="44"/>
      <c r="X1303" s="44"/>
      <c r="Y1303" s="44"/>
      <c r="Z1303" s="44"/>
      <c r="AA1303" s="44"/>
      <c r="AB1303" s="44"/>
      <c r="AC1303" s="44"/>
      <c r="AD1303" s="44"/>
      <c r="AE1303" s="44"/>
      <c r="AF1303" s="44"/>
      <c r="AG1303" s="44"/>
      <c r="AH1303" s="44"/>
      <c r="AI1303" s="44"/>
      <c r="AJ1303" s="44"/>
      <c r="AK1303" s="44"/>
      <c r="AL1303" s="44"/>
      <c r="AM1303" s="44"/>
      <c r="AN1303" s="44"/>
      <c r="AO1303" s="44"/>
      <c r="AP1303" s="44"/>
      <c r="AQ1303" s="44"/>
      <c r="BA1303" s="5"/>
      <c r="BB1303" s="5"/>
      <c r="BC1303" s="5"/>
      <c r="BD1303" s="5"/>
      <c r="BE1303" s="63"/>
      <c r="BF1303" s="63"/>
      <c r="BG1303" s="63"/>
      <c r="CA1303" s="256"/>
      <c r="CB1303" s="261"/>
      <c r="CC1303" s="261"/>
      <c r="CD1303" s="261"/>
      <c r="CE1303" s="261"/>
      <c r="CF1303" s="261"/>
      <c r="CG1303" s="53"/>
      <c r="CH1303" s="53"/>
      <c r="CI1303" s="53"/>
      <c r="CJ1303" s="53"/>
      <c r="CK1303" s="53"/>
      <c r="CL1303" s="53"/>
      <c r="CN1303" s="53"/>
      <c r="CO1303" s="53"/>
      <c r="CP1303" s="53"/>
      <c r="CQ1303" s="53"/>
      <c r="CR1303" s="53"/>
      <c r="CS1303" s="53"/>
      <c r="CT1303" s="261"/>
      <c r="CU1303" s="261"/>
      <c r="CV1303" s="255"/>
      <c r="CW1303" s="255"/>
      <c r="CX1303" s="261"/>
      <c r="CY1303" s="255"/>
    </row>
    <row r="1304" spans="1:103" ht="10.25" customHeight="1">
      <c r="A1304" s="216"/>
      <c r="B1304" s="217"/>
      <c r="C1304" s="218"/>
      <c r="D1304" s="219"/>
      <c r="E1304" s="217"/>
      <c r="F1304" s="217"/>
      <c r="G1304" s="217"/>
      <c r="H1304" s="220"/>
      <c r="I1304" s="217"/>
      <c r="J1304" s="217"/>
      <c r="K1304" s="217"/>
      <c r="L1304" s="217"/>
      <c r="M1304" s="217"/>
      <c r="N1304" s="217"/>
      <c r="O1304" s="44"/>
      <c r="P1304" s="44"/>
      <c r="Q1304" s="44"/>
      <c r="R1304" s="44"/>
      <c r="S1304" s="44"/>
      <c r="T1304" s="44"/>
      <c r="U1304" s="44"/>
      <c r="V1304" s="44"/>
      <c r="W1304" s="44"/>
      <c r="X1304" s="44"/>
      <c r="Y1304" s="44"/>
      <c r="Z1304" s="44"/>
      <c r="AA1304" s="44"/>
      <c r="AB1304" s="44"/>
      <c r="AC1304" s="44"/>
      <c r="AD1304" s="44"/>
      <c r="AE1304" s="44"/>
      <c r="AF1304" s="44"/>
      <c r="AG1304" s="44"/>
      <c r="AH1304" s="44"/>
      <c r="AI1304" s="44"/>
      <c r="AJ1304" s="44"/>
      <c r="AK1304" s="44"/>
      <c r="AL1304" s="44"/>
      <c r="AM1304" s="44"/>
      <c r="AN1304" s="44"/>
      <c r="AO1304" s="44"/>
      <c r="AP1304" s="44"/>
      <c r="AQ1304" s="44"/>
      <c r="BA1304" s="5"/>
      <c r="BB1304" s="5"/>
      <c r="BC1304" s="5"/>
      <c r="BD1304" s="5"/>
      <c r="BE1304" s="63"/>
      <c r="BF1304" s="63"/>
      <c r="BG1304" s="63"/>
      <c r="CA1304" s="256"/>
      <c r="CB1304" s="261"/>
      <c r="CC1304" s="261"/>
      <c r="CD1304" s="261"/>
      <c r="CE1304" s="261"/>
      <c r="CF1304" s="261"/>
      <c r="CG1304" s="53"/>
      <c r="CH1304" s="53"/>
      <c r="CI1304" s="53"/>
      <c r="CJ1304" s="53"/>
      <c r="CK1304" s="53"/>
      <c r="CL1304" s="53"/>
      <c r="CN1304" s="53"/>
      <c r="CO1304" s="53"/>
      <c r="CP1304" s="53"/>
      <c r="CQ1304" s="53"/>
      <c r="CR1304" s="53"/>
      <c r="CS1304" s="53"/>
      <c r="CT1304" s="261"/>
      <c r="CU1304" s="261"/>
      <c r="CV1304" s="261"/>
      <c r="CW1304" s="261"/>
      <c r="CX1304" s="261"/>
      <c r="CY1304" s="255"/>
    </row>
    <row r="1305" spans="1:103" ht="10.25" customHeight="1">
      <c r="A1305" s="216"/>
      <c r="B1305" s="217"/>
      <c r="C1305" s="218"/>
      <c r="D1305" s="219"/>
      <c r="E1305" s="217"/>
      <c r="F1305" s="217"/>
      <c r="G1305" s="217"/>
      <c r="H1305" s="220"/>
      <c r="I1305" s="217"/>
      <c r="J1305" s="217"/>
      <c r="K1305" s="217"/>
      <c r="L1305" s="217"/>
      <c r="M1305" s="217"/>
      <c r="N1305" s="217"/>
      <c r="O1305" s="44"/>
      <c r="P1305" s="44"/>
      <c r="Q1305" s="44"/>
      <c r="R1305" s="44"/>
      <c r="S1305" s="44"/>
      <c r="T1305" s="44"/>
      <c r="U1305" s="44"/>
      <c r="V1305" s="44"/>
      <c r="W1305" s="44"/>
      <c r="X1305" s="44"/>
      <c r="Y1305" s="44"/>
      <c r="Z1305" s="44"/>
      <c r="AA1305" s="44"/>
      <c r="AB1305" s="44"/>
      <c r="AC1305" s="44"/>
      <c r="AD1305" s="44"/>
      <c r="AE1305" s="44"/>
      <c r="AF1305" s="44"/>
      <c r="AG1305" s="44"/>
      <c r="AH1305" s="44"/>
      <c r="AI1305" s="44"/>
      <c r="AJ1305" s="44"/>
      <c r="AK1305" s="44"/>
      <c r="AL1305" s="44"/>
      <c r="AM1305" s="44"/>
      <c r="AN1305" s="44"/>
      <c r="AO1305" s="44"/>
      <c r="AP1305" s="44"/>
      <c r="AQ1305" s="44"/>
      <c r="BA1305" s="5"/>
      <c r="BB1305" s="5"/>
      <c r="BC1305" s="5"/>
      <c r="BD1305" s="5"/>
      <c r="BE1305" s="63"/>
      <c r="BF1305" s="63"/>
      <c r="BG1305" s="63"/>
      <c r="CA1305" s="256"/>
      <c r="CB1305" s="261"/>
      <c r="CC1305" s="261"/>
      <c r="CD1305" s="261"/>
      <c r="CE1305" s="261"/>
      <c r="CF1305" s="261"/>
      <c r="CG1305" s="53"/>
      <c r="CH1305" s="53"/>
      <c r="CI1305" s="53"/>
      <c r="CJ1305" s="53"/>
      <c r="CK1305" s="53"/>
      <c r="CL1305" s="53"/>
      <c r="CN1305" s="53"/>
      <c r="CO1305" s="53"/>
      <c r="CP1305" s="53"/>
      <c r="CQ1305" s="53"/>
      <c r="CR1305" s="53"/>
      <c r="CS1305" s="53"/>
      <c r="CT1305" s="261"/>
      <c r="CU1305" s="261"/>
      <c r="CV1305" s="255"/>
      <c r="CW1305" s="255"/>
      <c r="CX1305" s="261"/>
      <c r="CY1305" s="255"/>
    </row>
    <row r="1306" spans="1:103" ht="10.25" customHeight="1">
      <c r="A1306" s="216"/>
      <c r="B1306" s="217"/>
      <c r="C1306" s="218"/>
      <c r="D1306" s="219"/>
      <c r="E1306" s="217"/>
      <c r="F1306" s="217"/>
      <c r="G1306" s="217"/>
      <c r="H1306" s="220"/>
      <c r="I1306" s="217"/>
      <c r="J1306" s="217"/>
      <c r="K1306" s="217"/>
      <c r="L1306" s="217"/>
      <c r="M1306" s="217"/>
      <c r="N1306" s="217"/>
      <c r="O1306" s="44"/>
      <c r="P1306" s="44"/>
      <c r="Q1306" s="44"/>
      <c r="R1306" s="44"/>
      <c r="S1306" s="44"/>
      <c r="T1306" s="44"/>
      <c r="U1306" s="44"/>
      <c r="V1306" s="44"/>
      <c r="W1306" s="44"/>
      <c r="X1306" s="44"/>
      <c r="Y1306" s="44"/>
      <c r="Z1306" s="44"/>
      <c r="AA1306" s="44"/>
      <c r="AB1306" s="44"/>
      <c r="AC1306" s="44"/>
      <c r="AD1306" s="44"/>
      <c r="AE1306" s="44"/>
      <c r="AF1306" s="44"/>
      <c r="AG1306" s="44"/>
      <c r="AH1306" s="44"/>
      <c r="AI1306" s="44"/>
      <c r="AJ1306" s="44"/>
      <c r="AK1306" s="44"/>
      <c r="AL1306" s="44"/>
      <c r="AM1306" s="44"/>
      <c r="AN1306" s="44"/>
      <c r="AO1306" s="44"/>
      <c r="AP1306" s="44"/>
      <c r="AQ1306" s="44"/>
      <c r="BA1306" s="5"/>
      <c r="BB1306" s="5"/>
      <c r="BC1306" s="5"/>
      <c r="BD1306" s="5"/>
      <c r="BE1306" s="63"/>
      <c r="BF1306" s="63"/>
      <c r="BG1306" s="63"/>
      <c r="CA1306" s="256"/>
      <c r="CB1306" s="261"/>
      <c r="CC1306" s="261"/>
      <c r="CD1306" s="261"/>
      <c r="CE1306" s="261"/>
      <c r="CF1306" s="255"/>
      <c r="CG1306" s="53"/>
      <c r="CH1306" s="53"/>
      <c r="CI1306" s="53"/>
      <c r="CJ1306" s="53"/>
      <c r="CK1306" s="53"/>
      <c r="CL1306" s="53"/>
      <c r="CN1306" s="53"/>
      <c r="CO1306" s="53"/>
      <c r="CP1306" s="53"/>
      <c r="CQ1306" s="53"/>
      <c r="CR1306" s="53"/>
      <c r="CS1306" s="53"/>
      <c r="CT1306" s="261"/>
      <c r="CU1306" s="255"/>
      <c r="CV1306" s="261"/>
      <c r="CW1306" s="261"/>
      <c r="CX1306" s="261"/>
      <c r="CY1306" s="255"/>
    </row>
    <row r="1307" spans="1:103" ht="10.25" customHeight="1">
      <c r="A1307" s="216"/>
      <c r="B1307" s="217"/>
      <c r="C1307" s="218"/>
      <c r="D1307" s="219"/>
      <c r="E1307" s="217"/>
      <c r="F1307" s="217"/>
      <c r="G1307" s="217"/>
      <c r="H1307" s="220"/>
      <c r="I1307" s="217"/>
      <c r="J1307" s="217"/>
      <c r="K1307" s="217"/>
      <c r="L1307" s="217"/>
      <c r="M1307" s="217"/>
      <c r="N1307" s="217"/>
      <c r="O1307" s="44"/>
      <c r="P1307" s="44"/>
      <c r="Q1307" s="44"/>
      <c r="R1307" s="44"/>
      <c r="S1307" s="44"/>
      <c r="T1307" s="44"/>
      <c r="U1307" s="44"/>
      <c r="V1307" s="44"/>
      <c r="W1307" s="44"/>
      <c r="X1307" s="44"/>
      <c r="Y1307" s="44"/>
      <c r="Z1307" s="44"/>
      <c r="AA1307" s="44"/>
      <c r="AB1307" s="44"/>
      <c r="AC1307" s="44"/>
      <c r="AD1307" s="44"/>
      <c r="AE1307" s="44"/>
      <c r="AF1307" s="44"/>
      <c r="AG1307" s="44"/>
      <c r="AH1307" s="44"/>
      <c r="AI1307" s="44"/>
      <c r="AJ1307" s="44"/>
      <c r="AK1307" s="44"/>
      <c r="AL1307" s="44"/>
      <c r="AM1307" s="44"/>
      <c r="AN1307" s="44"/>
      <c r="AO1307" s="44"/>
      <c r="AP1307" s="44"/>
      <c r="AQ1307" s="44"/>
      <c r="BA1307" s="5"/>
      <c r="BB1307" s="5"/>
      <c r="BC1307" s="5"/>
      <c r="BD1307" s="5"/>
      <c r="BE1307" s="63"/>
      <c r="BF1307" s="63"/>
      <c r="BG1307" s="63"/>
      <c r="CA1307" s="256"/>
      <c r="CB1307" s="261"/>
      <c r="CC1307" s="261"/>
      <c r="CD1307" s="261"/>
      <c r="CE1307" s="261"/>
      <c r="CF1307" s="255"/>
      <c r="CG1307" s="53"/>
      <c r="CH1307" s="53"/>
      <c r="CI1307" s="53"/>
      <c r="CJ1307" s="53"/>
      <c r="CK1307" s="53"/>
      <c r="CL1307" s="53"/>
      <c r="CN1307" s="53"/>
      <c r="CO1307" s="53"/>
      <c r="CP1307" s="53"/>
      <c r="CQ1307" s="53"/>
      <c r="CR1307" s="53"/>
      <c r="CS1307" s="53"/>
      <c r="CT1307" s="261"/>
      <c r="CU1307" s="255"/>
      <c r="CV1307" s="255"/>
      <c r="CW1307" s="255"/>
      <c r="CX1307" s="261"/>
      <c r="CY1307" s="255"/>
    </row>
    <row r="1308" spans="1:103" ht="10.25" customHeight="1">
      <c r="A1308" s="216"/>
      <c r="B1308" s="217"/>
      <c r="C1308" s="218"/>
      <c r="D1308" s="219"/>
      <c r="E1308" s="217"/>
      <c r="F1308" s="217"/>
      <c r="G1308" s="217"/>
      <c r="H1308" s="220"/>
      <c r="I1308" s="217"/>
      <c r="J1308" s="217"/>
      <c r="K1308" s="217"/>
      <c r="L1308" s="217"/>
      <c r="M1308" s="217"/>
      <c r="N1308" s="217"/>
      <c r="O1308" s="44"/>
      <c r="P1308" s="44"/>
      <c r="Q1308" s="44"/>
      <c r="R1308" s="44"/>
      <c r="S1308" s="44"/>
      <c r="T1308" s="44"/>
      <c r="U1308" s="44"/>
      <c r="V1308" s="44"/>
      <c r="W1308" s="44"/>
      <c r="X1308" s="44"/>
      <c r="Y1308" s="44"/>
      <c r="Z1308" s="44"/>
      <c r="AA1308" s="44"/>
      <c r="AB1308" s="44"/>
      <c r="AC1308" s="44"/>
      <c r="AD1308" s="44"/>
      <c r="AE1308" s="44"/>
      <c r="AF1308" s="44"/>
      <c r="AG1308" s="44"/>
      <c r="AH1308" s="44"/>
      <c r="AI1308" s="44"/>
      <c r="AJ1308" s="44"/>
      <c r="AK1308" s="44"/>
      <c r="AL1308" s="44"/>
      <c r="AM1308" s="44"/>
      <c r="AN1308" s="44"/>
      <c r="AO1308" s="44"/>
      <c r="AP1308" s="44"/>
      <c r="AQ1308" s="44"/>
      <c r="BA1308" s="5"/>
      <c r="BB1308" s="5"/>
      <c r="BC1308" s="5"/>
      <c r="BD1308" s="5"/>
      <c r="BE1308" s="63"/>
      <c r="BF1308" s="63"/>
      <c r="BG1308" s="63"/>
      <c r="CA1308" s="256"/>
      <c r="CB1308" s="261"/>
      <c r="CC1308" s="261"/>
      <c r="CD1308" s="261"/>
      <c r="CE1308" s="255"/>
      <c r="CF1308" s="261"/>
      <c r="CG1308" s="53"/>
      <c r="CH1308" s="53"/>
      <c r="CI1308" s="53"/>
      <c r="CJ1308" s="53"/>
      <c r="CK1308" s="53"/>
      <c r="CL1308" s="53"/>
      <c r="CN1308" s="53"/>
      <c r="CO1308" s="53"/>
      <c r="CP1308" s="53"/>
      <c r="CQ1308" s="53"/>
      <c r="CR1308" s="53"/>
      <c r="CS1308" s="53"/>
      <c r="CT1308" s="255"/>
      <c r="CU1308" s="261"/>
      <c r="CV1308" s="261"/>
      <c r="CW1308" s="261"/>
      <c r="CX1308" s="261"/>
      <c r="CY1308" s="255"/>
    </row>
    <row r="1309" spans="1:103" ht="10.25" customHeight="1">
      <c r="A1309" s="216"/>
      <c r="B1309" s="217"/>
      <c r="C1309" s="218"/>
      <c r="D1309" s="219"/>
      <c r="E1309" s="217"/>
      <c r="F1309" s="217"/>
      <c r="G1309" s="217"/>
      <c r="H1309" s="220"/>
      <c r="I1309" s="217"/>
      <c r="J1309" s="217"/>
      <c r="K1309" s="217"/>
      <c r="L1309" s="217"/>
      <c r="M1309" s="217"/>
      <c r="N1309" s="217"/>
      <c r="O1309" s="44"/>
      <c r="P1309" s="44"/>
      <c r="Q1309" s="44"/>
      <c r="R1309" s="44"/>
      <c r="S1309" s="44"/>
      <c r="T1309" s="44"/>
      <c r="U1309" s="44"/>
      <c r="V1309" s="44"/>
      <c r="W1309" s="44"/>
      <c r="X1309" s="44"/>
      <c r="Y1309" s="44"/>
      <c r="Z1309" s="44"/>
      <c r="AA1309" s="44"/>
      <c r="AB1309" s="44"/>
      <c r="AC1309" s="44"/>
      <c r="AD1309" s="44"/>
      <c r="AE1309" s="44"/>
      <c r="AF1309" s="44"/>
      <c r="AG1309" s="44"/>
      <c r="AH1309" s="44"/>
      <c r="AI1309" s="44"/>
      <c r="AJ1309" s="44"/>
      <c r="AK1309" s="44"/>
      <c r="AL1309" s="44"/>
      <c r="AM1309" s="44"/>
      <c r="AN1309" s="44"/>
      <c r="AO1309" s="44"/>
      <c r="AP1309" s="44"/>
      <c r="AQ1309" s="44"/>
      <c r="BA1309" s="5"/>
      <c r="BB1309" s="5"/>
      <c r="BC1309" s="5"/>
      <c r="BD1309" s="5"/>
      <c r="BE1309" s="63"/>
      <c r="BF1309" s="63"/>
      <c r="BG1309" s="63"/>
      <c r="CA1309" s="256"/>
      <c r="CB1309" s="261"/>
      <c r="CC1309" s="261"/>
      <c r="CD1309" s="261"/>
      <c r="CE1309" s="255"/>
      <c r="CF1309" s="261"/>
      <c r="CG1309" s="53"/>
      <c r="CH1309" s="53"/>
      <c r="CI1309" s="53"/>
      <c r="CJ1309" s="53"/>
      <c r="CK1309" s="53"/>
      <c r="CL1309" s="53"/>
      <c r="CN1309" s="53"/>
      <c r="CO1309" s="53"/>
      <c r="CP1309" s="53"/>
      <c r="CQ1309" s="53"/>
      <c r="CR1309" s="53"/>
      <c r="CS1309" s="53"/>
      <c r="CT1309" s="255"/>
      <c r="CU1309" s="261"/>
      <c r="CV1309" s="255"/>
      <c r="CW1309" s="255"/>
      <c r="CX1309" s="261"/>
      <c r="CY1309" s="255"/>
    </row>
    <row r="1310" spans="1:103" ht="10.25" customHeight="1">
      <c r="A1310" s="216"/>
      <c r="B1310" s="217"/>
      <c r="C1310" s="218"/>
      <c r="D1310" s="219"/>
      <c r="E1310" s="217"/>
      <c r="F1310" s="217"/>
      <c r="G1310" s="217"/>
      <c r="H1310" s="220"/>
      <c r="I1310" s="217"/>
      <c r="J1310" s="217"/>
      <c r="K1310" s="217"/>
      <c r="L1310" s="217"/>
      <c r="M1310" s="217"/>
      <c r="N1310" s="217"/>
      <c r="O1310" s="44"/>
      <c r="P1310" s="44"/>
      <c r="Q1310" s="44"/>
      <c r="R1310" s="44"/>
      <c r="S1310" s="44"/>
      <c r="T1310" s="44"/>
      <c r="U1310" s="44"/>
      <c r="V1310" s="44"/>
      <c r="W1310" s="44"/>
      <c r="X1310" s="44"/>
      <c r="Y1310" s="44"/>
      <c r="Z1310" s="44"/>
      <c r="AA1310" s="44"/>
      <c r="AB1310" s="44"/>
      <c r="AC1310" s="44"/>
      <c r="AD1310" s="44"/>
      <c r="AE1310" s="44"/>
      <c r="AF1310" s="44"/>
      <c r="AG1310" s="44"/>
      <c r="AH1310" s="44"/>
      <c r="AI1310" s="44"/>
      <c r="AJ1310" s="44"/>
      <c r="AK1310" s="44"/>
      <c r="AL1310" s="44"/>
      <c r="AM1310" s="44"/>
      <c r="AN1310" s="44"/>
      <c r="AO1310" s="44"/>
      <c r="AP1310" s="44"/>
      <c r="AQ1310" s="44"/>
      <c r="BA1310" s="5"/>
      <c r="BB1310" s="5"/>
      <c r="BC1310" s="5"/>
      <c r="BD1310" s="5"/>
      <c r="BE1310" s="63"/>
      <c r="BF1310" s="63"/>
      <c r="BG1310" s="63"/>
      <c r="CA1310" s="256"/>
      <c r="CB1310" s="261"/>
      <c r="CC1310" s="261"/>
      <c r="CD1310" s="261"/>
      <c r="CE1310" s="261"/>
      <c r="CF1310" s="261"/>
      <c r="CG1310" s="53"/>
      <c r="CH1310" s="53"/>
      <c r="CI1310" s="53"/>
      <c r="CJ1310" s="53"/>
      <c r="CK1310" s="53"/>
      <c r="CL1310" s="53"/>
      <c r="CN1310" s="53"/>
      <c r="CO1310" s="53"/>
      <c r="CP1310" s="53"/>
      <c r="CQ1310" s="53"/>
      <c r="CR1310" s="53"/>
      <c r="CS1310" s="53"/>
      <c r="CT1310" s="261"/>
      <c r="CU1310" s="261"/>
      <c r="CV1310" s="261"/>
      <c r="CW1310" s="261"/>
      <c r="CX1310" s="255"/>
      <c r="CY1310" s="255"/>
    </row>
    <row r="1311" spans="1:103" ht="10.25" customHeight="1">
      <c r="A1311" s="216"/>
      <c r="B1311" s="217"/>
      <c r="C1311" s="218"/>
      <c r="D1311" s="219"/>
      <c r="E1311" s="217"/>
      <c r="F1311" s="217"/>
      <c r="G1311" s="217"/>
      <c r="H1311" s="220"/>
      <c r="I1311" s="217"/>
      <c r="J1311" s="217"/>
      <c r="K1311" s="217"/>
      <c r="L1311" s="217"/>
      <c r="M1311" s="217"/>
      <c r="N1311" s="217"/>
      <c r="O1311" s="44"/>
      <c r="P1311" s="44"/>
      <c r="Q1311" s="44"/>
      <c r="R1311" s="44"/>
      <c r="S1311" s="44"/>
      <c r="T1311" s="44"/>
      <c r="U1311" s="44"/>
      <c r="V1311" s="44"/>
      <c r="W1311" s="44"/>
      <c r="X1311" s="44"/>
      <c r="Y1311" s="44"/>
      <c r="Z1311" s="44"/>
      <c r="AA1311" s="44"/>
      <c r="AB1311" s="44"/>
      <c r="AC1311" s="44"/>
      <c r="AD1311" s="44"/>
      <c r="AE1311" s="44"/>
      <c r="AF1311" s="44"/>
      <c r="AG1311" s="44"/>
      <c r="AH1311" s="44"/>
      <c r="AI1311" s="44"/>
      <c r="AJ1311" s="44"/>
      <c r="AK1311" s="44"/>
      <c r="AL1311" s="44"/>
      <c r="AM1311" s="44"/>
      <c r="AN1311" s="44"/>
      <c r="AO1311" s="44"/>
      <c r="AP1311" s="44"/>
      <c r="AQ1311" s="44"/>
      <c r="BA1311" s="5"/>
      <c r="BB1311" s="5"/>
      <c r="BC1311" s="5"/>
      <c r="BD1311" s="5"/>
      <c r="BE1311" s="63"/>
      <c r="BF1311" s="63"/>
      <c r="BG1311" s="63"/>
      <c r="CA1311" s="256"/>
      <c r="CB1311" s="261"/>
      <c r="CC1311" s="261"/>
      <c r="CD1311" s="261"/>
      <c r="CE1311" s="261"/>
      <c r="CF1311" s="261"/>
      <c r="CG1311" s="53"/>
      <c r="CH1311" s="53"/>
      <c r="CI1311" s="53"/>
      <c r="CJ1311" s="53"/>
      <c r="CK1311" s="53"/>
      <c r="CL1311" s="53"/>
      <c r="CN1311" s="53"/>
      <c r="CO1311" s="53"/>
      <c r="CP1311" s="53"/>
      <c r="CQ1311" s="53"/>
      <c r="CR1311" s="53"/>
      <c r="CS1311" s="53"/>
      <c r="CT1311" s="261"/>
      <c r="CU1311" s="261"/>
      <c r="CV1311" s="255"/>
      <c r="CW1311" s="255"/>
      <c r="CX1311" s="261"/>
      <c r="CY1311" s="255"/>
    </row>
    <row r="1312" spans="1:103" ht="10.25" customHeight="1">
      <c r="A1312" s="216"/>
      <c r="B1312" s="217"/>
      <c r="C1312" s="218"/>
      <c r="D1312" s="219"/>
      <c r="E1312" s="217"/>
      <c r="F1312" s="217"/>
      <c r="G1312" s="217"/>
      <c r="H1312" s="220"/>
      <c r="I1312" s="217"/>
      <c r="J1312" s="217"/>
      <c r="K1312" s="217"/>
      <c r="L1312" s="217"/>
      <c r="M1312" s="217"/>
      <c r="N1312" s="217"/>
      <c r="O1312" s="44"/>
      <c r="P1312" s="44"/>
      <c r="Q1312" s="44"/>
      <c r="R1312" s="44"/>
      <c r="S1312" s="44"/>
      <c r="T1312" s="44"/>
      <c r="U1312" s="44"/>
      <c r="V1312" s="44"/>
      <c r="W1312" s="44"/>
      <c r="X1312" s="44"/>
      <c r="Y1312" s="44"/>
      <c r="Z1312" s="44"/>
      <c r="AA1312" s="44"/>
      <c r="AB1312" s="44"/>
      <c r="AC1312" s="44"/>
      <c r="AD1312" s="44"/>
      <c r="AE1312" s="44"/>
      <c r="AF1312" s="44"/>
      <c r="AG1312" s="44"/>
      <c r="AH1312" s="44"/>
      <c r="AI1312" s="44"/>
      <c r="AJ1312" s="44"/>
      <c r="AK1312" s="44"/>
      <c r="AL1312" s="44"/>
      <c r="AM1312" s="44"/>
      <c r="AN1312" s="44"/>
      <c r="AO1312" s="44"/>
      <c r="AP1312" s="44"/>
      <c r="AQ1312" s="44"/>
      <c r="BA1312" s="5"/>
      <c r="BB1312" s="5"/>
      <c r="BC1312" s="5"/>
      <c r="BD1312" s="5"/>
      <c r="BE1312" s="63"/>
      <c r="BF1312" s="63"/>
      <c r="BG1312" s="63"/>
      <c r="CA1312" s="256"/>
      <c r="CB1312" s="261"/>
      <c r="CC1312" s="261"/>
      <c r="CD1312" s="261"/>
      <c r="CE1312" s="261"/>
      <c r="CF1312" s="261"/>
      <c r="CG1312" s="53"/>
      <c r="CH1312" s="53"/>
      <c r="CI1312" s="53"/>
      <c r="CJ1312" s="53"/>
      <c r="CK1312" s="53"/>
      <c r="CL1312" s="53"/>
      <c r="CN1312" s="53"/>
      <c r="CO1312" s="53"/>
      <c r="CP1312" s="53"/>
      <c r="CQ1312" s="53"/>
      <c r="CR1312" s="53"/>
      <c r="CS1312" s="53"/>
      <c r="CT1312" s="261"/>
      <c r="CU1312" s="261"/>
      <c r="CV1312" s="261"/>
      <c r="CW1312" s="255"/>
      <c r="CX1312" s="261"/>
      <c r="CY1312" s="255"/>
    </row>
    <row r="1313" spans="1:103" ht="10.25" customHeight="1">
      <c r="A1313" s="216"/>
      <c r="B1313" s="217"/>
      <c r="C1313" s="218"/>
      <c r="D1313" s="219"/>
      <c r="E1313" s="217"/>
      <c r="F1313" s="217"/>
      <c r="G1313" s="217"/>
      <c r="H1313" s="220"/>
      <c r="I1313" s="217"/>
      <c r="J1313" s="217"/>
      <c r="K1313" s="217"/>
      <c r="L1313" s="217"/>
      <c r="M1313" s="217"/>
      <c r="N1313" s="217"/>
      <c r="O1313" s="44"/>
      <c r="P1313" s="44"/>
      <c r="Q1313" s="44"/>
      <c r="R1313" s="44"/>
      <c r="S1313" s="44"/>
      <c r="T1313" s="44"/>
      <c r="U1313" s="44"/>
      <c r="V1313" s="44"/>
      <c r="W1313" s="44"/>
      <c r="X1313" s="44"/>
      <c r="Y1313" s="44"/>
      <c r="Z1313" s="44"/>
      <c r="AA1313" s="44"/>
      <c r="AB1313" s="44"/>
      <c r="AC1313" s="44"/>
      <c r="AD1313" s="44"/>
      <c r="AE1313" s="44"/>
      <c r="AF1313" s="44"/>
      <c r="AG1313" s="44"/>
      <c r="AH1313" s="44"/>
      <c r="AI1313" s="44"/>
      <c r="AJ1313" s="44"/>
      <c r="AK1313" s="44"/>
      <c r="AL1313" s="44"/>
      <c r="AM1313" s="44"/>
      <c r="AN1313" s="44"/>
      <c r="AO1313" s="44"/>
      <c r="AP1313" s="44"/>
      <c r="AQ1313" s="44"/>
      <c r="BA1313" s="5"/>
      <c r="BB1313" s="5"/>
      <c r="BC1313" s="5"/>
      <c r="BD1313" s="5"/>
      <c r="BE1313" s="63"/>
      <c r="BF1313" s="63"/>
      <c r="BG1313" s="63"/>
      <c r="CA1313" s="256"/>
      <c r="CB1313" s="261"/>
      <c r="CC1313" s="261"/>
      <c r="CD1313" s="261"/>
      <c r="CE1313" s="261"/>
      <c r="CF1313" s="261"/>
      <c r="CG1313" s="53"/>
      <c r="CH1313" s="53"/>
      <c r="CI1313" s="53"/>
      <c r="CJ1313" s="53"/>
      <c r="CK1313" s="53"/>
      <c r="CL1313" s="53"/>
      <c r="CN1313" s="53"/>
      <c r="CO1313" s="53"/>
      <c r="CP1313" s="53"/>
      <c r="CQ1313" s="53"/>
      <c r="CR1313" s="53"/>
      <c r="CS1313" s="53"/>
      <c r="CT1313" s="261"/>
      <c r="CU1313" s="261"/>
      <c r="CV1313" s="255"/>
      <c r="CW1313" s="255"/>
      <c r="CX1313" s="261"/>
      <c r="CY1313" s="255"/>
    </row>
    <row r="1314" spans="1:103" ht="10.25" customHeight="1">
      <c r="A1314" s="216"/>
      <c r="B1314" s="217"/>
      <c r="C1314" s="218"/>
      <c r="D1314" s="219"/>
      <c r="E1314" s="217"/>
      <c r="F1314" s="217"/>
      <c r="G1314" s="217"/>
      <c r="H1314" s="220"/>
      <c r="I1314" s="217"/>
      <c r="J1314" s="217"/>
      <c r="K1314" s="217"/>
      <c r="L1314" s="217"/>
      <c r="M1314" s="217"/>
      <c r="N1314" s="217"/>
      <c r="O1314" s="44"/>
      <c r="P1314" s="44"/>
      <c r="Q1314" s="44"/>
      <c r="R1314" s="44"/>
      <c r="S1314" s="44"/>
      <c r="T1314" s="44"/>
      <c r="U1314" s="44"/>
      <c r="V1314" s="44"/>
      <c r="W1314" s="44"/>
      <c r="X1314" s="44"/>
      <c r="Y1314" s="44"/>
      <c r="Z1314" s="44"/>
      <c r="AA1314" s="44"/>
      <c r="AB1314" s="44"/>
      <c r="AC1314" s="44"/>
      <c r="AD1314" s="44"/>
      <c r="AE1314" s="44"/>
      <c r="AF1314" s="44"/>
      <c r="AG1314" s="44"/>
      <c r="AH1314" s="44"/>
      <c r="AI1314" s="44"/>
      <c r="AJ1314" s="44"/>
      <c r="AK1314" s="44"/>
      <c r="AL1314" s="44"/>
      <c r="AM1314" s="44"/>
      <c r="AN1314" s="44"/>
      <c r="AO1314" s="44"/>
      <c r="AP1314" s="44"/>
      <c r="AQ1314" s="44"/>
      <c r="BA1314" s="5"/>
      <c r="BB1314" s="5"/>
      <c r="BC1314" s="5"/>
      <c r="BD1314" s="5"/>
      <c r="BE1314" s="63"/>
      <c r="BF1314" s="63"/>
      <c r="BG1314" s="63"/>
      <c r="CA1314" s="256"/>
      <c r="CB1314" s="261"/>
      <c r="CC1314" s="261"/>
      <c r="CD1314" s="261"/>
      <c r="CE1314" s="261"/>
      <c r="CF1314" s="261"/>
      <c r="CG1314" s="53"/>
      <c r="CH1314" s="53"/>
      <c r="CI1314" s="53"/>
      <c r="CJ1314" s="53"/>
      <c r="CK1314" s="53"/>
      <c r="CL1314" s="53"/>
      <c r="CN1314" s="53"/>
      <c r="CO1314" s="53"/>
      <c r="CP1314" s="53"/>
      <c r="CQ1314" s="53"/>
      <c r="CR1314" s="53"/>
      <c r="CS1314" s="53"/>
      <c r="CT1314" s="261"/>
      <c r="CU1314" s="261"/>
      <c r="CV1314" s="261"/>
      <c r="CW1314" s="261"/>
      <c r="CX1314" s="261"/>
      <c r="CY1314" s="255"/>
    </row>
    <row r="1315" spans="1:103" ht="10.25" customHeight="1">
      <c r="A1315" s="216"/>
      <c r="B1315" s="217"/>
      <c r="C1315" s="218"/>
      <c r="D1315" s="219"/>
      <c r="E1315" s="217"/>
      <c r="F1315" s="217"/>
      <c r="G1315" s="217"/>
      <c r="H1315" s="220"/>
      <c r="I1315" s="217"/>
      <c r="J1315" s="217"/>
      <c r="K1315" s="217"/>
      <c r="L1315" s="217"/>
      <c r="M1315" s="217"/>
      <c r="N1315" s="217"/>
      <c r="O1315" s="44"/>
      <c r="P1315" s="44"/>
      <c r="Q1315" s="44"/>
      <c r="R1315" s="44"/>
      <c r="S1315" s="44"/>
      <c r="T1315" s="44"/>
      <c r="U1315" s="44"/>
      <c r="V1315" s="44"/>
      <c r="W1315" s="44"/>
      <c r="X1315" s="44"/>
      <c r="Y1315" s="44"/>
      <c r="Z1315" s="44"/>
      <c r="AA1315" s="44"/>
      <c r="AB1315" s="44"/>
      <c r="AC1315" s="44"/>
      <c r="AD1315" s="44"/>
      <c r="AE1315" s="44"/>
      <c r="AF1315" s="44"/>
      <c r="AG1315" s="44"/>
      <c r="AH1315" s="44"/>
      <c r="AI1315" s="44"/>
      <c r="AJ1315" s="44"/>
      <c r="AK1315" s="44"/>
      <c r="AL1315" s="44"/>
      <c r="AM1315" s="44"/>
      <c r="AN1315" s="44"/>
      <c r="AO1315" s="44"/>
      <c r="AP1315" s="44"/>
      <c r="AQ1315" s="44"/>
      <c r="BA1315" s="5"/>
      <c r="BB1315" s="5"/>
      <c r="BC1315" s="5"/>
      <c r="BD1315" s="5"/>
      <c r="BE1315" s="63"/>
      <c r="BF1315" s="63"/>
      <c r="BG1315" s="63"/>
      <c r="CA1315" s="256"/>
      <c r="CB1315" s="261"/>
      <c r="CC1315" s="261"/>
      <c r="CD1315" s="255"/>
      <c r="CE1315" s="261"/>
      <c r="CF1315" s="261"/>
      <c r="CG1315" s="53"/>
      <c r="CH1315" s="53"/>
      <c r="CI1315" s="53"/>
      <c r="CJ1315" s="53"/>
      <c r="CK1315" s="53"/>
      <c r="CL1315" s="53"/>
      <c r="CN1315" s="53"/>
      <c r="CO1315" s="53"/>
      <c r="CP1315" s="53"/>
      <c r="CQ1315" s="53"/>
      <c r="CR1315" s="53"/>
      <c r="CS1315" s="53"/>
      <c r="CT1315" s="261"/>
      <c r="CU1315" s="261"/>
      <c r="CV1315" s="261"/>
      <c r="CW1315" s="261"/>
      <c r="CX1315" s="261"/>
      <c r="CY1315" s="255"/>
    </row>
    <row r="1316" spans="1:103" ht="10.25" customHeight="1">
      <c r="A1316" s="216"/>
      <c r="B1316" s="217"/>
      <c r="C1316" s="218"/>
      <c r="D1316" s="219"/>
      <c r="E1316" s="217"/>
      <c r="F1316" s="217"/>
      <c r="G1316" s="217"/>
      <c r="H1316" s="220"/>
      <c r="I1316" s="217"/>
      <c r="J1316" s="217"/>
      <c r="K1316" s="217"/>
      <c r="L1316" s="217"/>
      <c r="M1316" s="217"/>
      <c r="N1316" s="217"/>
      <c r="O1316" s="44"/>
      <c r="P1316" s="44"/>
      <c r="Q1316" s="44"/>
      <c r="R1316" s="44"/>
      <c r="S1316" s="44"/>
      <c r="T1316" s="44"/>
      <c r="U1316" s="44"/>
      <c r="V1316" s="44"/>
      <c r="W1316" s="44"/>
      <c r="X1316" s="44"/>
      <c r="Y1316" s="44"/>
      <c r="Z1316" s="44"/>
      <c r="AA1316" s="44"/>
      <c r="AB1316" s="44"/>
      <c r="AC1316" s="44"/>
      <c r="AD1316" s="44"/>
      <c r="AE1316" s="44"/>
      <c r="AF1316" s="44"/>
      <c r="AG1316" s="44"/>
      <c r="AH1316" s="44"/>
      <c r="AI1316" s="44"/>
      <c r="AJ1316" s="44"/>
      <c r="AK1316" s="44"/>
      <c r="AL1316" s="44"/>
      <c r="AM1316" s="44"/>
      <c r="AN1316" s="44"/>
      <c r="AO1316" s="44"/>
      <c r="AP1316" s="44"/>
      <c r="AQ1316" s="44"/>
      <c r="BA1316" s="5"/>
      <c r="BB1316" s="5"/>
      <c r="BC1316" s="5"/>
      <c r="BD1316" s="5"/>
      <c r="BE1316" s="63"/>
      <c r="BF1316" s="63"/>
      <c r="BG1316" s="63"/>
      <c r="CA1316" s="256"/>
      <c r="CB1316" s="261"/>
      <c r="CC1316" s="261"/>
      <c r="CD1316" s="255"/>
      <c r="CE1316" s="261"/>
      <c r="CF1316" s="261"/>
      <c r="CG1316" s="53"/>
      <c r="CH1316" s="53"/>
      <c r="CI1316" s="53"/>
      <c r="CJ1316" s="53"/>
      <c r="CK1316" s="53"/>
      <c r="CL1316" s="53"/>
      <c r="CN1316" s="53"/>
      <c r="CO1316" s="53"/>
      <c r="CP1316" s="53"/>
      <c r="CQ1316" s="53"/>
      <c r="CR1316" s="53"/>
      <c r="CS1316" s="53"/>
      <c r="CT1316" s="261"/>
      <c r="CU1316" s="261"/>
      <c r="CV1316" s="261"/>
      <c r="CW1316" s="261"/>
      <c r="CX1316" s="261"/>
      <c r="CY1316" s="255"/>
    </row>
    <row r="1317" spans="1:103" ht="10.25" customHeight="1">
      <c r="A1317" s="216"/>
      <c r="B1317" s="217"/>
      <c r="C1317" s="218"/>
      <c r="D1317" s="219"/>
      <c r="E1317" s="217"/>
      <c r="F1317" s="217"/>
      <c r="G1317" s="217"/>
      <c r="H1317" s="220"/>
      <c r="I1317" s="217"/>
      <c r="J1317" s="217"/>
      <c r="K1317" s="217"/>
      <c r="L1317" s="217"/>
      <c r="M1317" s="217"/>
      <c r="N1317" s="217"/>
      <c r="O1317" s="44"/>
      <c r="P1317" s="44"/>
      <c r="Q1317" s="44"/>
      <c r="R1317" s="44"/>
      <c r="S1317" s="44"/>
      <c r="T1317" s="44"/>
      <c r="U1317" s="44"/>
      <c r="V1317" s="44"/>
      <c r="W1317" s="44"/>
      <c r="X1317" s="44"/>
      <c r="Y1317" s="44"/>
      <c r="Z1317" s="44"/>
      <c r="AA1317" s="44"/>
      <c r="AB1317" s="44"/>
      <c r="AC1317" s="44"/>
      <c r="AD1317" s="44"/>
      <c r="AE1317" s="44"/>
      <c r="AF1317" s="44"/>
      <c r="AG1317" s="44"/>
      <c r="AH1317" s="44"/>
      <c r="AI1317" s="44"/>
      <c r="AJ1317" s="44"/>
      <c r="AK1317" s="44"/>
      <c r="AL1317" s="44"/>
      <c r="AM1317" s="44"/>
      <c r="AN1317" s="44"/>
      <c r="AO1317" s="44"/>
      <c r="AP1317" s="44"/>
      <c r="AQ1317" s="44"/>
      <c r="BA1317" s="5"/>
      <c r="BB1317" s="5"/>
      <c r="BC1317" s="5"/>
      <c r="BD1317" s="5"/>
      <c r="BE1317" s="63"/>
      <c r="BF1317" s="63"/>
      <c r="BG1317" s="63"/>
      <c r="CA1317" s="256"/>
      <c r="CB1317" s="261"/>
      <c r="CC1317" s="261"/>
      <c r="CD1317" s="255"/>
      <c r="CE1317" s="261"/>
      <c r="CF1317" s="261"/>
      <c r="CG1317" s="53"/>
      <c r="CH1317" s="53"/>
      <c r="CI1317" s="53"/>
      <c r="CJ1317" s="53"/>
      <c r="CK1317" s="53"/>
      <c r="CL1317" s="53"/>
      <c r="CN1317" s="53"/>
      <c r="CO1317" s="53"/>
      <c r="CP1317" s="53"/>
      <c r="CQ1317" s="53"/>
      <c r="CR1317" s="53"/>
      <c r="CS1317" s="53"/>
      <c r="CT1317" s="261"/>
      <c r="CU1317" s="261"/>
      <c r="CV1317" s="261"/>
      <c r="CW1317" s="261"/>
      <c r="CX1317" s="261"/>
      <c r="CY1317" s="255"/>
    </row>
    <row r="1318" spans="1:103" ht="10.25" customHeight="1">
      <c r="A1318" s="216"/>
      <c r="B1318" s="217"/>
      <c r="C1318" s="218"/>
      <c r="D1318" s="219"/>
      <c r="E1318" s="217"/>
      <c r="F1318" s="217"/>
      <c r="G1318" s="217"/>
      <c r="H1318" s="220"/>
      <c r="I1318" s="217"/>
      <c r="J1318" s="217"/>
      <c r="K1318" s="217"/>
      <c r="L1318" s="217"/>
      <c r="M1318" s="217"/>
      <c r="N1318" s="217"/>
      <c r="O1318" s="44"/>
      <c r="P1318" s="44"/>
      <c r="Q1318" s="44"/>
      <c r="R1318" s="44"/>
      <c r="S1318" s="44"/>
      <c r="T1318" s="44"/>
      <c r="U1318" s="44"/>
      <c r="V1318" s="44"/>
      <c r="W1318" s="44"/>
      <c r="X1318" s="44"/>
      <c r="Y1318" s="44"/>
      <c r="Z1318" s="44"/>
      <c r="AA1318" s="44"/>
      <c r="AB1318" s="44"/>
      <c r="AC1318" s="44"/>
      <c r="AD1318" s="44"/>
      <c r="AE1318" s="44"/>
      <c r="AF1318" s="44"/>
      <c r="AG1318" s="44"/>
      <c r="AH1318" s="44"/>
      <c r="AI1318" s="44"/>
      <c r="AJ1318" s="44"/>
      <c r="AK1318" s="44"/>
      <c r="AL1318" s="44"/>
      <c r="AM1318" s="44"/>
      <c r="AN1318" s="44"/>
      <c r="AO1318" s="44"/>
      <c r="AP1318" s="44"/>
      <c r="AQ1318" s="44"/>
      <c r="BA1318" s="5"/>
      <c r="BB1318" s="5"/>
      <c r="BC1318" s="5"/>
      <c r="BD1318" s="5"/>
      <c r="BE1318" s="63"/>
      <c r="BF1318" s="63"/>
      <c r="BG1318" s="63"/>
      <c r="CA1318" s="256"/>
      <c r="CB1318" s="261"/>
      <c r="CC1318" s="255"/>
      <c r="CD1318" s="261"/>
      <c r="CE1318" s="261"/>
      <c r="CF1318" s="261"/>
      <c r="CG1318" s="53"/>
      <c r="CH1318" s="53"/>
      <c r="CI1318" s="53"/>
      <c r="CJ1318" s="53"/>
      <c r="CK1318" s="53"/>
      <c r="CL1318" s="53"/>
      <c r="CN1318" s="53"/>
      <c r="CO1318" s="53"/>
      <c r="CP1318" s="53"/>
      <c r="CQ1318" s="53"/>
      <c r="CR1318" s="53"/>
      <c r="CS1318" s="53"/>
      <c r="CT1318" s="261"/>
      <c r="CU1318" s="261"/>
      <c r="CV1318" s="261"/>
      <c r="CW1318" s="261"/>
      <c r="CX1318" s="261"/>
      <c r="CY1318" s="255"/>
    </row>
    <row r="1319" spans="1:103" ht="10.25" customHeight="1">
      <c r="A1319" s="216"/>
      <c r="B1319" s="217"/>
      <c r="C1319" s="218"/>
      <c r="D1319" s="219"/>
      <c r="E1319" s="217"/>
      <c r="F1319" s="217"/>
      <c r="G1319" s="217"/>
      <c r="H1319" s="220"/>
      <c r="I1319" s="217"/>
      <c r="J1319" s="217"/>
      <c r="K1319" s="217"/>
      <c r="L1319" s="217"/>
      <c r="M1319" s="217"/>
      <c r="N1319" s="217"/>
      <c r="O1319" s="44"/>
      <c r="P1319" s="44"/>
      <c r="Q1319" s="44"/>
      <c r="R1319" s="44"/>
      <c r="S1319" s="44"/>
      <c r="T1319" s="44"/>
      <c r="U1319" s="44"/>
      <c r="V1319" s="44"/>
      <c r="W1319" s="44"/>
      <c r="X1319" s="44"/>
      <c r="Y1319" s="44"/>
      <c r="Z1319" s="44"/>
      <c r="AA1319" s="44"/>
      <c r="AB1319" s="44"/>
      <c r="AC1319" s="44"/>
      <c r="AD1319" s="44"/>
      <c r="AE1319" s="44"/>
      <c r="AF1319" s="44"/>
      <c r="AG1319" s="44"/>
      <c r="AH1319" s="44"/>
      <c r="AI1319" s="44"/>
      <c r="AJ1319" s="44"/>
      <c r="AK1319" s="44"/>
      <c r="AL1319" s="44"/>
      <c r="AM1319" s="44"/>
      <c r="AN1319" s="44"/>
      <c r="AO1319" s="44"/>
      <c r="AP1319" s="44"/>
      <c r="AQ1319" s="44"/>
      <c r="BA1319" s="5"/>
      <c r="BB1319" s="5"/>
      <c r="BC1319" s="5"/>
      <c r="BD1319" s="5"/>
      <c r="BE1319" s="63"/>
      <c r="BF1319" s="63"/>
      <c r="BG1319" s="63"/>
      <c r="CA1319" s="256"/>
      <c r="CB1319" s="261"/>
      <c r="CC1319" s="255"/>
      <c r="CD1319" s="261"/>
      <c r="CE1319" s="261"/>
      <c r="CF1319" s="261"/>
      <c r="CG1319" s="53"/>
      <c r="CH1319" s="53"/>
      <c r="CI1319" s="53"/>
      <c r="CJ1319" s="53"/>
      <c r="CK1319" s="53"/>
      <c r="CL1319" s="53"/>
      <c r="CN1319" s="53"/>
      <c r="CO1319" s="53"/>
      <c r="CP1319" s="53"/>
      <c r="CQ1319" s="53"/>
      <c r="CR1319" s="53"/>
      <c r="CS1319" s="53"/>
      <c r="CT1319" s="261"/>
      <c r="CU1319" s="261"/>
      <c r="CV1319" s="261"/>
      <c r="CW1319" s="261"/>
      <c r="CX1319" s="261"/>
      <c r="CY1319" s="255"/>
    </row>
    <row r="1320" spans="1:103" ht="10.25" customHeight="1">
      <c r="A1320" s="371"/>
      <c r="B1320" s="371"/>
      <c r="C1320" s="371"/>
      <c r="D1320" s="269"/>
      <c r="L1320" s="269"/>
      <c r="M1320" s="269"/>
      <c r="N1320" s="269"/>
      <c r="O1320" s="63"/>
      <c r="P1320" s="63"/>
      <c r="Q1320" s="63"/>
      <c r="R1320" s="63"/>
      <c r="S1320" s="63"/>
      <c r="T1320" s="63"/>
      <c r="U1320" s="63"/>
      <c r="V1320" s="63"/>
      <c r="W1320" s="63"/>
      <c r="X1320" s="63"/>
      <c r="Y1320" s="63"/>
      <c r="Z1320" s="63"/>
      <c r="AA1320" s="63"/>
      <c r="AB1320" s="63"/>
      <c r="AC1320" s="63"/>
      <c r="AD1320" s="63"/>
      <c r="AE1320" s="63"/>
      <c r="AF1320" s="63"/>
      <c r="AG1320" s="63"/>
      <c r="AH1320" s="63"/>
      <c r="AI1320" s="63"/>
      <c r="AJ1320" s="63"/>
      <c r="AK1320" s="63"/>
      <c r="AL1320" s="63"/>
      <c r="AM1320" s="63"/>
      <c r="AN1320" s="63"/>
      <c r="AO1320" s="63"/>
      <c r="AP1320" s="63"/>
      <c r="AQ1320" s="63"/>
      <c r="CA1320" s="256"/>
      <c r="CB1320" s="261"/>
      <c r="CC1320" s="255"/>
      <c r="CD1320" s="261"/>
      <c r="CE1320" s="261"/>
      <c r="CF1320" s="261"/>
      <c r="CG1320" s="261"/>
      <c r="CH1320" s="261"/>
      <c r="CI1320" s="261"/>
      <c r="CJ1320" s="261"/>
      <c r="CK1320" s="261"/>
      <c r="CL1320" s="255"/>
      <c r="CN1320" s="256"/>
      <c r="CO1320" s="256"/>
      <c r="CP1320" s="261"/>
      <c r="CQ1320" s="261"/>
      <c r="CR1320" s="255"/>
      <c r="CS1320" s="261"/>
      <c r="CT1320" s="261"/>
      <c r="CU1320" s="261"/>
      <c r="CV1320" s="261"/>
      <c r="CW1320" s="261"/>
      <c r="CX1320" s="261"/>
      <c r="CY1320" s="255"/>
    </row>
    <row r="1321" spans="1:103" ht="12.65" customHeight="1">
      <c r="A1321" s="270"/>
      <c r="C1321" s="271"/>
      <c r="D1321" s="372"/>
      <c r="E1321" s="372"/>
      <c r="F1321" s="272"/>
      <c r="G1321" s="272"/>
      <c r="H1321" s="273"/>
      <c r="L1321" s="269"/>
      <c r="M1321" s="269"/>
      <c r="N1321" s="269"/>
      <c r="O1321" s="63"/>
      <c r="P1321" s="63"/>
      <c r="Q1321" s="63"/>
      <c r="R1321" s="63"/>
      <c r="S1321" s="63"/>
      <c r="T1321" s="63"/>
      <c r="U1321" s="63"/>
      <c r="V1321" s="63"/>
      <c r="W1321" s="63"/>
      <c r="X1321" s="63"/>
      <c r="Y1321" s="63"/>
      <c r="Z1321" s="63"/>
      <c r="AA1321" s="63"/>
      <c r="AB1321" s="63"/>
      <c r="AC1321" s="63"/>
      <c r="AD1321" s="63"/>
      <c r="AE1321" s="63"/>
      <c r="AF1321" s="63"/>
      <c r="AG1321" s="63"/>
      <c r="AH1321" s="63"/>
      <c r="AI1321" s="63"/>
      <c r="AJ1321" s="63"/>
      <c r="AK1321" s="63"/>
      <c r="AL1321" s="63"/>
      <c r="AM1321" s="63"/>
      <c r="AN1321" s="63"/>
      <c r="AO1321" s="63"/>
      <c r="AP1321" s="63"/>
      <c r="AQ1321" s="63"/>
      <c r="CA1321" s="256"/>
      <c r="CB1321" s="261"/>
      <c r="CC1321" s="255"/>
      <c r="CD1321" s="261"/>
      <c r="CE1321" s="261"/>
      <c r="CF1321" s="261"/>
      <c r="CG1321" s="261"/>
      <c r="CH1321" s="261"/>
      <c r="CI1321" s="261"/>
      <c r="CJ1321" s="261"/>
      <c r="CK1321" s="255"/>
      <c r="CL1321" s="255"/>
      <c r="CN1321" s="256"/>
      <c r="CO1321" s="256"/>
      <c r="CP1321" s="261"/>
      <c r="CQ1321" s="261"/>
      <c r="CR1321" s="255"/>
      <c r="CS1321" s="261"/>
      <c r="CT1321" s="261"/>
      <c r="CU1321" s="261"/>
      <c r="CV1321" s="261"/>
      <c r="CW1321" s="261"/>
      <c r="CX1321" s="255"/>
      <c r="CY1321" s="255"/>
    </row>
    <row r="1322" spans="1:103" ht="10.25" customHeight="1">
      <c r="A1322" s="270"/>
      <c r="D1322" s="372"/>
      <c r="E1322" s="372"/>
      <c r="F1322" s="272"/>
      <c r="G1322" s="272"/>
      <c r="H1322" s="273"/>
      <c r="L1322" s="269"/>
      <c r="M1322" s="269"/>
      <c r="N1322" s="269"/>
      <c r="O1322" s="63"/>
      <c r="P1322" s="63"/>
      <c r="Q1322" s="63"/>
      <c r="R1322" s="63"/>
      <c r="S1322" s="63"/>
      <c r="T1322" s="63"/>
      <c r="U1322" s="63"/>
      <c r="V1322" s="63"/>
      <c r="W1322" s="63"/>
      <c r="X1322" s="63"/>
      <c r="Y1322" s="63"/>
      <c r="Z1322" s="63"/>
      <c r="AA1322" s="63"/>
      <c r="AB1322" s="63"/>
      <c r="AC1322" s="63"/>
      <c r="AD1322" s="63"/>
      <c r="AE1322" s="63"/>
      <c r="AF1322" s="63"/>
      <c r="AG1322" s="63"/>
      <c r="AH1322" s="63"/>
      <c r="AI1322" s="63"/>
      <c r="AJ1322" s="63"/>
      <c r="AK1322" s="63"/>
      <c r="AL1322" s="63"/>
      <c r="AM1322" s="63"/>
      <c r="AN1322" s="63"/>
      <c r="AO1322" s="63"/>
      <c r="AP1322" s="63"/>
      <c r="AQ1322" s="63"/>
      <c r="CA1322" s="256"/>
      <c r="CB1322" s="261"/>
      <c r="CC1322" s="255"/>
      <c r="CD1322" s="261"/>
      <c r="CE1322" s="261"/>
      <c r="CF1322" s="261"/>
      <c r="CG1322" s="261"/>
      <c r="CH1322" s="261"/>
      <c r="CI1322" s="261"/>
      <c r="CJ1322" s="261"/>
      <c r="CK1322" s="261"/>
      <c r="CL1322" s="255"/>
      <c r="CN1322" s="256"/>
      <c r="CO1322" s="256"/>
      <c r="CP1322" s="261"/>
      <c r="CQ1322" s="261"/>
      <c r="CR1322" s="255"/>
      <c r="CS1322" s="261"/>
      <c r="CT1322" s="261"/>
      <c r="CU1322" s="261"/>
      <c r="CV1322" s="261"/>
      <c r="CW1322" s="261"/>
      <c r="CX1322" s="261"/>
      <c r="CY1322" s="255"/>
    </row>
    <row r="1323" spans="1:103" ht="10.25" customHeight="1">
      <c r="C1323" s="270"/>
      <c r="D1323" s="274"/>
      <c r="E1323" s="214"/>
      <c r="F1323" s="272"/>
      <c r="G1323" s="272"/>
      <c r="H1323" s="272"/>
      <c r="I1323" s="273"/>
      <c r="J1323" s="273"/>
      <c r="K1323" s="273"/>
      <c r="L1323" s="275"/>
      <c r="M1323" s="269"/>
      <c r="N1323" s="269"/>
      <c r="O1323" s="63"/>
      <c r="P1323" s="63"/>
      <c r="Q1323" s="63"/>
      <c r="R1323" s="63"/>
      <c r="S1323" s="63"/>
      <c r="T1323" s="63"/>
      <c r="U1323" s="63"/>
      <c r="V1323" s="63"/>
      <c r="W1323" s="63"/>
      <c r="X1323" s="63"/>
      <c r="Y1323" s="63"/>
      <c r="Z1323" s="63"/>
      <c r="AA1323" s="63"/>
      <c r="AB1323" s="63"/>
      <c r="AC1323" s="63"/>
      <c r="AD1323" s="63"/>
      <c r="AE1323" s="63"/>
      <c r="AF1323" s="63"/>
      <c r="AG1323" s="63"/>
      <c r="AH1323" s="63"/>
      <c r="AI1323" s="63"/>
      <c r="AJ1323" s="63"/>
      <c r="AK1323" s="63"/>
      <c r="AL1323" s="63"/>
      <c r="AM1323" s="63"/>
      <c r="AN1323" s="63"/>
      <c r="AO1323" s="63"/>
      <c r="AP1323" s="63"/>
      <c r="AQ1323" s="63"/>
      <c r="CA1323" s="256"/>
      <c r="CB1323" s="261"/>
      <c r="CC1323" s="255"/>
      <c r="CD1323" s="261"/>
      <c r="CE1323" s="261"/>
      <c r="CF1323" s="261"/>
      <c r="CG1323" s="261"/>
      <c r="CH1323" s="261"/>
      <c r="CI1323" s="261"/>
      <c r="CJ1323" s="261"/>
      <c r="CK1323" s="261"/>
      <c r="CL1323" s="255"/>
      <c r="CN1323" s="256"/>
      <c r="CO1323" s="256"/>
      <c r="CP1323" s="261"/>
      <c r="CQ1323" s="261"/>
      <c r="CR1323" s="255"/>
      <c r="CS1323" s="261"/>
      <c r="CT1323" s="261"/>
      <c r="CU1323" s="261"/>
      <c r="CV1323" s="261"/>
      <c r="CW1323" s="261"/>
      <c r="CX1323" s="261"/>
      <c r="CY1323" s="255"/>
    </row>
    <row r="1324" spans="1:103" ht="10.25" customHeight="1">
      <c r="A1324" s="270"/>
      <c r="D1324" s="372"/>
      <c r="E1324" s="372"/>
      <c r="F1324" s="272"/>
      <c r="G1324" s="272"/>
      <c r="H1324" s="272"/>
      <c r="I1324" s="273"/>
      <c r="J1324" s="273"/>
      <c r="K1324" s="273"/>
      <c r="L1324" s="275"/>
      <c r="M1324" s="269"/>
      <c r="N1324" s="269"/>
      <c r="O1324" s="63"/>
      <c r="P1324" s="63"/>
      <c r="Q1324" s="63"/>
      <c r="R1324" s="63"/>
      <c r="S1324" s="63"/>
      <c r="T1324" s="63"/>
      <c r="U1324" s="63"/>
      <c r="V1324" s="63"/>
      <c r="W1324" s="63"/>
      <c r="X1324" s="63"/>
      <c r="Y1324" s="63"/>
      <c r="Z1324" s="63"/>
      <c r="AA1324" s="63"/>
      <c r="AB1324" s="63"/>
      <c r="AC1324" s="63"/>
      <c r="AD1324" s="63"/>
      <c r="AE1324" s="63"/>
      <c r="AF1324" s="63"/>
      <c r="AG1324" s="63"/>
      <c r="AH1324" s="63"/>
      <c r="AI1324" s="63"/>
      <c r="AJ1324" s="63"/>
      <c r="AK1324" s="63"/>
      <c r="AL1324" s="63"/>
      <c r="AM1324" s="63"/>
      <c r="AN1324" s="63"/>
      <c r="AO1324" s="63"/>
      <c r="AP1324" s="63"/>
      <c r="AQ1324" s="63"/>
      <c r="CA1324" s="256"/>
      <c r="CB1324" s="261"/>
      <c r="CC1324" s="255"/>
      <c r="CD1324" s="261"/>
      <c r="CE1324" s="261"/>
      <c r="CF1324" s="261"/>
      <c r="CG1324" s="261"/>
      <c r="CH1324" s="261"/>
      <c r="CI1324" s="255"/>
      <c r="CJ1324" s="255"/>
      <c r="CK1324" s="261"/>
      <c r="CL1324" s="255"/>
      <c r="CN1324" s="256"/>
      <c r="CO1324" s="256"/>
      <c r="CP1324" s="261"/>
      <c r="CQ1324" s="261"/>
      <c r="CR1324" s="255"/>
      <c r="CS1324" s="261"/>
      <c r="CT1324" s="261"/>
      <c r="CU1324" s="261"/>
      <c r="CV1324" s="261"/>
      <c r="CW1324" s="255"/>
      <c r="CX1324" s="261"/>
      <c r="CY1324" s="255"/>
    </row>
    <row r="1325" spans="1:103" ht="10.25" customHeight="1">
      <c r="A1325" s="270"/>
      <c r="D1325" s="372"/>
      <c r="E1325" s="372"/>
      <c r="F1325" s="272"/>
      <c r="G1325" s="272"/>
      <c r="H1325" s="272"/>
      <c r="I1325" s="273"/>
      <c r="J1325" s="273"/>
      <c r="K1325" s="273"/>
      <c r="L1325" s="275"/>
      <c r="M1325" s="269"/>
      <c r="N1325" s="269"/>
      <c r="O1325" s="63"/>
      <c r="P1325" s="63"/>
      <c r="Q1325" s="63"/>
      <c r="R1325" s="63"/>
      <c r="S1325" s="63"/>
      <c r="T1325" s="63"/>
      <c r="U1325" s="63"/>
      <c r="V1325" s="63"/>
      <c r="W1325" s="63"/>
      <c r="X1325" s="63"/>
      <c r="Y1325" s="63"/>
      <c r="Z1325" s="63"/>
      <c r="AA1325" s="63"/>
      <c r="AB1325" s="63"/>
      <c r="AC1325" s="63"/>
      <c r="AD1325" s="63"/>
      <c r="AE1325" s="63"/>
      <c r="AF1325" s="63"/>
      <c r="AG1325" s="63"/>
      <c r="AH1325" s="63"/>
      <c r="AI1325" s="63"/>
      <c r="AJ1325" s="63"/>
      <c r="AK1325" s="63"/>
      <c r="AL1325" s="63"/>
      <c r="AM1325" s="63"/>
      <c r="AN1325" s="63"/>
      <c r="AO1325" s="63"/>
      <c r="AP1325" s="63"/>
      <c r="AQ1325" s="63"/>
      <c r="CA1325" s="256"/>
      <c r="CB1325" s="261"/>
      <c r="CC1325" s="255"/>
      <c r="CD1325" s="261"/>
      <c r="CE1325" s="261"/>
      <c r="CF1325" s="261"/>
      <c r="CG1325" s="255"/>
      <c r="CH1325" s="255"/>
      <c r="CI1325" s="261"/>
      <c r="CJ1325" s="261"/>
      <c r="CK1325" s="261"/>
      <c r="CL1325" s="255"/>
      <c r="CN1325" s="256"/>
      <c r="CO1325" s="256"/>
      <c r="CP1325" s="261"/>
      <c r="CQ1325" s="261"/>
      <c r="CR1325" s="255"/>
      <c r="CS1325" s="261"/>
      <c r="CT1325" s="261"/>
      <c r="CU1325" s="261"/>
      <c r="CV1325" s="255"/>
      <c r="CW1325" s="261"/>
      <c r="CX1325" s="261"/>
      <c r="CY1325" s="255"/>
    </row>
    <row r="1326" spans="1:103" ht="10.25" customHeight="1">
      <c r="A1326" s="270"/>
      <c r="D1326" s="372"/>
      <c r="E1326" s="372"/>
      <c r="F1326" s="272"/>
      <c r="G1326" s="272"/>
      <c r="H1326" s="272"/>
      <c r="I1326" s="273"/>
      <c r="J1326" s="273"/>
      <c r="K1326" s="273"/>
      <c r="L1326" s="275"/>
      <c r="M1326" s="269"/>
      <c r="N1326" s="269"/>
      <c r="O1326" s="63"/>
      <c r="P1326" s="63"/>
      <c r="Q1326" s="63"/>
      <c r="R1326" s="63"/>
      <c r="S1326" s="63"/>
      <c r="T1326" s="63"/>
      <c r="U1326" s="63"/>
      <c r="V1326" s="63"/>
      <c r="W1326" s="63"/>
      <c r="X1326" s="63"/>
      <c r="Y1326" s="63"/>
      <c r="Z1326" s="63"/>
      <c r="AA1326" s="63"/>
      <c r="AB1326" s="63"/>
      <c r="AC1326" s="63"/>
      <c r="AD1326" s="63"/>
      <c r="AE1326" s="63"/>
      <c r="AF1326" s="63"/>
      <c r="AG1326" s="63"/>
      <c r="AH1326" s="63"/>
      <c r="AI1326" s="63"/>
      <c r="AJ1326" s="63"/>
      <c r="AK1326" s="63"/>
      <c r="AL1326" s="63"/>
      <c r="AM1326" s="63"/>
      <c r="AN1326" s="63"/>
      <c r="AO1326" s="63"/>
      <c r="AP1326" s="63"/>
      <c r="AQ1326" s="63"/>
      <c r="CA1326" s="256"/>
      <c r="CB1326" s="261"/>
      <c r="CC1326" s="255"/>
      <c r="CD1326" s="261"/>
      <c r="CE1326" s="261"/>
      <c r="CF1326" s="261"/>
      <c r="CG1326" s="255"/>
      <c r="CH1326" s="255"/>
      <c r="CI1326" s="261"/>
      <c r="CJ1326" s="261"/>
      <c r="CK1326" s="261"/>
      <c r="CL1326" s="255"/>
      <c r="CN1326" s="256"/>
      <c r="CO1326" s="256"/>
      <c r="CP1326" s="261"/>
      <c r="CQ1326" s="261"/>
      <c r="CR1326" s="255"/>
      <c r="CS1326" s="261"/>
      <c r="CT1326" s="261"/>
      <c r="CU1326" s="261"/>
      <c r="CV1326" s="255"/>
      <c r="CW1326" s="261"/>
      <c r="CX1326" s="261"/>
      <c r="CY1326" s="255"/>
    </row>
    <row r="1327" spans="1:103" ht="10.25" customHeight="1">
      <c r="A1327" s="270"/>
      <c r="D1327" s="372"/>
      <c r="E1327" s="372"/>
      <c r="F1327" s="272"/>
      <c r="G1327" s="272"/>
      <c r="H1327" s="272"/>
      <c r="I1327" s="375"/>
      <c r="J1327" s="375"/>
      <c r="K1327" s="375"/>
      <c r="L1327" s="375"/>
      <c r="M1327" s="269"/>
      <c r="N1327" s="269"/>
      <c r="O1327" s="63"/>
      <c r="P1327" s="63"/>
      <c r="Q1327" s="63"/>
      <c r="R1327" s="63"/>
      <c r="S1327" s="63"/>
      <c r="T1327" s="63"/>
      <c r="U1327" s="63"/>
      <c r="V1327" s="63"/>
      <c r="W1327" s="63"/>
      <c r="X1327" s="63"/>
      <c r="Y1327" s="63"/>
      <c r="Z1327" s="63"/>
      <c r="AA1327" s="63"/>
      <c r="AB1327" s="63"/>
      <c r="AC1327" s="63"/>
      <c r="AD1327" s="63"/>
      <c r="AE1327" s="63"/>
      <c r="AF1327" s="63"/>
      <c r="AG1327" s="63"/>
      <c r="AH1327" s="63"/>
      <c r="AI1327" s="63"/>
      <c r="AJ1327" s="63"/>
      <c r="AK1327" s="63"/>
      <c r="AL1327" s="63"/>
      <c r="AM1327" s="63"/>
      <c r="AN1327" s="63"/>
      <c r="AO1327" s="63"/>
      <c r="AP1327" s="63"/>
      <c r="AQ1327" s="63"/>
      <c r="CA1327" s="256"/>
      <c r="CB1327" s="261"/>
      <c r="CC1327" s="255"/>
      <c r="CD1327" s="261"/>
      <c r="CE1327" s="261"/>
      <c r="CF1327" s="261"/>
      <c r="CG1327" s="261"/>
      <c r="CH1327" s="261"/>
      <c r="CI1327" s="261"/>
      <c r="CJ1327" s="261"/>
      <c r="CK1327" s="261"/>
      <c r="CL1327" s="255"/>
      <c r="CN1327" s="256"/>
      <c r="CO1327" s="256"/>
      <c r="CP1327" s="261"/>
      <c r="CQ1327" s="261"/>
      <c r="CR1327" s="255"/>
      <c r="CS1327" s="261"/>
      <c r="CT1327" s="261"/>
      <c r="CU1327" s="261"/>
      <c r="CV1327" s="261"/>
      <c r="CW1327" s="261"/>
      <c r="CX1327" s="261"/>
      <c r="CY1327" s="255"/>
    </row>
    <row r="1328" spans="1:103" ht="10.25" customHeight="1">
      <c r="A1328" s="270"/>
      <c r="D1328" s="372"/>
      <c r="E1328" s="372"/>
      <c r="H1328" s="209"/>
      <c r="I1328" s="213"/>
      <c r="J1328" s="213"/>
      <c r="K1328" s="213"/>
      <c r="L1328" s="213"/>
      <c r="M1328" s="213"/>
      <c r="N1328" s="213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  <c r="AQ1328" s="5"/>
      <c r="CA1328" s="256"/>
      <c r="CB1328" s="261"/>
      <c r="CC1328" s="255"/>
      <c r="CD1328" s="261"/>
      <c r="CE1328" s="261"/>
      <c r="CF1328" s="261"/>
      <c r="CG1328" s="261"/>
      <c r="CH1328" s="261"/>
      <c r="CI1328" s="261"/>
      <c r="CJ1328" s="261"/>
      <c r="CK1328" s="261"/>
      <c r="CL1328" s="255"/>
      <c r="CN1328" s="256"/>
      <c r="CO1328" s="256"/>
      <c r="CP1328" s="261"/>
      <c r="CQ1328" s="261"/>
      <c r="CR1328" s="255"/>
      <c r="CS1328" s="261"/>
      <c r="CT1328" s="261"/>
      <c r="CU1328" s="261"/>
      <c r="CV1328" s="261"/>
      <c r="CW1328" s="261"/>
      <c r="CX1328" s="261"/>
      <c r="CY1328" s="255"/>
    </row>
    <row r="1329" spans="1:103" ht="10.25" customHeight="1">
      <c r="A1329" s="270"/>
      <c r="C1329" s="269"/>
      <c r="D1329" s="275"/>
      <c r="E1329" s="275"/>
      <c r="F1329" s="209"/>
      <c r="G1329" s="209"/>
      <c r="H1329" s="209"/>
      <c r="I1329" s="209"/>
      <c r="J1329" s="209"/>
      <c r="K1329" s="209"/>
      <c r="L1329" s="376"/>
      <c r="M1329" s="376"/>
      <c r="N1329" s="279"/>
      <c r="O1329" s="51"/>
      <c r="P1329" s="51"/>
      <c r="Q1329" s="51"/>
      <c r="R1329" s="51"/>
      <c r="S1329" s="51"/>
      <c r="T1329" s="51"/>
      <c r="U1329" s="51"/>
      <c r="V1329" s="51"/>
      <c r="W1329" s="51"/>
      <c r="X1329" s="51"/>
      <c r="Y1329" s="51"/>
      <c r="Z1329" s="51"/>
      <c r="AA1329" s="51"/>
      <c r="AB1329" s="51"/>
      <c r="AC1329" s="51"/>
      <c r="AD1329" s="51"/>
      <c r="AE1329" s="51"/>
      <c r="AF1329" s="51"/>
      <c r="AG1329" s="51"/>
      <c r="AH1329" s="51"/>
      <c r="AI1329" s="51"/>
      <c r="AJ1329" s="51"/>
      <c r="AK1329" s="51"/>
      <c r="AL1329" s="51"/>
      <c r="AM1329" s="51"/>
      <c r="AN1329" s="51"/>
      <c r="AO1329" s="51"/>
      <c r="AP1329" s="51"/>
      <c r="AQ1329" s="51"/>
      <c r="CA1329" s="256"/>
      <c r="CB1329" s="261"/>
      <c r="CC1329" s="255"/>
      <c r="CD1329" s="261"/>
      <c r="CE1329" s="261"/>
      <c r="CF1329" s="261"/>
      <c r="CG1329" s="261"/>
      <c r="CH1329" s="261"/>
      <c r="CI1329" s="261"/>
      <c r="CJ1329" s="261"/>
      <c r="CK1329" s="261"/>
      <c r="CL1329" s="255"/>
      <c r="CN1329" s="256"/>
      <c r="CO1329" s="256"/>
      <c r="CP1329" s="261"/>
      <c r="CQ1329" s="261"/>
      <c r="CR1329" s="255"/>
      <c r="CS1329" s="261"/>
      <c r="CT1329" s="261"/>
      <c r="CU1329" s="261"/>
      <c r="CV1329" s="261"/>
      <c r="CW1329" s="261"/>
      <c r="CX1329" s="261"/>
      <c r="CY1329" s="255"/>
    </row>
    <row r="1330" spans="1:103" ht="10.25" customHeight="1">
      <c r="A1330" s="270"/>
      <c r="C1330" s="269"/>
      <c r="D1330" s="269"/>
      <c r="F1330" s="209"/>
      <c r="G1330" s="209"/>
      <c r="H1330" s="276"/>
      <c r="I1330" s="276"/>
      <c r="J1330" s="276"/>
      <c r="K1330" s="276"/>
      <c r="L1330" s="374"/>
      <c r="M1330" s="374"/>
      <c r="N1330" s="213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  <c r="AQ1330" s="5"/>
      <c r="CA1330" s="256"/>
      <c r="CB1330" s="261"/>
      <c r="CC1330" s="255"/>
      <c r="CD1330" s="261"/>
      <c r="CE1330" s="261"/>
      <c r="CF1330" s="261"/>
      <c r="CG1330" s="261"/>
      <c r="CH1330" s="261"/>
      <c r="CI1330" s="261"/>
      <c r="CJ1330" s="261"/>
      <c r="CK1330" s="261"/>
      <c r="CL1330" s="255"/>
      <c r="CN1330" s="256"/>
      <c r="CO1330" s="256"/>
      <c r="CP1330" s="261"/>
      <c r="CQ1330" s="261"/>
      <c r="CR1330" s="255"/>
      <c r="CS1330" s="261"/>
      <c r="CT1330" s="261"/>
      <c r="CU1330" s="261"/>
      <c r="CV1330" s="261"/>
      <c r="CW1330" s="261"/>
      <c r="CX1330" s="261"/>
      <c r="CY1330" s="255"/>
    </row>
    <row r="1331" spans="1:103" ht="10.25" customHeight="1">
      <c r="A1331" s="270"/>
      <c r="D1331" s="269"/>
      <c r="F1331" s="208"/>
      <c r="G1331" s="208"/>
      <c r="H1331" s="277"/>
      <c r="I1331" s="277"/>
      <c r="J1331" s="277"/>
      <c r="K1331" s="277"/>
      <c r="L1331" s="372"/>
      <c r="M1331" s="372"/>
      <c r="N1331" s="214"/>
      <c r="O1331" s="41"/>
      <c r="P1331" s="41"/>
      <c r="Q1331" s="41"/>
      <c r="R1331" s="41"/>
      <c r="S1331" s="41"/>
      <c r="T1331" s="41"/>
      <c r="U1331" s="41"/>
      <c r="V1331" s="41"/>
      <c r="W1331" s="41"/>
      <c r="X1331" s="41"/>
      <c r="Y1331" s="41"/>
      <c r="Z1331" s="41"/>
      <c r="AA1331" s="41"/>
      <c r="AB1331" s="41"/>
      <c r="AC1331" s="41"/>
      <c r="AD1331" s="41"/>
      <c r="AE1331" s="41"/>
      <c r="AF1331" s="41"/>
      <c r="AG1331" s="41"/>
      <c r="AH1331" s="41"/>
      <c r="AI1331" s="41"/>
      <c r="AJ1331" s="41"/>
      <c r="AK1331" s="41"/>
      <c r="AL1331" s="41"/>
      <c r="AM1331" s="41"/>
      <c r="AN1331" s="41"/>
      <c r="AO1331" s="41"/>
      <c r="AP1331" s="41"/>
      <c r="AQ1331" s="41"/>
      <c r="CA1331" s="256"/>
      <c r="CB1331" s="261"/>
      <c r="CC1331" s="255"/>
      <c r="CD1331" s="261"/>
      <c r="CE1331" s="261"/>
      <c r="CF1331" s="261"/>
      <c r="CG1331" s="261"/>
      <c r="CH1331" s="261"/>
      <c r="CI1331" s="261"/>
      <c r="CJ1331" s="261"/>
      <c r="CK1331" s="261"/>
      <c r="CL1331" s="255"/>
      <c r="CN1331" s="256"/>
      <c r="CO1331" s="256"/>
      <c r="CP1331" s="261"/>
      <c r="CQ1331" s="261"/>
      <c r="CR1331" s="255"/>
      <c r="CS1331" s="261"/>
      <c r="CT1331" s="261"/>
      <c r="CU1331" s="261"/>
      <c r="CV1331" s="261"/>
      <c r="CW1331" s="261"/>
      <c r="CX1331" s="261"/>
      <c r="CY1331" s="255"/>
    </row>
    <row r="1332" spans="1:103" ht="10.25" customHeight="1">
      <c r="CA1332" s="256"/>
      <c r="CB1332" s="261"/>
      <c r="CC1332" s="255"/>
      <c r="CD1332" s="261"/>
      <c r="CE1332" s="261"/>
      <c r="CF1332" s="255"/>
      <c r="CG1332" s="261"/>
      <c r="CH1332" s="261"/>
      <c r="CI1332" s="261"/>
      <c r="CJ1332" s="261"/>
      <c r="CK1332" s="261"/>
      <c r="CL1332" s="255"/>
      <c r="CN1332" s="256"/>
      <c r="CO1332" s="256"/>
      <c r="CP1332" s="261"/>
      <c r="CQ1332" s="261"/>
      <c r="CR1332" s="255"/>
      <c r="CS1332" s="261"/>
      <c r="CT1332" s="261"/>
      <c r="CU1332" s="255"/>
      <c r="CV1332" s="261"/>
      <c r="CW1332" s="261"/>
      <c r="CX1332" s="261"/>
      <c r="CY1332" s="255"/>
    </row>
    <row r="1333" spans="1:103" ht="10.25" customHeight="1">
      <c r="C1333" s="278"/>
      <c r="CA1333" s="256"/>
      <c r="CB1333" s="261"/>
      <c r="CC1333" s="255"/>
      <c r="CD1333" s="261"/>
      <c r="CE1333" s="261"/>
      <c r="CF1333" s="255"/>
      <c r="CG1333" s="261"/>
      <c r="CH1333" s="261"/>
      <c r="CI1333" s="261"/>
      <c r="CJ1333" s="261"/>
      <c r="CK1333" s="261"/>
      <c r="CL1333" s="255"/>
      <c r="CN1333" s="256"/>
      <c r="CO1333" s="256"/>
      <c r="CP1333" s="261"/>
      <c r="CQ1333" s="261"/>
      <c r="CR1333" s="255"/>
      <c r="CS1333" s="261"/>
      <c r="CT1333" s="261"/>
      <c r="CU1333" s="255"/>
      <c r="CV1333" s="261"/>
      <c r="CW1333" s="261"/>
      <c r="CX1333" s="261"/>
      <c r="CY1333" s="255"/>
    </row>
    <row r="1334" spans="1:103" ht="10.25" customHeight="1">
      <c r="C1334" s="278"/>
      <c r="F1334" s="377"/>
      <c r="G1334" s="377"/>
      <c r="H1334" s="377"/>
      <c r="I1334" s="377"/>
      <c r="J1334" s="377"/>
      <c r="K1334" s="377"/>
      <c r="L1334" s="377"/>
      <c r="M1334" s="377"/>
      <c r="N1334" s="269"/>
      <c r="O1334" s="63"/>
      <c r="P1334" s="63"/>
      <c r="Q1334" s="63"/>
      <c r="R1334" s="63"/>
      <c r="S1334" s="63"/>
      <c r="T1334" s="63"/>
      <c r="U1334" s="63"/>
      <c r="V1334" s="63"/>
      <c r="W1334" s="63"/>
      <c r="X1334" s="63"/>
      <c r="Y1334" s="63"/>
      <c r="Z1334" s="63"/>
      <c r="AA1334" s="63"/>
      <c r="AB1334" s="63"/>
      <c r="AC1334" s="63"/>
      <c r="AD1334" s="63"/>
      <c r="AE1334" s="63"/>
      <c r="AF1334" s="63"/>
      <c r="AG1334" s="63"/>
      <c r="AH1334" s="63"/>
      <c r="AI1334" s="63"/>
      <c r="AJ1334" s="63"/>
      <c r="AK1334" s="63"/>
      <c r="AL1334" s="63"/>
      <c r="AM1334" s="63"/>
      <c r="AN1334" s="63"/>
      <c r="AO1334" s="63"/>
      <c r="AP1334" s="63"/>
      <c r="AQ1334" s="63"/>
      <c r="CA1334" s="256"/>
      <c r="CB1334" s="261"/>
      <c r="CC1334" s="255"/>
      <c r="CD1334" s="261"/>
      <c r="CE1334" s="261"/>
      <c r="CF1334" s="255"/>
      <c r="CG1334" s="261"/>
      <c r="CH1334" s="261"/>
      <c r="CI1334" s="261"/>
      <c r="CJ1334" s="261"/>
      <c r="CK1334" s="261"/>
      <c r="CL1334" s="255"/>
      <c r="CN1334" s="256"/>
      <c r="CO1334" s="256"/>
      <c r="CP1334" s="261"/>
      <c r="CQ1334" s="261"/>
      <c r="CR1334" s="255"/>
      <c r="CS1334" s="261"/>
      <c r="CT1334" s="261"/>
      <c r="CU1334" s="255"/>
      <c r="CV1334" s="261"/>
      <c r="CW1334" s="261"/>
      <c r="CX1334" s="261"/>
      <c r="CY1334" s="255"/>
    </row>
    <row r="1335" spans="1:103" ht="10.4" customHeight="1">
      <c r="C1335" s="278"/>
      <c r="F1335" s="377"/>
      <c r="G1335" s="377"/>
      <c r="H1335" s="377"/>
      <c r="I1335" s="377"/>
      <c r="J1335" s="377"/>
      <c r="K1335" s="377"/>
      <c r="L1335" s="377"/>
      <c r="M1335" s="377"/>
      <c r="N1335" s="269"/>
      <c r="O1335" s="63"/>
      <c r="P1335" s="63"/>
      <c r="Q1335" s="63"/>
      <c r="R1335" s="63"/>
      <c r="S1335" s="63"/>
      <c r="T1335" s="63"/>
      <c r="U1335" s="63"/>
      <c r="V1335" s="63"/>
      <c r="W1335" s="63"/>
      <c r="X1335" s="63"/>
      <c r="Y1335" s="63"/>
      <c r="Z1335" s="63"/>
      <c r="AA1335" s="63"/>
      <c r="AB1335" s="63"/>
      <c r="AC1335" s="63"/>
      <c r="AD1335" s="63"/>
      <c r="AE1335" s="63"/>
      <c r="AF1335" s="63"/>
      <c r="AG1335" s="63"/>
      <c r="AH1335" s="63"/>
      <c r="AI1335" s="63"/>
      <c r="AJ1335" s="63"/>
      <c r="AK1335" s="63"/>
      <c r="AL1335" s="63"/>
      <c r="AM1335" s="63"/>
      <c r="AN1335" s="63"/>
      <c r="AO1335" s="63"/>
      <c r="AP1335" s="63"/>
      <c r="AQ1335" s="63"/>
      <c r="AS1335" s="236"/>
      <c r="BE1335" s="63"/>
      <c r="BF1335" s="63"/>
      <c r="BG1335" s="63"/>
      <c r="BK1335" s="317"/>
      <c r="BL1335" s="5"/>
      <c r="BM1335" s="5"/>
      <c r="BN1335" s="5"/>
      <c r="BO1335" s="5"/>
      <c r="BP1335" s="5"/>
      <c r="BQ1335" s="5"/>
      <c r="BR1335" s="5"/>
      <c r="BS1335" s="5"/>
      <c r="BT1335" s="5"/>
      <c r="BV1335" s="317"/>
      <c r="CF1335" s="5"/>
      <c r="CG1335" s="5"/>
      <c r="CH1335" s="5"/>
      <c r="CI1335" s="5"/>
      <c r="CJ1335" s="5"/>
      <c r="CK1335" s="5"/>
      <c r="CL1335" s="5"/>
    </row>
    <row r="1336" spans="1:103" ht="10.25" customHeight="1">
      <c r="A1336" s="377"/>
      <c r="B1336" s="377"/>
      <c r="C1336" s="377"/>
      <c r="D1336" s="377"/>
      <c r="E1336" s="377"/>
      <c r="F1336" s="377"/>
      <c r="G1336" s="377"/>
      <c r="H1336" s="377"/>
      <c r="I1336" s="377"/>
      <c r="J1336" s="377"/>
      <c r="K1336" s="377"/>
      <c r="L1336" s="377"/>
      <c r="M1336" s="377"/>
      <c r="N1336" s="269"/>
      <c r="O1336" s="63"/>
      <c r="P1336" s="63"/>
      <c r="Q1336" s="63"/>
      <c r="R1336" s="63"/>
      <c r="S1336" s="63"/>
      <c r="T1336" s="63"/>
      <c r="U1336" s="63"/>
      <c r="V1336" s="63"/>
      <c r="W1336" s="63"/>
      <c r="X1336" s="63"/>
      <c r="Y1336" s="63"/>
      <c r="Z1336" s="63"/>
      <c r="AA1336" s="63"/>
      <c r="AB1336" s="63"/>
      <c r="AC1336" s="63"/>
      <c r="AD1336" s="63"/>
      <c r="AE1336" s="63"/>
      <c r="AF1336" s="63"/>
      <c r="AG1336" s="63"/>
      <c r="AH1336" s="63"/>
      <c r="AI1336" s="63"/>
      <c r="AJ1336" s="63"/>
      <c r="AK1336" s="63"/>
      <c r="AL1336" s="63"/>
      <c r="AM1336" s="63"/>
      <c r="AN1336" s="63"/>
      <c r="AO1336" s="63"/>
      <c r="AP1336" s="63"/>
      <c r="AQ1336" s="63"/>
      <c r="BE1336" s="63"/>
      <c r="BF1336" s="63"/>
      <c r="BG1336" s="63"/>
      <c r="BK1336" s="317"/>
      <c r="BL1336" s="5"/>
      <c r="BM1336" s="5"/>
      <c r="BN1336" s="5"/>
      <c r="BO1336" s="5"/>
      <c r="BP1336" s="5"/>
      <c r="BQ1336" s="5"/>
      <c r="BR1336" s="5"/>
      <c r="BS1336" s="5"/>
      <c r="BT1336" s="5"/>
      <c r="BV1336" s="317"/>
      <c r="CF1336" s="5"/>
      <c r="CG1336" s="5"/>
      <c r="CH1336" s="5"/>
      <c r="CI1336" s="5"/>
      <c r="CJ1336" s="5"/>
      <c r="CK1336" s="5"/>
      <c r="CL1336" s="5"/>
    </row>
    <row r="1337" spans="1:103" ht="10.25" customHeight="1">
      <c r="A1337" s="376"/>
      <c r="B1337" s="376"/>
      <c r="C1337" s="376"/>
      <c r="D1337" s="376"/>
      <c r="E1337" s="376"/>
      <c r="F1337" s="376"/>
      <c r="G1337" s="376"/>
      <c r="H1337" s="376"/>
      <c r="I1337" s="376"/>
      <c r="J1337" s="376"/>
      <c r="K1337" s="376"/>
      <c r="L1337" s="376"/>
      <c r="M1337" s="376"/>
      <c r="N1337" s="279"/>
      <c r="O1337" s="51"/>
      <c r="P1337" s="51"/>
      <c r="Q1337" s="51"/>
      <c r="R1337" s="51"/>
      <c r="S1337" s="51"/>
      <c r="T1337" s="51"/>
      <c r="U1337" s="51"/>
      <c r="V1337" s="51"/>
      <c r="W1337" s="51"/>
      <c r="X1337" s="51"/>
      <c r="Y1337" s="51"/>
      <c r="Z1337" s="51"/>
      <c r="AA1337" s="51"/>
      <c r="AB1337" s="51"/>
      <c r="AC1337" s="51"/>
      <c r="AD1337" s="51"/>
      <c r="AE1337" s="51"/>
      <c r="AF1337" s="51"/>
      <c r="AG1337" s="51"/>
      <c r="AH1337" s="51"/>
      <c r="AI1337" s="51"/>
      <c r="AJ1337" s="51"/>
      <c r="AK1337" s="51"/>
      <c r="AL1337" s="51"/>
      <c r="AM1337" s="51"/>
      <c r="AN1337" s="51"/>
      <c r="AO1337" s="51"/>
      <c r="AP1337" s="51"/>
      <c r="AQ1337" s="51"/>
      <c r="BE1337" s="63"/>
      <c r="BF1337" s="63"/>
      <c r="BG1337" s="63"/>
      <c r="BK1337" s="317"/>
      <c r="BL1337" s="5"/>
      <c r="BM1337" s="5"/>
      <c r="BN1337" s="5"/>
      <c r="BO1337" s="5"/>
      <c r="BP1337" s="5"/>
      <c r="BQ1337" s="5"/>
      <c r="BR1337" s="5"/>
      <c r="BS1337" s="5"/>
      <c r="BT1337" s="5"/>
      <c r="BV1337" s="317"/>
      <c r="CF1337" s="5"/>
      <c r="CG1337" s="5"/>
      <c r="CH1337" s="5"/>
      <c r="CI1337" s="5"/>
      <c r="CJ1337" s="5"/>
      <c r="CK1337" s="5"/>
      <c r="CL1337" s="5"/>
    </row>
    <row r="1338" spans="1:103" ht="10.25" customHeight="1">
      <c r="A1338" s="374"/>
      <c r="B1338" s="374"/>
      <c r="C1338" s="374"/>
      <c r="D1338" s="374"/>
      <c r="E1338" s="374"/>
      <c r="F1338" s="374"/>
      <c r="G1338" s="374"/>
      <c r="H1338" s="374"/>
      <c r="I1338" s="374"/>
      <c r="J1338" s="374"/>
      <c r="K1338" s="374"/>
      <c r="L1338" s="374"/>
      <c r="M1338" s="374"/>
      <c r="N1338" s="213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  <c r="AQ1338" s="5"/>
      <c r="BE1338" s="63"/>
      <c r="BF1338" s="63"/>
      <c r="BG1338" s="63"/>
      <c r="BK1338" s="317"/>
      <c r="BL1338" s="5"/>
      <c r="BM1338" s="5"/>
      <c r="BN1338" s="5"/>
      <c r="BO1338" s="5"/>
      <c r="BP1338" s="5"/>
      <c r="BQ1338" s="5"/>
      <c r="BR1338" s="5"/>
      <c r="BS1338" s="5"/>
      <c r="BT1338" s="5"/>
      <c r="BV1338" s="317"/>
      <c r="CF1338" s="5"/>
      <c r="CG1338" s="5"/>
      <c r="CH1338" s="5"/>
      <c r="CI1338" s="5"/>
      <c r="CJ1338" s="5"/>
      <c r="CK1338" s="5"/>
      <c r="CL1338" s="5"/>
    </row>
    <row r="1339" spans="1:103" ht="6" customHeight="1">
      <c r="A1339" s="208"/>
      <c r="B1339" s="209"/>
      <c r="C1339" s="209"/>
      <c r="D1339" s="209"/>
      <c r="E1339" s="209"/>
      <c r="F1339" s="280"/>
      <c r="G1339" s="280"/>
      <c r="H1339" s="280"/>
      <c r="I1339" s="280"/>
      <c r="J1339" s="280"/>
      <c r="K1339" s="280"/>
      <c r="L1339" s="280"/>
      <c r="M1339" s="280"/>
      <c r="N1339" s="280"/>
      <c r="O1339" s="42"/>
      <c r="P1339" s="42"/>
      <c r="Q1339" s="42"/>
      <c r="R1339" s="42"/>
      <c r="S1339" s="42"/>
      <c r="T1339" s="42"/>
      <c r="U1339" s="42"/>
      <c r="V1339" s="42"/>
      <c r="W1339" s="42"/>
      <c r="X1339" s="42"/>
      <c r="Y1339" s="42"/>
      <c r="Z1339" s="42"/>
      <c r="AA1339" s="42"/>
      <c r="AB1339" s="42"/>
      <c r="AC1339" s="42"/>
      <c r="AD1339" s="42"/>
      <c r="AE1339" s="42"/>
      <c r="AF1339" s="42"/>
      <c r="AG1339" s="42"/>
      <c r="AH1339" s="42"/>
      <c r="AI1339" s="42"/>
      <c r="AJ1339" s="42"/>
      <c r="AK1339" s="42"/>
      <c r="AL1339" s="42"/>
      <c r="AM1339" s="42"/>
      <c r="AN1339" s="42"/>
      <c r="AO1339" s="42"/>
      <c r="AP1339" s="42"/>
      <c r="AQ1339" s="42"/>
      <c r="BK1339" s="317"/>
      <c r="BL1339" s="5"/>
      <c r="BM1339" s="5"/>
      <c r="BN1339" s="5"/>
      <c r="BO1339" s="5"/>
      <c r="BP1339" s="5"/>
      <c r="BQ1339" s="5"/>
      <c r="BR1339" s="5"/>
      <c r="BS1339" s="5"/>
      <c r="BT1339" s="5"/>
      <c r="BV1339" s="317"/>
      <c r="CF1339" s="5"/>
      <c r="CG1339" s="5"/>
      <c r="CH1339" s="5"/>
      <c r="CI1339" s="5"/>
      <c r="CJ1339" s="5"/>
      <c r="CK1339" s="5"/>
      <c r="CL1339" s="5"/>
    </row>
    <row r="1340" spans="1:103" ht="10.25" customHeight="1">
      <c r="A1340" s="208"/>
      <c r="B1340" s="209"/>
      <c r="C1340" s="209"/>
      <c r="D1340" s="210"/>
      <c r="E1340" s="211"/>
      <c r="F1340" s="369"/>
      <c r="G1340" s="369"/>
      <c r="H1340" s="369"/>
      <c r="I1340" s="369"/>
      <c r="J1340" s="369"/>
      <c r="K1340" s="369"/>
      <c r="L1340" s="369"/>
      <c r="M1340" s="230"/>
      <c r="N1340" s="230"/>
      <c r="O1340" s="235"/>
      <c r="P1340" s="235"/>
      <c r="Q1340" s="235"/>
      <c r="R1340" s="235"/>
      <c r="S1340" s="235"/>
      <c r="T1340" s="235"/>
      <c r="U1340" s="235"/>
      <c r="V1340" s="235"/>
      <c r="W1340" s="235"/>
      <c r="X1340" s="235"/>
      <c r="Y1340" s="235"/>
      <c r="Z1340" s="235"/>
      <c r="AA1340" s="235"/>
      <c r="AB1340" s="235"/>
      <c r="AC1340" s="235"/>
      <c r="AD1340" s="235"/>
      <c r="AE1340" s="235"/>
      <c r="AF1340" s="235"/>
      <c r="AG1340" s="235"/>
      <c r="AH1340" s="235"/>
      <c r="AI1340" s="235"/>
      <c r="AJ1340" s="235"/>
      <c r="AK1340" s="235"/>
      <c r="AL1340" s="235"/>
      <c r="AM1340" s="235"/>
      <c r="AN1340" s="235"/>
      <c r="AO1340" s="235"/>
      <c r="AP1340" s="235"/>
      <c r="AQ1340" s="235"/>
      <c r="BK1340" s="317"/>
      <c r="BL1340" s="5"/>
      <c r="BM1340" s="5"/>
      <c r="BN1340" s="5"/>
      <c r="BO1340" s="5"/>
      <c r="BP1340" s="5"/>
      <c r="BQ1340" s="5"/>
      <c r="BR1340" s="5"/>
      <c r="BS1340" s="5"/>
      <c r="BT1340" s="5"/>
      <c r="BV1340" s="317"/>
      <c r="CF1340" s="5"/>
      <c r="CG1340" s="5"/>
      <c r="CH1340" s="5"/>
      <c r="CI1340" s="5"/>
      <c r="CJ1340" s="5"/>
      <c r="CK1340" s="5"/>
      <c r="CL1340" s="5"/>
    </row>
    <row r="1341" spans="1:103" ht="2" customHeight="1">
      <c r="A1341" s="209"/>
      <c r="B1341" s="209"/>
      <c r="C1341" s="212"/>
      <c r="D1341" s="213"/>
      <c r="E1341" s="209"/>
      <c r="F1341" s="209"/>
      <c r="G1341" s="209"/>
      <c r="H1341" s="209"/>
      <c r="I1341" s="209"/>
      <c r="J1341" s="209"/>
      <c r="K1341" s="209"/>
      <c r="L1341" s="209"/>
      <c r="M1341" s="209"/>
      <c r="N1341" s="209"/>
      <c r="O1341" s="46"/>
      <c r="P1341" s="46"/>
      <c r="Q1341" s="46"/>
      <c r="R1341" s="46"/>
      <c r="S1341" s="46"/>
      <c r="T1341" s="46"/>
      <c r="U1341" s="46"/>
      <c r="V1341" s="46"/>
      <c r="W1341" s="46"/>
      <c r="X1341" s="46"/>
      <c r="Y1341" s="46"/>
      <c r="Z1341" s="46"/>
      <c r="AA1341" s="46"/>
      <c r="AB1341" s="46"/>
      <c r="AC1341" s="46"/>
      <c r="AD1341" s="46"/>
      <c r="AE1341" s="46"/>
      <c r="AF1341" s="46"/>
      <c r="AG1341" s="46"/>
      <c r="AH1341" s="46"/>
      <c r="AI1341" s="46"/>
      <c r="AJ1341" s="46"/>
      <c r="AK1341" s="46"/>
      <c r="AL1341" s="46"/>
      <c r="AM1341" s="46"/>
      <c r="AN1341" s="46"/>
      <c r="AO1341" s="46"/>
      <c r="AP1341" s="46"/>
      <c r="AQ1341" s="46"/>
      <c r="BK1341" s="317"/>
      <c r="BL1341" s="5"/>
      <c r="BM1341" s="5"/>
      <c r="BN1341" s="5"/>
      <c r="BO1341" s="5"/>
      <c r="BP1341" s="5"/>
      <c r="BQ1341" s="5"/>
      <c r="BR1341" s="5"/>
      <c r="BS1341" s="5"/>
      <c r="BT1341" s="5"/>
      <c r="BV1341" s="317"/>
      <c r="CF1341" s="5"/>
      <c r="CG1341" s="5"/>
      <c r="CH1341" s="5"/>
      <c r="CI1341" s="5"/>
      <c r="CJ1341" s="5"/>
      <c r="CK1341" s="5"/>
      <c r="CL1341" s="5"/>
    </row>
    <row r="1342" spans="1:103" ht="26.4" customHeight="1">
      <c r="A1342" s="374"/>
      <c r="B1342" s="374"/>
      <c r="C1342" s="374"/>
      <c r="D1342" s="372"/>
      <c r="E1342" s="373"/>
      <c r="F1342" s="370"/>
      <c r="G1342" s="215"/>
      <c r="H1342" s="373"/>
      <c r="I1342" s="370"/>
      <c r="J1342" s="370"/>
      <c r="K1342" s="370"/>
      <c r="L1342" s="373"/>
      <c r="M1342" s="374"/>
      <c r="N1342" s="213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  <c r="AQ1342" s="5"/>
      <c r="BK1342" s="317"/>
      <c r="BL1342" s="5"/>
      <c r="BM1342" s="5"/>
      <c r="BN1342" s="5"/>
      <c r="BO1342" s="5"/>
      <c r="BP1342" s="5"/>
      <c r="BQ1342" s="5"/>
      <c r="BR1342" s="5"/>
      <c r="BS1342" s="5"/>
      <c r="BT1342" s="5"/>
      <c r="BV1342" s="317"/>
      <c r="CF1342" s="5"/>
      <c r="CG1342" s="5"/>
      <c r="CH1342" s="5"/>
      <c r="CI1342" s="5"/>
      <c r="CJ1342" s="5"/>
      <c r="CK1342" s="5"/>
      <c r="CL1342" s="5"/>
    </row>
    <row r="1343" spans="1:103" ht="9.65" customHeight="1">
      <c r="A1343" s="374"/>
      <c r="B1343" s="374"/>
      <c r="C1343" s="374"/>
      <c r="D1343" s="372"/>
      <c r="E1343" s="373"/>
      <c r="F1343" s="370"/>
      <c r="G1343" s="215"/>
      <c r="H1343" s="373"/>
      <c r="I1343" s="233"/>
      <c r="J1343" s="233"/>
      <c r="K1343" s="233"/>
      <c r="L1343" s="373"/>
      <c r="M1343" s="374"/>
      <c r="N1343" s="213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BK1343" s="317"/>
      <c r="BL1343" s="5"/>
      <c r="BM1343" s="5"/>
      <c r="BN1343" s="5"/>
      <c r="BO1343" s="5"/>
      <c r="BP1343" s="5"/>
      <c r="BQ1343" s="5"/>
      <c r="BR1343" s="5"/>
      <c r="BS1343" s="5"/>
      <c r="BT1343" s="5"/>
      <c r="BV1343" s="317"/>
      <c r="CF1343" s="5"/>
      <c r="CG1343" s="5"/>
      <c r="CH1343" s="5"/>
      <c r="CI1343" s="5"/>
      <c r="CJ1343" s="5"/>
      <c r="CK1343" s="5"/>
      <c r="CL1343" s="5"/>
    </row>
    <row r="1344" spans="1:103" ht="10.25" customHeight="1">
      <c r="A1344" s="216"/>
      <c r="B1344" s="217"/>
      <c r="C1344" s="218"/>
      <c r="D1344" s="219"/>
      <c r="E1344" s="217"/>
      <c r="F1344" s="217"/>
      <c r="G1344" s="217"/>
      <c r="H1344" s="220"/>
      <c r="I1344" s="217"/>
      <c r="J1344" s="217"/>
      <c r="K1344" s="217"/>
      <c r="L1344" s="217"/>
      <c r="M1344" s="217"/>
      <c r="N1344" s="217"/>
      <c r="O1344" s="44"/>
      <c r="P1344" s="44"/>
      <c r="Q1344" s="44"/>
      <c r="R1344" s="44"/>
      <c r="S1344" s="44"/>
      <c r="T1344" s="44"/>
      <c r="U1344" s="44"/>
      <c r="V1344" s="44"/>
      <c r="W1344" s="44"/>
      <c r="X1344" s="44"/>
      <c r="Y1344" s="44"/>
      <c r="Z1344" s="44"/>
      <c r="AA1344" s="44"/>
      <c r="AB1344" s="44"/>
      <c r="AC1344" s="44"/>
      <c r="AD1344" s="44"/>
      <c r="AE1344" s="44"/>
      <c r="AF1344" s="44"/>
      <c r="AG1344" s="44"/>
      <c r="AH1344" s="44"/>
      <c r="AI1344" s="44"/>
      <c r="AJ1344" s="44"/>
      <c r="AK1344" s="44"/>
      <c r="AL1344" s="44"/>
      <c r="AM1344" s="44"/>
      <c r="AN1344" s="44"/>
      <c r="AO1344" s="44"/>
      <c r="AP1344" s="44"/>
      <c r="AQ1344" s="44"/>
      <c r="BA1344" s="5"/>
      <c r="BB1344" s="5"/>
      <c r="BC1344" s="5"/>
      <c r="BD1344" s="5"/>
      <c r="BE1344" s="63"/>
      <c r="BF1344" s="63"/>
      <c r="BG1344" s="63"/>
      <c r="BK1344" s="317"/>
      <c r="BL1344" s="5"/>
      <c r="BM1344" s="5"/>
      <c r="BN1344" s="5"/>
      <c r="BO1344" s="5"/>
      <c r="BP1344" s="5"/>
      <c r="BQ1344" s="5"/>
      <c r="BR1344" s="5"/>
      <c r="BS1344" s="5"/>
      <c r="BT1344" s="5"/>
      <c r="BV1344" s="317"/>
      <c r="CF1344" s="5"/>
      <c r="CG1344" s="53"/>
      <c r="CH1344" s="53"/>
      <c r="CI1344" s="53"/>
      <c r="CJ1344" s="53"/>
      <c r="CK1344" s="53"/>
      <c r="CL1344" s="53"/>
      <c r="CN1344" s="53"/>
      <c r="CO1344" s="53"/>
      <c r="CP1344" s="53"/>
      <c r="CQ1344" s="53"/>
      <c r="CR1344" s="53"/>
      <c r="CS1344" s="53"/>
    </row>
    <row r="1345" spans="1:103" ht="10.25" customHeight="1">
      <c r="A1345" s="216"/>
      <c r="B1345" s="217"/>
      <c r="C1345" s="218"/>
      <c r="D1345" s="219"/>
      <c r="E1345" s="217"/>
      <c r="F1345" s="217"/>
      <c r="G1345" s="217"/>
      <c r="H1345" s="220"/>
      <c r="I1345" s="217"/>
      <c r="J1345" s="217"/>
      <c r="K1345" s="217"/>
      <c r="L1345" s="217"/>
      <c r="M1345" s="217"/>
      <c r="N1345" s="217"/>
      <c r="O1345" s="44"/>
      <c r="P1345" s="44"/>
      <c r="Q1345" s="44"/>
      <c r="R1345" s="44"/>
      <c r="S1345" s="44"/>
      <c r="T1345" s="44"/>
      <c r="U1345" s="44"/>
      <c r="V1345" s="44"/>
      <c r="W1345" s="44"/>
      <c r="X1345" s="44"/>
      <c r="Y1345" s="44"/>
      <c r="Z1345" s="44"/>
      <c r="AA1345" s="44"/>
      <c r="AB1345" s="44"/>
      <c r="AC1345" s="44"/>
      <c r="AD1345" s="44"/>
      <c r="AE1345" s="44"/>
      <c r="AF1345" s="44"/>
      <c r="AG1345" s="44"/>
      <c r="AH1345" s="44"/>
      <c r="AI1345" s="44"/>
      <c r="AJ1345" s="44"/>
      <c r="AK1345" s="44"/>
      <c r="AL1345" s="44"/>
      <c r="AM1345" s="44"/>
      <c r="AN1345" s="44"/>
      <c r="AO1345" s="44"/>
      <c r="AP1345" s="44"/>
      <c r="AQ1345" s="44"/>
      <c r="BA1345" s="5"/>
      <c r="BB1345" s="5"/>
      <c r="BC1345" s="5"/>
      <c r="BD1345" s="5"/>
      <c r="BE1345" s="63"/>
      <c r="BF1345" s="63"/>
      <c r="BG1345" s="63"/>
      <c r="BK1345" s="317"/>
      <c r="BL1345" s="5"/>
      <c r="BM1345" s="5"/>
      <c r="BN1345" s="5"/>
      <c r="BO1345" s="5"/>
      <c r="BP1345" s="5"/>
      <c r="BQ1345" s="5"/>
      <c r="BR1345" s="5"/>
      <c r="BS1345" s="5"/>
      <c r="BT1345" s="5"/>
      <c r="BV1345" s="317"/>
      <c r="CF1345" s="5"/>
      <c r="CG1345" s="53"/>
      <c r="CH1345" s="53"/>
      <c r="CI1345" s="53"/>
      <c r="CJ1345" s="53"/>
      <c r="CK1345" s="53"/>
      <c r="CL1345" s="53"/>
      <c r="CN1345" s="53"/>
      <c r="CO1345" s="53"/>
      <c r="CP1345" s="53"/>
      <c r="CQ1345" s="53"/>
      <c r="CR1345" s="53"/>
      <c r="CS1345" s="53"/>
    </row>
    <row r="1346" spans="1:103" ht="10.25" customHeight="1">
      <c r="A1346" s="216"/>
      <c r="B1346" s="217"/>
      <c r="C1346" s="218"/>
      <c r="D1346" s="219"/>
      <c r="E1346" s="217"/>
      <c r="F1346" s="217"/>
      <c r="G1346" s="217"/>
      <c r="H1346" s="220"/>
      <c r="I1346" s="217"/>
      <c r="J1346" s="217"/>
      <c r="K1346" s="217"/>
      <c r="L1346" s="217"/>
      <c r="M1346" s="217"/>
      <c r="N1346" s="217"/>
      <c r="O1346" s="44"/>
      <c r="P1346" s="44"/>
      <c r="Q1346" s="44"/>
      <c r="R1346" s="44"/>
      <c r="S1346" s="44"/>
      <c r="T1346" s="44"/>
      <c r="U1346" s="44"/>
      <c r="V1346" s="44"/>
      <c r="W1346" s="44"/>
      <c r="X1346" s="44"/>
      <c r="Y1346" s="44"/>
      <c r="Z1346" s="44"/>
      <c r="AA1346" s="44"/>
      <c r="AB1346" s="44"/>
      <c r="AC1346" s="44"/>
      <c r="AD1346" s="44"/>
      <c r="AE1346" s="44"/>
      <c r="AF1346" s="44"/>
      <c r="AG1346" s="44"/>
      <c r="AH1346" s="44"/>
      <c r="AI1346" s="44"/>
      <c r="AJ1346" s="44"/>
      <c r="AK1346" s="44"/>
      <c r="AL1346" s="44"/>
      <c r="AM1346" s="44"/>
      <c r="AN1346" s="44"/>
      <c r="AO1346" s="44"/>
      <c r="AP1346" s="44"/>
      <c r="AQ1346" s="44"/>
      <c r="BA1346" s="5"/>
      <c r="BB1346" s="5"/>
      <c r="BC1346" s="5"/>
      <c r="BD1346" s="5"/>
      <c r="BE1346" s="63"/>
      <c r="BF1346" s="63"/>
      <c r="BG1346" s="63"/>
      <c r="BK1346" s="317"/>
      <c r="BL1346" s="5"/>
      <c r="BM1346" s="5"/>
      <c r="BN1346" s="5"/>
      <c r="BO1346" s="5"/>
      <c r="BP1346" s="5"/>
      <c r="BQ1346" s="5"/>
      <c r="BR1346" s="5"/>
      <c r="BS1346" s="5"/>
      <c r="BT1346" s="5"/>
      <c r="BV1346" s="317"/>
      <c r="CF1346" s="5"/>
      <c r="CG1346" s="53"/>
      <c r="CH1346" s="53"/>
      <c r="CI1346" s="53"/>
      <c r="CJ1346" s="53"/>
      <c r="CK1346" s="53"/>
      <c r="CL1346" s="53"/>
      <c r="CN1346" s="53"/>
      <c r="CO1346" s="53"/>
      <c r="CP1346" s="53"/>
      <c r="CQ1346" s="53"/>
      <c r="CR1346" s="53"/>
      <c r="CS1346" s="53"/>
    </row>
    <row r="1347" spans="1:103" ht="10.25" customHeight="1">
      <c r="A1347" s="216"/>
      <c r="B1347" s="217"/>
      <c r="C1347" s="218"/>
      <c r="D1347" s="219"/>
      <c r="E1347" s="217"/>
      <c r="F1347" s="217"/>
      <c r="G1347" s="217"/>
      <c r="H1347" s="220"/>
      <c r="I1347" s="217"/>
      <c r="J1347" s="217"/>
      <c r="K1347" s="217"/>
      <c r="L1347" s="217"/>
      <c r="M1347" s="217"/>
      <c r="N1347" s="217"/>
      <c r="O1347" s="44"/>
      <c r="P1347" s="44"/>
      <c r="Q1347" s="44"/>
      <c r="R1347" s="44"/>
      <c r="S1347" s="44"/>
      <c r="T1347" s="44"/>
      <c r="U1347" s="44"/>
      <c r="V1347" s="44"/>
      <c r="W1347" s="44"/>
      <c r="X1347" s="44"/>
      <c r="Y1347" s="44"/>
      <c r="Z1347" s="44"/>
      <c r="AA1347" s="44"/>
      <c r="AB1347" s="44"/>
      <c r="AC1347" s="44"/>
      <c r="AD1347" s="44"/>
      <c r="AE1347" s="44"/>
      <c r="AF1347" s="44"/>
      <c r="AG1347" s="44"/>
      <c r="AH1347" s="44"/>
      <c r="AI1347" s="44"/>
      <c r="AJ1347" s="44"/>
      <c r="AK1347" s="44"/>
      <c r="AL1347" s="44"/>
      <c r="AM1347" s="44"/>
      <c r="AN1347" s="44"/>
      <c r="AO1347" s="44"/>
      <c r="AP1347" s="44"/>
      <c r="AQ1347" s="44"/>
      <c r="BA1347" s="5"/>
      <c r="BB1347" s="5"/>
      <c r="BC1347" s="5"/>
      <c r="BD1347" s="5"/>
      <c r="BE1347" s="63"/>
      <c r="BF1347" s="63"/>
      <c r="BG1347" s="63"/>
      <c r="BK1347" s="317"/>
      <c r="BL1347" s="5"/>
      <c r="BM1347" s="5"/>
      <c r="BN1347" s="5"/>
      <c r="BO1347" s="5"/>
      <c r="BP1347" s="5"/>
      <c r="BQ1347" s="5"/>
      <c r="BR1347" s="5"/>
      <c r="BS1347" s="5"/>
      <c r="BT1347" s="5"/>
      <c r="BV1347" s="317"/>
      <c r="CF1347" s="5"/>
      <c r="CG1347" s="53"/>
      <c r="CH1347" s="53"/>
      <c r="CI1347" s="53"/>
      <c r="CJ1347" s="53"/>
      <c r="CK1347" s="53"/>
      <c r="CL1347" s="53"/>
      <c r="CN1347" s="53"/>
      <c r="CO1347" s="53"/>
      <c r="CP1347" s="53"/>
      <c r="CQ1347" s="53"/>
      <c r="CR1347" s="53"/>
      <c r="CS1347" s="53"/>
    </row>
    <row r="1348" spans="1:103" ht="10.25" customHeight="1">
      <c r="A1348" s="216"/>
      <c r="B1348" s="217"/>
      <c r="C1348" s="218"/>
      <c r="D1348" s="219"/>
      <c r="E1348" s="217"/>
      <c r="F1348" s="217"/>
      <c r="G1348" s="217"/>
      <c r="H1348" s="220"/>
      <c r="I1348" s="217"/>
      <c r="J1348" s="217"/>
      <c r="K1348" s="217"/>
      <c r="L1348" s="217"/>
      <c r="M1348" s="217"/>
      <c r="N1348" s="217"/>
      <c r="O1348" s="44"/>
      <c r="P1348" s="44"/>
      <c r="Q1348" s="44"/>
      <c r="R1348" s="44"/>
      <c r="S1348" s="44"/>
      <c r="T1348" s="44"/>
      <c r="U1348" s="44"/>
      <c r="V1348" s="44"/>
      <c r="W1348" s="44"/>
      <c r="X1348" s="44"/>
      <c r="Y1348" s="44"/>
      <c r="Z1348" s="44"/>
      <c r="AA1348" s="44"/>
      <c r="AB1348" s="44"/>
      <c r="AC1348" s="44"/>
      <c r="AD1348" s="44"/>
      <c r="AE1348" s="44"/>
      <c r="AF1348" s="44"/>
      <c r="AG1348" s="44"/>
      <c r="AH1348" s="44"/>
      <c r="AI1348" s="44"/>
      <c r="AJ1348" s="44"/>
      <c r="AK1348" s="44"/>
      <c r="AL1348" s="44"/>
      <c r="AM1348" s="44"/>
      <c r="AN1348" s="44"/>
      <c r="AO1348" s="44"/>
      <c r="AP1348" s="44"/>
      <c r="AQ1348" s="44"/>
      <c r="BA1348" s="5"/>
      <c r="BB1348" s="5"/>
      <c r="BC1348" s="5"/>
      <c r="BD1348" s="5"/>
      <c r="BE1348" s="63"/>
      <c r="BF1348" s="63"/>
      <c r="BG1348" s="63"/>
      <c r="BK1348" s="317"/>
      <c r="BL1348" s="5"/>
      <c r="BM1348" s="5"/>
      <c r="BN1348" s="5"/>
      <c r="BO1348" s="5"/>
      <c r="BP1348" s="5"/>
      <c r="BQ1348" s="5"/>
      <c r="BR1348" s="5"/>
      <c r="BS1348" s="5"/>
      <c r="BT1348" s="5"/>
      <c r="BV1348" s="317"/>
      <c r="CF1348" s="5"/>
      <c r="CG1348" s="53"/>
      <c r="CH1348" s="53"/>
      <c r="CI1348" s="53"/>
      <c r="CJ1348" s="53"/>
      <c r="CK1348" s="53"/>
      <c r="CL1348" s="53"/>
      <c r="CN1348" s="53"/>
      <c r="CO1348" s="53"/>
      <c r="CP1348" s="53"/>
      <c r="CQ1348" s="53"/>
      <c r="CR1348" s="53"/>
      <c r="CS1348" s="53"/>
    </row>
    <row r="1349" spans="1:103" ht="10.25" customHeight="1">
      <c r="A1349" s="216"/>
      <c r="B1349" s="217"/>
      <c r="C1349" s="218"/>
      <c r="D1349" s="219"/>
      <c r="E1349" s="217"/>
      <c r="F1349" s="217"/>
      <c r="G1349" s="217"/>
      <c r="H1349" s="220"/>
      <c r="I1349" s="217"/>
      <c r="J1349" s="217"/>
      <c r="K1349" s="217"/>
      <c r="L1349" s="217"/>
      <c r="M1349" s="217"/>
      <c r="N1349" s="217"/>
      <c r="O1349" s="44"/>
      <c r="P1349" s="44"/>
      <c r="Q1349" s="44"/>
      <c r="R1349" s="44"/>
      <c r="S1349" s="44"/>
      <c r="T1349" s="44"/>
      <c r="U1349" s="44"/>
      <c r="V1349" s="44"/>
      <c r="W1349" s="44"/>
      <c r="X1349" s="44"/>
      <c r="Y1349" s="44"/>
      <c r="Z1349" s="44"/>
      <c r="AA1349" s="44"/>
      <c r="AB1349" s="44"/>
      <c r="AC1349" s="44"/>
      <c r="AD1349" s="44"/>
      <c r="AE1349" s="44"/>
      <c r="AF1349" s="44"/>
      <c r="AG1349" s="44"/>
      <c r="AH1349" s="44"/>
      <c r="AI1349" s="44"/>
      <c r="AJ1349" s="44"/>
      <c r="AK1349" s="44"/>
      <c r="AL1349" s="44"/>
      <c r="AM1349" s="44"/>
      <c r="AN1349" s="44"/>
      <c r="AO1349" s="44"/>
      <c r="AP1349" s="44"/>
      <c r="AQ1349" s="44"/>
      <c r="BA1349" s="5"/>
      <c r="BB1349" s="5"/>
      <c r="BC1349" s="5"/>
      <c r="BD1349" s="5"/>
      <c r="BE1349" s="63"/>
      <c r="BF1349" s="63"/>
      <c r="BG1349" s="63"/>
      <c r="BK1349" s="317"/>
      <c r="BL1349" s="5"/>
      <c r="BM1349" s="5"/>
      <c r="BN1349" s="5"/>
      <c r="BO1349" s="5"/>
      <c r="BP1349" s="5"/>
      <c r="BQ1349" s="5"/>
      <c r="BR1349" s="5"/>
      <c r="BS1349" s="5"/>
      <c r="BT1349" s="5"/>
      <c r="BV1349" s="317"/>
      <c r="CF1349" s="5"/>
      <c r="CG1349" s="53"/>
      <c r="CH1349" s="53"/>
      <c r="CI1349" s="53"/>
      <c r="CJ1349" s="53"/>
      <c r="CK1349" s="53"/>
      <c r="CL1349" s="53"/>
      <c r="CN1349" s="53"/>
      <c r="CO1349" s="53"/>
      <c r="CP1349" s="53"/>
      <c r="CQ1349" s="53"/>
      <c r="CR1349" s="53"/>
      <c r="CS1349" s="53"/>
    </row>
    <row r="1350" spans="1:103" ht="10.25" customHeight="1">
      <c r="A1350" s="216"/>
      <c r="B1350" s="217"/>
      <c r="C1350" s="218"/>
      <c r="D1350" s="219"/>
      <c r="E1350" s="217"/>
      <c r="F1350" s="217"/>
      <c r="G1350" s="217"/>
      <c r="H1350" s="220"/>
      <c r="I1350" s="217"/>
      <c r="J1350" s="217"/>
      <c r="K1350" s="217"/>
      <c r="L1350" s="217"/>
      <c r="M1350" s="217"/>
      <c r="N1350" s="217"/>
      <c r="O1350" s="44"/>
      <c r="P1350" s="44"/>
      <c r="Q1350" s="44"/>
      <c r="R1350" s="44"/>
      <c r="S1350" s="44"/>
      <c r="T1350" s="44"/>
      <c r="U1350" s="44"/>
      <c r="V1350" s="44"/>
      <c r="W1350" s="44"/>
      <c r="X1350" s="44"/>
      <c r="Y1350" s="44"/>
      <c r="Z1350" s="44"/>
      <c r="AA1350" s="44"/>
      <c r="AB1350" s="44"/>
      <c r="AC1350" s="44"/>
      <c r="AD1350" s="44"/>
      <c r="AE1350" s="44"/>
      <c r="AF1350" s="44"/>
      <c r="AG1350" s="44"/>
      <c r="AH1350" s="44"/>
      <c r="AI1350" s="44"/>
      <c r="AJ1350" s="44"/>
      <c r="AK1350" s="44"/>
      <c r="AL1350" s="44"/>
      <c r="AM1350" s="44"/>
      <c r="AN1350" s="44"/>
      <c r="AO1350" s="44"/>
      <c r="AP1350" s="44"/>
      <c r="AQ1350" s="44"/>
      <c r="BA1350" s="5"/>
      <c r="BB1350" s="5"/>
      <c r="BC1350" s="5"/>
      <c r="BD1350" s="5"/>
      <c r="BE1350" s="63"/>
      <c r="BF1350" s="63"/>
      <c r="BG1350" s="63"/>
      <c r="BK1350" s="317"/>
      <c r="BL1350" s="5"/>
      <c r="BM1350" s="5"/>
      <c r="BN1350" s="5"/>
      <c r="BO1350" s="5"/>
      <c r="BP1350" s="5"/>
      <c r="BQ1350" s="5"/>
      <c r="BR1350" s="5"/>
      <c r="BS1350" s="5"/>
      <c r="BT1350" s="5"/>
      <c r="BV1350" s="317"/>
      <c r="CF1350" s="5"/>
      <c r="CG1350" s="53"/>
      <c r="CH1350" s="53"/>
      <c r="CI1350" s="53"/>
      <c r="CJ1350" s="53"/>
      <c r="CK1350" s="53"/>
      <c r="CL1350" s="53"/>
      <c r="CN1350" s="53"/>
      <c r="CO1350" s="53"/>
      <c r="CP1350" s="53"/>
      <c r="CQ1350" s="53"/>
      <c r="CR1350" s="53"/>
      <c r="CS1350" s="53"/>
    </row>
    <row r="1351" spans="1:103" ht="10.25" customHeight="1">
      <c r="A1351" s="216"/>
      <c r="B1351" s="217"/>
      <c r="C1351" s="218"/>
      <c r="D1351" s="219"/>
      <c r="E1351" s="217"/>
      <c r="F1351" s="217"/>
      <c r="G1351" s="217"/>
      <c r="H1351" s="220"/>
      <c r="I1351" s="217"/>
      <c r="J1351" s="217"/>
      <c r="K1351" s="217"/>
      <c r="L1351" s="217"/>
      <c r="M1351" s="217"/>
      <c r="N1351" s="217"/>
      <c r="O1351" s="44"/>
      <c r="P1351" s="44"/>
      <c r="Q1351" s="44"/>
      <c r="R1351" s="44"/>
      <c r="S1351" s="44"/>
      <c r="T1351" s="44"/>
      <c r="U1351" s="44"/>
      <c r="V1351" s="44"/>
      <c r="W1351" s="44"/>
      <c r="X1351" s="44"/>
      <c r="Y1351" s="44"/>
      <c r="Z1351" s="44"/>
      <c r="AA1351" s="44"/>
      <c r="AB1351" s="44"/>
      <c r="AC1351" s="44"/>
      <c r="AD1351" s="44"/>
      <c r="AE1351" s="44"/>
      <c r="AF1351" s="44"/>
      <c r="AG1351" s="44"/>
      <c r="AH1351" s="44"/>
      <c r="AI1351" s="44"/>
      <c r="AJ1351" s="44"/>
      <c r="AK1351" s="44"/>
      <c r="AL1351" s="44"/>
      <c r="AM1351" s="44"/>
      <c r="AN1351" s="44"/>
      <c r="AO1351" s="44"/>
      <c r="AP1351" s="44"/>
      <c r="AQ1351" s="44"/>
      <c r="AW1351" s="63"/>
      <c r="AX1351" s="63"/>
      <c r="AY1351" s="63"/>
      <c r="AZ1351" s="63"/>
      <c r="BA1351" s="5"/>
      <c r="BB1351" s="5"/>
      <c r="BC1351" s="5"/>
      <c r="BD1351" s="5"/>
      <c r="BE1351" s="63"/>
      <c r="BF1351" s="63"/>
      <c r="BG1351" s="63"/>
      <c r="BV1351" s="317"/>
      <c r="CF1351" s="5"/>
      <c r="CG1351" s="53"/>
      <c r="CH1351" s="53"/>
      <c r="CI1351" s="53"/>
      <c r="CJ1351" s="53"/>
      <c r="CK1351" s="53"/>
      <c r="CL1351" s="53"/>
      <c r="CN1351" s="53"/>
      <c r="CO1351" s="53"/>
      <c r="CP1351" s="53"/>
      <c r="CQ1351" s="53"/>
      <c r="CR1351" s="53"/>
      <c r="CS1351" s="53"/>
    </row>
    <row r="1352" spans="1:103" ht="10.25" customHeight="1">
      <c r="A1352" s="216"/>
      <c r="B1352" s="217"/>
      <c r="C1352" s="218"/>
      <c r="D1352" s="219"/>
      <c r="E1352" s="217"/>
      <c r="F1352" s="217"/>
      <c r="G1352" s="217"/>
      <c r="H1352" s="220"/>
      <c r="I1352" s="217"/>
      <c r="J1352" s="217"/>
      <c r="K1352" s="217"/>
      <c r="L1352" s="217"/>
      <c r="M1352" s="217"/>
      <c r="N1352" s="217"/>
      <c r="O1352" s="44"/>
      <c r="P1352" s="44"/>
      <c r="Q1352" s="44"/>
      <c r="R1352" s="44"/>
      <c r="S1352" s="44"/>
      <c r="T1352" s="44"/>
      <c r="U1352" s="44"/>
      <c r="V1352" s="44"/>
      <c r="W1352" s="44"/>
      <c r="X1352" s="44"/>
      <c r="Y1352" s="44"/>
      <c r="Z1352" s="44"/>
      <c r="AA1352" s="44"/>
      <c r="AB1352" s="44"/>
      <c r="AC1352" s="44"/>
      <c r="AD1352" s="44"/>
      <c r="AE1352" s="44"/>
      <c r="AF1352" s="44"/>
      <c r="AG1352" s="44"/>
      <c r="AH1352" s="44"/>
      <c r="AI1352" s="44"/>
      <c r="AJ1352" s="44"/>
      <c r="AK1352" s="44"/>
      <c r="AL1352" s="44"/>
      <c r="AM1352" s="44"/>
      <c r="AN1352" s="44"/>
      <c r="AO1352" s="44"/>
      <c r="AP1352" s="44"/>
      <c r="AQ1352" s="44"/>
      <c r="AW1352" s="63"/>
      <c r="AX1352" s="63"/>
      <c r="AY1352" s="63"/>
      <c r="AZ1352" s="63"/>
      <c r="BA1352" s="5"/>
      <c r="BB1352" s="5"/>
      <c r="BC1352" s="5"/>
      <c r="BD1352" s="5"/>
      <c r="BE1352" s="63"/>
      <c r="BF1352" s="63"/>
      <c r="BG1352" s="63"/>
      <c r="BV1352" s="317"/>
      <c r="CF1352" s="5"/>
      <c r="CG1352" s="53"/>
      <c r="CH1352" s="53"/>
      <c r="CI1352" s="53"/>
      <c r="CJ1352" s="53"/>
      <c r="CK1352" s="53"/>
      <c r="CL1352" s="53"/>
      <c r="CN1352" s="53"/>
      <c r="CO1352" s="53"/>
      <c r="CP1352" s="53"/>
      <c r="CQ1352" s="53"/>
      <c r="CR1352" s="53"/>
      <c r="CS1352" s="53"/>
    </row>
    <row r="1353" spans="1:103" ht="10.25" customHeight="1">
      <c r="A1353" s="216"/>
      <c r="B1353" s="217"/>
      <c r="C1353" s="218"/>
      <c r="D1353" s="219"/>
      <c r="E1353" s="217"/>
      <c r="F1353" s="217"/>
      <c r="G1353" s="217"/>
      <c r="H1353" s="220"/>
      <c r="I1353" s="217"/>
      <c r="J1353" s="217"/>
      <c r="K1353" s="217"/>
      <c r="L1353" s="217"/>
      <c r="M1353" s="217"/>
      <c r="N1353" s="217"/>
      <c r="O1353" s="44"/>
      <c r="P1353" s="44"/>
      <c r="Q1353" s="44"/>
      <c r="R1353" s="44"/>
      <c r="S1353" s="44"/>
      <c r="T1353" s="44"/>
      <c r="U1353" s="44"/>
      <c r="V1353" s="44"/>
      <c r="W1353" s="44"/>
      <c r="X1353" s="44"/>
      <c r="Y1353" s="44"/>
      <c r="Z1353" s="44"/>
      <c r="AA1353" s="44"/>
      <c r="AB1353" s="44"/>
      <c r="AC1353" s="44"/>
      <c r="AD1353" s="44"/>
      <c r="AE1353" s="44"/>
      <c r="AF1353" s="44"/>
      <c r="AG1353" s="44"/>
      <c r="AH1353" s="44"/>
      <c r="AI1353" s="44"/>
      <c r="AJ1353" s="44"/>
      <c r="AK1353" s="44"/>
      <c r="AL1353" s="44"/>
      <c r="AM1353" s="44"/>
      <c r="AN1353" s="44"/>
      <c r="AO1353" s="44"/>
      <c r="AP1353" s="44"/>
      <c r="AQ1353" s="44"/>
      <c r="AW1353" s="63"/>
      <c r="AX1353" s="63"/>
      <c r="AY1353" s="63"/>
      <c r="AZ1353" s="63"/>
      <c r="BA1353" s="5"/>
      <c r="BB1353" s="5"/>
      <c r="BC1353" s="5"/>
      <c r="BD1353" s="5"/>
      <c r="BE1353" s="63"/>
      <c r="BF1353" s="63"/>
      <c r="BG1353" s="63"/>
      <c r="BV1353" s="317"/>
      <c r="CF1353" s="5"/>
      <c r="CG1353" s="53"/>
      <c r="CH1353" s="53"/>
      <c r="CI1353" s="53"/>
      <c r="CJ1353" s="53"/>
      <c r="CK1353" s="53"/>
      <c r="CL1353" s="53"/>
      <c r="CN1353" s="53"/>
      <c r="CO1353" s="53"/>
      <c r="CP1353" s="53"/>
      <c r="CQ1353" s="53"/>
      <c r="CR1353" s="53"/>
      <c r="CS1353" s="53"/>
      <c r="CT1353" s="5"/>
      <c r="CU1353" s="5"/>
      <c r="CV1353" s="5"/>
      <c r="CW1353" s="5"/>
      <c r="CX1353" s="5"/>
      <c r="CY1353" s="5"/>
    </row>
    <row r="1354" spans="1:103" ht="10.25" customHeight="1">
      <c r="A1354" s="216"/>
      <c r="B1354" s="217"/>
      <c r="C1354" s="218"/>
      <c r="D1354" s="219"/>
      <c r="E1354" s="217"/>
      <c r="F1354" s="217"/>
      <c r="G1354" s="217"/>
      <c r="H1354" s="220"/>
      <c r="I1354" s="217"/>
      <c r="J1354" s="217"/>
      <c r="K1354" s="217"/>
      <c r="L1354" s="217"/>
      <c r="M1354" s="217"/>
      <c r="N1354" s="217"/>
      <c r="O1354" s="44"/>
      <c r="P1354" s="44"/>
      <c r="Q1354" s="44"/>
      <c r="R1354" s="44"/>
      <c r="S1354" s="44"/>
      <c r="T1354" s="44"/>
      <c r="U1354" s="44"/>
      <c r="V1354" s="44"/>
      <c r="W1354" s="44"/>
      <c r="X1354" s="44"/>
      <c r="Y1354" s="44"/>
      <c r="Z1354" s="44"/>
      <c r="AA1354" s="44"/>
      <c r="AB1354" s="44"/>
      <c r="AC1354" s="44"/>
      <c r="AD1354" s="44"/>
      <c r="AE1354" s="44"/>
      <c r="AF1354" s="44"/>
      <c r="AG1354" s="44"/>
      <c r="AH1354" s="44"/>
      <c r="AI1354" s="44"/>
      <c r="AJ1354" s="44"/>
      <c r="AK1354" s="44"/>
      <c r="AL1354" s="44"/>
      <c r="AM1354" s="44"/>
      <c r="AN1354" s="44"/>
      <c r="AO1354" s="44"/>
      <c r="AP1354" s="44"/>
      <c r="AQ1354" s="44"/>
      <c r="AW1354" s="63"/>
      <c r="AX1354" s="63"/>
      <c r="AY1354" s="63"/>
      <c r="AZ1354" s="63"/>
      <c r="BA1354" s="5"/>
      <c r="BB1354" s="5"/>
      <c r="BC1354" s="5"/>
      <c r="BD1354" s="5"/>
      <c r="BE1354" s="63"/>
      <c r="BF1354" s="63"/>
      <c r="BG1354" s="63"/>
      <c r="BV1354" s="317"/>
      <c r="CF1354" s="5"/>
      <c r="CG1354" s="53"/>
      <c r="CH1354" s="53"/>
      <c r="CI1354" s="53"/>
      <c r="CJ1354" s="53"/>
      <c r="CK1354" s="53"/>
      <c r="CL1354" s="53"/>
      <c r="CN1354" s="53"/>
      <c r="CO1354" s="53"/>
      <c r="CP1354" s="53"/>
      <c r="CQ1354" s="53"/>
      <c r="CR1354" s="53"/>
      <c r="CS1354" s="53"/>
      <c r="CT1354" s="5"/>
      <c r="CU1354" s="5"/>
      <c r="CV1354" s="5"/>
      <c r="CW1354" s="5"/>
      <c r="CX1354" s="5"/>
      <c r="CY1354" s="5"/>
    </row>
    <row r="1355" spans="1:103" ht="10.25" customHeight="1">
      <c r="A1355" s="216"/>
      <c r="B1355" s="217"/>
      <c r="C1355" s="218"/>
      <c r="D1355" s="219"/>
      <c r="E1355" s="217"/>
      <c r="F1355" s="217"/>
      <c r="G1355" s="217"/>
      <c r="H1355" s="220"/>
      <c r="I1355" s="217"/>
      <c r="J1355" s="217"/>
      <c r="K1355" s="217"/>
      <c r="L1355" s="217"/>
      <c r="M1355" s="217"/>
      <c r="N1355" s="217"/>
      <c r="O1355" s="44"/>
      <c r="P1355" s="44"/>
      <c r="Q1355" s="44"/>
      <c r="R1355" s="44"/>
      <c r="S1355" s="44"/>
      <c r="T1355" s="44"/>
      <c r="U1355" s="44"/>
      <c r="V1355" s="44"/>
      <c r="W1355" s="44"/>
      <c r="X1355" s="44"/>
      <c r="Y1355" s="44"/>
      <c r="Z1355" s="44"/>
      <c r="AA1355" s="44"/>
      <c r="AB1355" s="44"/>
      <c r="AC1355" s="44"/>
      <c r="AD1355" s="44"/>
      <c r="AE1355" s="44"/>
      <c r="AF1355" s="44"/>
      <c r="AG1355" s="44"/>
      <c r="AH1355" s="44"/>
      <c r="AI1355" s="44"/>
      <c r="AJ1355" s="44"/>
      <c r="AK1355" s="44"/>
      <c r="AL1355" s="44"/>
      <c r="AM1355" s="44"/>
      <c r="AN1355" s="44"/>
      <c r="AO1355" s="44"/>
      <c r="AP1355" s="44"/>
      <c r="AQ1355" s="44"/>
      <c r="AW1355" s="63"/>
      <c r="AX1355" s="63"/>
      <c r="AY1355" s="63"/>
      <c r="AZ1355" s="63"/>
      <c r="BA1355" s="5"/>
      <c r="BB1355" s="5"/>
      <c r="BC1355" s="5"/>
      <c r="BD1355" s="5"/>
      <c r="BE1355" s="63"/>
      <c r="BF1355" s="63"/>
      <c r="BG1355" s="63"/>
      <c r="BV1355" s="317"/>
      <c r="CF1355" s="5"/>
      <c r="CG1355" s="53"/>
      <c r="CH1355" s="53"/>
      <c r="CI1355" s="53"/>
      <c r="CJ1355" s="53"/>
      <c r="CK1355" s="53"/>
      <c r="CL1355" s="53"/>
      <c r="CN1355" s="53"/>
      <c r="CO1355" s="53"/>
      <c r="CP1355" s="53"/>
      <c r="CQ1355" s="53"/>
      <c r="CR1355" s="53"/>
      <c r="CS1355" s="53"/>
      <c r="CT1355" s="5"/>
      <c r="CU1355" s="5"/>
      <c r="CV1355" s="5"/>
      <c r="CW1355" s="5"/>
      <c r="CX1355" s="5"/>
      <c r="CY1355" s="5"/>
    </row>
    <row r="1356" spans="1:103" ht="10.25" customHeight="1">
      <c r="A1356" s="216"/>
      <c r="B1356" s="217"/>
      <c r="C1356" s="218"/>
      <c r="D1356" s="219"/>
      <c r="E1356" s="217"/>
      <c r="F1356" s="217"/>
      <c r="G1356" s="217"/>
      <c r="H1356" s="220"/>
      <c r="I1356" s="217"/>
      <c r="J1356" s="217"/>
      <c r="K1356" s="217"/>
      <c r="L1356" s="217"/>
      <c r="M1356" s="217"/>
      <c r="N1356" s="217"/>
      <c r="O1356" s="44"/>
      <c r="P1356" s="44"/>
      <c r="Q1356" s="44"/>
      <c r="R1356" s="44"/>
      <c r="S1356" s="44"/>
      <c r="T1356" s="44"/>
      <c r="U1356" s="44"/>
      <c r="V1356" s="44"/>
      <c r="W1356" s="44"/>
      <c r="X1356" s="44"/>
      <c r="Y1356" s="44"/>
      <c r="Z1356" s="44"/>
      <c r="AA1356" s="44"/>
      <c r="AB1356" s="44"/>
      <c r="AC1356" s="44"/>
      <c r="AD1356" s="44"/>
      <c r="AE1356" s="44"/>
      <c r="AF1356" s="44"/>
      <c r="AG1356" s="44"/>
      <c r="AH1356" s="44"/>
      <c r="AI1356" s="44"/>
      <c r="AJ1356" s="44"/>
      <c r="AK1356" s="44"/>
      <c r="AL1356" s="44"/>
      <c r="AM1356" s="44"/>
      <c r="AN1356" s="44"/>
      <c r="AO1356" s="44"/>
      <c r="AP1356" s="44"/>
      <c r="AQ1356" s="44"/>
      <c r="BA1356" s="5"/>
      <c r="BB1356" s="5"/>
      <c r="BC1356" s="5"/>
      <c r="BD1356" s="5"/>
      <c r="BE1356" s="63"/>
      <c r="BF1356" s="63"/>
      <c r="BG1356" s="63"/>
      <c r="BV1356" s="317"/>
      <c r="CF1356" s="5"/>
      <c r="CG1356" s="53"/>
      <c r="CH1356" s="53"/>
      <c r="CI1356" s="53"/>
      <c r="CJ1356" s="53"/>
      <c r="CK1356" s="53"/>
      <c r="CL1356" s="53"/>
      <c r="CN1356" s="53"/>
      <c r="CO1356" s="53"/>
      <c r="CP1356" s="53"/>
      <c r="CQ1356" s="53"/>
      <c r="CR1356" s="53"/>
      <c r="CS1356" s="53"/>
      <c r="CT1356" s="5"/>
      <c r="CU1356" s="5"/>
      <c r="CV1356" s="5"/>
      <c r="CW1356" s="5"/>
      <c r="CX1356" s="5"/>
      <c r="CY1356" s="5"/>
    </row>
    <row r="1357" spans="1:103" ht="10.25" customHeight="1">
      <c r="A1357" s="216"/>
      <c r="B1357" s="217"/>
      <c r="C1357" s="218"/>
      <c r="D1357" s="219"/>
      <c r="E1357" s="217"/>
      <c r="F1357" s="217"/>
      <c r="G1357" s="217"/>
      <c r="H1357" s="220"/>
      <c r="I1357" s="217"/>
      <c r="J1357" s="217"/>
      <c r="K1357" s="217"/>
      <c r="L1357" s="217"/>
      <c r="M1357" s="217"/>
      <c r="N1357" s="217"/>
      <c r="O1357" s="44"/>
      <c r="P1357" s="44"/>
      <c r="Q1357" s="44"/>
      <c r="R1357" s="44"/>
      <c r="S1357" s="44"/>
      <c r="T1357" s="44"/>
      <c r="U1357" s="44"/>
      <c r="V1357" s="44"/>
      <c r="W1357" s="44"/>
      <c r="X1357" s="44"/>
      <c r="Y1357" s="44"/>
      <c r="Z1357" s="44"/>
      <c r="AA1357" s="44"/>
      <c r="AB1357" s="44"/>
      <c r="AC1357" s="44"/>
      <c r="AD1357" s="44"/>
      <c r="AE1357" s="44"/>
      <c r="AF1357" s="44"/>
      <c r="AG1357" s="44"/>
      <c r="AH1357" s="44"/>
      <c r="AI1357" s="44"/>
      <c r="AJ1357" s="44"/>
      <c r="AK1357" s="44"/>
      <c r="AL1357" s="44"/>
      <c r="AM1357" s="44"/>
      <c r="AN1357" s="44"/>
      <c r="AO1357" s="44"/>
      <c r="AP1357" s="44"/>
      <c r="AQ1357" s="44"/>
      <c r="BA1357" s="5"/>
      <c r="BB1357" s="5"/>
      <c r="BC1357" s="5"/>
      <c r="BD1357" s="5"/>
      <c r="BE1357" s="63"/>
      <c r="BF1357" s="63"/>
      <c r="BG1357" s="63"/>
      <c r="BV1357" s="317"/>
      <c r="CF1357" s="5"/>
      <c r="CG1357" s="53"/>
      <c r="CH1357" s="53"/>
      <c r="CI1357" s="53"/>
      <c r="CJ1357" s="53"/>
      <c r="CK1357" s="53"/>
      <c r="CL1357" s="53"/>
      <c r="CN1357" s="53"/>
      <c r="CO1357" s="53"/>
      <c r="CP1357" s="53"/>
      <c r="CQ1357" s="53"/>
      <c r="CR1357" s="53"/>
      <c r="CS1357" s="53"/>
      <c r="CT1357" s="5"/>
      <c r="CU1357" s="5"/>
      <c r="CV1357" s="5"/>
      <c r="CW1357" s="5"/>
      <c r="CX1357" s="5"/>
      <c r="CY1357" s="5"/>
    </row>
    <row r="1358" spans="1:103" ht="10.25" customHeight="1">
      <c r="A1358" s="216"/>
      <c r="B1358" s="217"/>
      <c r="C1358" s="218"/>
      <c r="D1358" s="219"/>
      <c r="E1358" s="217"/>
      <c r="F1358" s="217"/>
      <c r="G1358" s="217"/>
      <c r="H1358" s="220"/>
      <c r="I1358" s="217"/>
      <c r="J1358" s="217"/>
      <c r="K1358" s="217"/>
      <c r="L1358" s="217"/>
      <c r="M1358" s="217"/>
      <c r="N1358" s="217"/>
      <c r="O1358" s="44"/>
      <c r="P1358" s="44"/>
      <c r="Q1358" s="44"/>
      <c r="R1358" s="44"/>
      <c r="S1358" s="44"/>
      <c r="T1358" s="44"/>
      <c r="U1358" s="44"/>
      <c r="V1358" s="44"/>
      <c r="W1358" s="44"/>
      <c r="X1358" s="44"/>
      <c r="Y1358" s="44"/>
      <c r="Z1358" s="44"/>
      <c r="AA1358" s="44"/>
      <c r="AB1358" s="44"/>
      <c r="AC1358" s="44"/>
      <c r="AD1358" s="44"/>
      <c r="AE1358" s="44"/>
      <c r="AF1358" s="44"/>
      <c r="AG1358" s="44"/>
      <c r="AH1358" s="44"/>
      <c r="AI1358" s="44"/>
      <c r="AJ1358" s="44"/>
      <c r="AK1358" s="44"/>
      <c r="AL1358" s="44"/>
      <c r="AM1358" s="44"/>
      <c r="AN1358" s="44"/>
      <c r="AO1358" s="44"/>
      <c r="AP1358" s="44"/>
      <c r="AQ1358" s="44"/>
      <c r="BA1358" s="5"/>
      <c r="BB1358" s="5"/>
      <c r="BC1358" s="5"/>
      <c r="BD1358" s="5"/>
      <c r="BE1358" s="63"/>
      <c r="BF1358" s="63"/>
      <c r="BG1358" s="63"/>
      <c r="CA1358" s="317"/>
      <c r="CF1358" s="5"/>
      <c r="CG1358" s="53"/>
      <c r="CH1358" s="53"/>
      <c r="CI1358" s="53"/>
      <c r="CJ1358" s="53"/>
      <c r="CK1358" s="53"/>
      <c r="CL1358" s="53"/>
      <c r="CN1358" s="53"/>
      <c r="CO1358" s="53"/>
      <c r="CP1358" s="53"/>
      <c r="CQ1358" s="53"/>
      <c r="CR1358" s="53"/>
      <c r="CS1358" s="53"/>
      <c r="CT1358" s="5"/>
      <c r="CU1358" s="5"/>
      <c r="CV1358" s="5"/>
      <c r="CW1358" s="5"/>
      <c r="CX1358" s="5"/>
      <c r="CY1358" s="5"/>
    </row>
    <row r="1359" spans="1:103" ht="10.25" customHeight="1">
      <c r="A1359" s="216"/>
      <c r="B1359" s="217"/>
      <c r="C1359" s="218"/>
      <c r="D1359" s="219"/>
      <c r="E1359" s="217"/>
      <c r="F1359" s="217"/>
      <c r="G1359" s="217"/>
      <c r="H1359" s="220"/>
      <c r="I1359" s="217"/>
      <c r="J1359" s="217"/>
      <c r="K1359" s="217"/>
      <c r="L1359" s="217"/>
      <c r="M1359" s="217"/>
      <c r="N1359" s="217"/>
      <c r="O1359" s="44"/>
      <c r="P1359" s="44"/>
      <c r="Q1359" s="44"/>
      <c r="R1359" s="44"/>
      <c r="S1359" s="44"/>
      <c r="T1359" s="44"/>
      <c r="U1359" s="44"/>
      <c r="V1359" s="44"/>
      <c r="W1359" s="44"/>
      <c r="X1359" s="44"/>
      <c r="Y1359" s="44"/>
      <c r="Z1359" s="44"/>
      <c r="AA1359" s="44"/>
      <c r="AB1359" s="44"/>
      <c r="AC1359" s="44"/>
      <c r="AD1359" s="44"/>
      <c r="AE1359" s="44"/>
      <c r="AF1359" s="44"/>
      <c r="AG1359" s="44"/>
      <c r="AH1359" s="44"/>
      <c r="AI1359" s="44"/>
      <c r="AJ1359" s="44"/>
      <c r="AK1359" s="44"/>
      <c r="AL1359" s="44"/>
      <c r="AM1359" s="44"/>
      <c r="AN1359" s="44"/>
      <c r="AO1359" s="44"/>
      <c r="AP1359" s="44"/>
      <c r="AQ1359" s="44"/>
      <c r="BA1359" s="5"/>
      <c r="BB1359" s="5"/>
      <c r="BC1359" s="5"/>
      <c r="BD1359" s="5"/>
      <c r="BE1359" s="63"/>
      <c r="BF1359" s="63"/>
      <c r="BG1359" s="63"/>
      <c r="CA1359" s="317"/>
      <c r="CF1359" s="5"/>
      <c r="CG1359" s="53"/>
      <c r="CH1359" s="53"/>
      <c r="CI1359" s="53"/>
      <c r="CJ1359" s="53"/>
      <c r="CK1359" s="53"/>
      <c r="CL1359" s="53"/>
      <c r="CN1359" s="53"/>
      <c r="CO1359" s="53"/>
      <c r="CP1359" s="53"/>
      <c r="CQ1359" s="53"/>
      <c r="CR1359" s="53"/>
      <c r="CS1359" s="53"/>
      <c r="CT1359" s="5"/>
      <c r="CU1359" s="5"/>
      <c r="CV1359" s="5"/>
      <c r="CW1359" s="5"/>
      <c r="CX1359" s="5"/>
      <c r="CY1359" s="5"/>
    </row>
    <row r="1360" spans="1:103" ht="10.25" customHeight="1">
      <c r="A1360" s="216"/>
      <c r="B1360" s="217"/>
      <c r="C1360" s="218"/>
      <c r="D1360" s="219"/>
      <c r="E1360" s="217"/>
      <c r="F1360" s="217"/>
      <c r="G1360" s="217"/>
      <c r="H1360" s="220"/>
      <c r="I1360" s="217"/>
      <c r="J1360" s="217"/>
      <c r="K1360" s="217"/>
      <c r="L1360" s="217"/>
      <c r="M1360" s="217"/>
      <c r="N1360" s="217"/>
      <c r="O1360" s="44"/>
      <c r="P1360" s="44"/>
      <c r="Q1360" s="44"/>
      <c r="R1360" s="44"/>
      <c r="S1360" s="44"/>
      <c r="T1360" s="44"/>
      <c r="U1360" s="44"/>
      <c r="V1360" s="44"/>
      <c r="W1360" s="44"/>
      <c r="X1360" s="44"/>
      <c r="Y1360" s="44"/>
      <c r="Z1360" s="44"/>
      <c r="AA1360" s="44"/>
      <c r="AB1360" s="44"/>
      <c r="AC1360" s="44"/>
      <c r="AD1360" s="44"/>
      <c r="AE1360" s="44"/>
      <c r="AF1360" s="44"/>
      <c r="AG1360" s="44"/>
      <c r="AH1360" s="44"/>
      <c r="AI1360" s="44"/>
      <c r="AJ1360" s="44"/>
      <c r="AK1360" s="44"/>
      <c r="AL1360" s="44"/>
      <c r="AM1360" s="44"/>
      <c r="AN1360" s="44"/>
      <c r="AO1360" s="44"/>
      <c r="AP1360" s="44"/>
      <c r="AQ1360" s="44"/>
      <c r="BA1360" s="5"/>
      <c r="BB1360" s="5"/>
      <c r="BC1360" s="5"/>
      <c r="BD1360" s="5"/>
      <c r="BE1360" s="63"/>
      <c r="BF1360" s="63"/>
      <c r="BG1360" s="63"/>
      <c r="CA1360" s="317"/>
      <c r="CF1360" s="5"/>
      <c r="CG1360" s="53"/>
      <c r="CH1360" s="53"/>
      <c r="CI1360" s="53"/>
      <c r="CJ1360" s="53"/>
      <c r="CK1360" s="53"/>
      <c r="CL1360" s="53"/>
      <c r="CN1360" s="53"/>
      <c r="CO1360" s="53"/>
      <c r="CP1360" s="53"/>
      <c r="CQ1360" s="53"/>
      <c r="CR1360" s="53"/>
      <c r="CS1360" s="53"/>
      <c r="CT1360" s="5"/>
      <c r="CU1360" s="5"/>
      <c r="CV1360" s="5"/>
      <c r="CW1360" s="5"/>
      <c r="CX1360" s="5"/>
      <c r="CY1360" s="5"/>
    </row>
    <row r="1361" spans="1:103" ht="10.25" customHeight="1">
      <c r="A1361" s="216"/>
      <c r="B1361" s="217"/>
      <c r="C1361" s="218"/>
      <c r="D1361" s="219"/>
      <c r="E1361" s="217"/>
      <c r="F1361" s="217"/>
      <c r="G1361" s="217"/>
      <c r="H1361" s="220"/>
      <c r="I1361" s="217"/>
      <c r="J1361" s="217"/>
      <c r="K1361" s="217"/>
      <c r="L1361" s="217"/>
      <c r="M1361" s="217"/>
      <c r="N1361" s="217"/>
      <c r="O1361" s="44"/>
      <c r="P1361" s="44"/>
      <c r="Q1361" s="44"/>
      <c r="R1361" s="44"/>
      <c r="S1361" s="44"/>
      <c r="T1361" s="44"/>
      <c r="U1361" s="44"/>
      <c r="V1361" s="44"/>
      <c r="W1361" s="44"/>
      <c r="X1361" s="44"/>
      <c r="Y1361" s="44"/>
      <c r="Z1361" s="44"/>
      <c r="AA1361" s="44"/>
      <c r="AB1361" s="44"/>
      <c r="AC1361" s="44"/>
      <c r="AD1361" s="44"/>
      <c r="AE1361" s="44"/>
      <c r="AF1361" s="44"/>
      <c r="AG1361" s="44"/>
      <c r="AH1361" s="44"/>
      <c r="AI1361" s="44"/>
      <c r="AJ1361" s="44"/>
      <c r="AK1361" s="44"/>
      <c r="AL1361" s="44"/>
      <c r="AM1361" s="44"/>
      <c r="AN1361" s="44"/>
      <c r="AO1361" s="44"/>
      <c r="AP1361" s="44"/>
      <c r="AQ1361" s="44"/>
      <c r="BA1361" s="5"/>
      <c r="BB1361" s="5"/>
      <c r="BC1361" s="5"/>
      <c r="BD1361" s="5"/>
      <c r="BE1361" s="63"/>
      <c r="BF1361" s="63"/>
      <c r="BG1361" s="63"/>
      <c r="CA1361" s="317"/>
      <c r="CF1361" s="5"/>
      <c r="CG1361" s="53"/>
      <c r="CH1361" s="53"/>
      <c r="CI1361" s="53"/>
      <c r="CJ1361" s="53"/>
      <c r="CK1361" s="53"/>
      <c r="CL1361" s="53"/>
      <c r="CN1361" s="53"/>
      <c r="CO1361" s="53"/>
      <c r="CP1361" s="53"/>
      <c r="CQ1361" s="53"/>
      <c r="CR1361" s="53"/>
      <c r="CS1361" s="53"/>
      <c r="CT1361" s="5"/>
      <c r="CU1361" s="5"/>
      <c r="CV1361" s="5"/>
      <c r="CW1361" s="5"/>
      <c r="CX1361" s="5"/>
      <c r="CY1361" s="5"/>
    </row>
    <row r="1362" spans="1:103" ht="10.25" customHeight="1">
      <c r="A1362" s="216"/>
      <c r="B1362" s="217"/>
      <c r="C1362" s="218"/>
      <c r="D1362" s="219"/>
      <c r="E1362" s="217"/>
      <c r="F1362" s="217"/>
      <c r="G1362" s="217"/>
      <c r="H1362" s="220"/>
      <c r="I1362" s="217"/>
      <c r="J1362" s="217"/>
      <c r="K1362" s="217"/>
      <c r="L1362" s="217"/>
      <c r="M1362" s="217"/>
      <c r="N1362" s="217"/>
      <c r="O1362" s="44"/>
      <c r="P1362" s="44"/>
      <c r="Q1362" s="44"/>
      <c r="R1362" s="44"/>
      <c r="S1362" s="44"/>
      <c r="T1362" s="44"/>
      <c r="U1362" s="44"/>
      <c r="V1362" s="44"/>
      <c r="W1362" s="44"/>
      <c r="X1362" s="44"/>
      <c r="Y1362" s="44"/>
      <c r="Z1362" s="44"/>
      <c r="AA1362" s="44"/>
      <c r="AB1362" s="44"/>
      <c r="AC1362" s="44"/>
      <c r="AD1362" s="44"/>
      <c r="AE1362" s="44"/>
      <c r="AF1362" s="44"/>
      <c r="AG1362" s="44"/>
      <c r="AH1362" s="44"/>
      <c r="AI1362" s="44"/>
      <c r="AJ1362" s="44"/>
      <c r="AK1362" s="44"/>
      <c r="AL1362" s="44"/>
      <c r="AM1362" s="44"/>
      <c r="AN1362" s="44"/>
      <c r="AO1362" s="44"/>
      <c r="AP1362" s="44"/>
      <c r="AQ1362" s="44"/>
      <c r="BA1362" s="5"/>
      <c r="BB1362" s="5"/>
      <c r="BC1362" s="5"/>
      <c r="BD1362" s="5"/>
      <c r="BE1362" s="63"/>
      <c r="BF1362" s="63"/>
      <c r="BG1362" s="63"/>
      <c r="CA1362" s="317"/>
      <c r="CF1362" s="5"/>
      <c r="CG1362" s="53"/>
      <c r="CH1362" s="53"/>
      <c r="CI1362" s="53"/>
      <c r="CJ1362" s="53"/>
      <c r="CK1362" s="53"/>
      <c r="CL1362" s="53"/>
      <c r="CN1362" s="53"/>
      <c r="CO1362" s="53"/>
      <c r="CP1362" s="53"/>
      <c r="CQ1362" s="53"/>
      <c r="CR1362" s="53"/>
      <c r="CS1362" s="53"/>
      <c r="CT1362" s="5"/>
      <c r="CU1362" s="5"/>
      <c r="CV1362" s="5"/>
      <c r="CW1362" s="5"/>
      <c r="CX1362" s="5"/>
      <c r="CY1362" s="5"/>
    </row>
    <row r="1363" spans="1:103" ht="10.25" customHeight="1">
      <c r="A1363" s="216"/>
      <c r="B1363" s="217"/>
      <c r="C1363" s="218"/>
      <c r="D1363" s="219"/>
      <c r="E1363" s="217"/>
      <c r="F1363" s="217"/>
      <c r="G1363" s="217"/>
      <c r="H1363" s="220"/>
      <c r="I1363" s="217"/>
      <c r="J1363" s="217"/>
      <c r="K1363" s="217"/>
      <c r="L1363" s="217"/>
      <c r="M1363" s="217"/>
      <c r="N1363" s="217"/>
      <c r="O1363" s="44"/>
      <c r="P1363" s="44"/>
      <c r="Q1363" s="44"/>
      <c r="R1363" s="44"/>
      <c r="S1363" s="44"/>
      <c r="T1363" s="44"/>
      <c r="U1363" s="44"/>
      <c r="V1363" s="44"/>
      <c r="W1363" s="44"/>
      <c r="X1363" s="44"/>
      <c r="Y1363" s="44"/>
      <c r="Z1363" s="44"/>
      <c r="AA1363" s="44"/>
      <c r="AB1363" s="44"/>
      <c r="AC1363" s="44"/>
      <c r="AD1363" s="44"/>
      <c r="AE1363" s="44"/>
      <c r="AF1363" s="44"/>
      <c r="AG1363" s="44"/>
      <c r="AH1363" s="44"/>
      <c r="AI1363" s="44"/>
      <c r="AJ1363" s="44"/>
      <c r="AK1363" s="44"/>
      <c r="AL1363" s="44"/>
      <c r="AM1363" s="44"/>
      <c r="AN1363" s="44"/>
      <c r="AO1363" s="44"/>
      <c r="AP1363" s="44"/>
      <c r="AQ1363" s="44"/>
      <c r="BA1363" s="5"/>
      <c r="BB1363" s="5"/>
      <c r="BC1363" s="5"/>
      <c r="BD1363" s="5"/>
      <c r="BE1363" s="63"/>
      <c r="BF1363" s="63"/>
      <c r="BG1363" s="63"/>
      <c r="CA1363" s="317"/>
      <c r="CF1363" s="5"/>
      <c r="CG1363" s="53"/>
      <c r="CH1363" s="53"/>
      <c r="CI1363" s="53"/>
      <c r="CJ1363" s="53"/>
      <c r="CK1363" s="53"/>
      <c r="CL1363" s="53"/>
      <c r="CN1363" s="53"/>
      <c r="CO1363" s="53"/>
      <c r="CP1363" s="53"/>
      <c r="CQ1363" s="53"/>
      <c r="CR1363" s="53"/>
      <c r="CS1363" s="53"/>
      <c r="CT1363" s="5"/>
      <c r="CU1363" s="5"/>
      <c r="CV1363" s="5"/>
      <c r="CW1363" s="5"/>
      <c r="CX1363" s="5"/>
      <c r="CY1363" s="5"/>
    </row>
    <row r="1364" spans="1:103" ht="10.25" customHeight="1">
      <c r="A1364" s="216"/>
      <c r="B1364" s="217"/>
      <c r="C1364" s="218"/>
      <c r="D1364" s="219"/>
      <c r="E1364" s="217"/>
      <c r="F1364" s="217"/>
      <c r="G1364" s="217"/>
      <c r="H1364" s="220"/>
      <c r="I1364" s="217"/>
      <c r="J1364" s="217"/>
      <c r="K1364" s="217"/>
      <c r="L1364" s="217"/>
      <c r="M1364" s="217"/>
      <c r="N1364" s="217"/>
      <c r="O1364" s="44"/>
      <c r="P1364" s="44"/>
      <c r="Q1364" s="44"/>
      <c r="R1364" s="44"/>
      <c r="S1364" s="44"/>
      <c r="T1364" s="44"/>
      <c r="U1364" s="44"/>
      <c r="V1364" s="44"/>
      <c r="W1364" s="44"/>
      <c r="X1364" s="44"/>
      <c r="Y1364" s="44"/>
      <c r="Z1364" s="44"/>
      <c r="AA1364" s="44"/>
      <c r="AB1364" s="44"/>
      <c r="AC1364" s="44"/>
      <c r="AD1364" s="44"/>
      <c r="AE1364" s="44"/>
      <c r="AF1364" s="44"/>
      <c r="AG1364" s="44"/>
      <c r="AH1364" s="44"/>
      <c r="AI1364" s="44"/>
      <c r="AJ1364" s="44"/>
      <c r="AK1364" s="44"/>
      <c r="AL1364" s="44"/>
      <c r="AM1364" s="44"/>
      <c r="AN1364" s="44"/>
      <c r="AO1364" s="44"/>
      <c r="AP1364" s="44"/>
      <c r="AQ1364" s="44"/>
      <c r="BA1364" s="5"/>
      <c r="BB1364" s="5"/>
      <c r="BC1364" s="5"/>
      <c r="BD1364" s="5"/>
      <c r="BE1364" s="63"/>
      <c r="BF1364" s="63"/>
      <c r="BG1364" s="63"/>
      <c r="CA1364" s="317"/>
      <c r="CF1364" s="5"/>
      <c r="CG1364" s="53"/>
      <c r="CH1364" s="53"/>
      <c r="CI1364" s="53"/>
      <c r="CJ1364" s="53"/>
      <c r="CK1364" s="53"/>
      <c r="CL1364" s="53"/>
      <c r="CN1364" s="53"/>
      <c r="CO1364" s="53"/>
      <c r="CP1364" s="53"/>
      <c r="CQ1364" s="53"/>
      <c r="CR1364" s="53"/>
      <c r="CS1364" s="53"/>
      <c r="CT1364" s="5"/>
      <c r="CU1364" s="5"/>
      <c r="CV1364" s="5"/>
      <c r="CW1364" s="5"/>
      <c r="CX1364" s="5"/>
      <c r="CY1364" s="5"/>
    </row>
    <row r="1365" spans="1:103" ht="10.25" customHeight="1">
      <c r="A1365" s="216"/>
      <c r="B1365" s="217"/>
      <c r="C1365" s="218"/>
      <c r="D1365" s="219"/>
      <c r="E1365" s="217"/>
      <c r="F1365" s="217"/>
      <c r="G1365" s="217"/>
      <c r="H1365" s="220"/>
      <c r="I1365" s="217"/>
      <c r="J1365" s="217"/>
      <c r="K1365" s="217"/>
      <c r="L1365" s="217"/>
      <c r="M1365" s="217"/>
      <c r="N1365" s="217"/>
      <c r="O1365" s="44"/>
      <c r="P1365" s="44"/>
      <c r="Q1365" s="44"/>
      <c r="R1365" s="44"/>
      <c r="S1365" s="44"/>
      <c r="T1365" s="44"/>
      <c r="U1365" s="44"/>
      <c r="V1365" s="44"/>
      <c r="W1365" s="44"/>
      <c r="X1365" s="44"/>
      <c r="Y1365" s="44"/>
      <c r="Z1365" s="44"/>
      <c r="AA1365" s="44"/>
      <c r="AB1365" s="44"/>
      <c r="AC1365" s="44"/>
      <c r="AD1365" s="44"/>
      <c r="AE1365" s="44"/>
      <c r="AF1365" s="44"/>
      <c r="AG1365" s="44"/>
      <c r="AH1365" s="44"/>
      <c r="AI1365" s="44"/>
      <c r="AJ1365" s="44"/>
      <c r="AK1365" s="44"/>
      <c r="AL1365" s="44"/>
      <c r="AM1365" s="44"/>
      <c r="AN1365" s="44"/>
      <c r="AO1365" s="44"/>
      <c r="AP1365" s="44"/>
      <c r="AQ1365" s="44"/>
      <c r="BA1365" s="5"/>
      <c r="BB1365" s="5"/>
      <c r="BC1365" s="5"/>
      <c r="BD1365" s="5"/>
      <c r="BE1365" s="63"/>
      <c r="BF1365" s="63"/>
      <c r="BG1365" s="63"/>
      <c r="CA1365" s="317"/>
      <c r="CF1365" s="5"/>
      <c r="CG1365" s="53"/>
      <c r="CH1365" s="53"/>
      <c r="CI1365" s="53"/>
      <c r="CJ1365" s="53"/>
      <c r="CK1365" s="53"/>
      <c r="CL1365" s="53"/>
      <c r="CN1365" s="53"/>
      <c r="CO1365" s="53"/>
      <c r="CP1365" s="53"/>
      <c r="CQ1365" s="53"/>
      <c r="CR1365" s="53"/>
      <c r="CS1365" s="53"/>
      <c r="CT1365" s="5"/>
      <c r="CU1365" s="5"/>
      <c r="CV1365" s="5"/>
      <c r="CW1365" s="5"/>
      <c r="CX1365" s="5"/>
      <c r="CY1365" s="5"/>
    </row>
    <row r="1366" spans="1:103" ht="10.25" customHeight="1">
      <c r="A1366" s="216"/>
      <c r="B1366" s="217"/>
      <c r="C1366" s="218"/>
      <c r="D1366" s="219"/>
      <c r="E1366" s="217"/>
      <c r="F1366" s="217"/>
      <c r="G1366" s="217"/>
      <c r="H1366" s="220"/>
      <c r="I1366" s="217"/>
      <c r="J1366" s="217"/>
      <c r="K1366" s="217"/>
      <c r="L1366" s="217"/>
      <c r="M1366" s="217"/>
      <c r="N1366" s="217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BA1366" s="5"/>
      <c r="BB1366" s="5"/>
      <c r="BC1366" s="5"/>
      <c r="BD1366" s="5"/>
      <c r="BE1366" s="63"/>
      <c r="BF1366" s="63"/>
      <c r="BG1366" s="63"/>
      <c r="CA1366" s="317"/>
      <c r="CF1366" s="5"/>
      <c r="CG1366" s="53"/>
      <c r="CH1366" s="53"/>
      <c r="CI1366" s="53"/>
      <c r="CJ1366" s="53"/>
      <c r="CK1366" s="53"/>
      <c r="CL1366" s="53"/>
      <c r="CN1366" s="53"/>
      <c r="CO1366" s="53"/>
      <c r="CP1366" s="53"/>
      <c r="CQ1366" s="53"/>
      <c r="CR1366" s="53"/>
      <c r="CS1366" s="53"/>
      <c r="CT1366" s="5"/>
      <c r="CU1366" s="5"/>
      <c r="CV1366" s="5"/>
      <c r="CW1366" s="5"/>
      <c r="CX1366" s="5"/>
      <c r="CY1366" s="5"/>
    </row>
    <row r="1367" spans="1:103" ht="10.25" customHeight="1">
      <c r="A1367" s="216"/>
      <c r="B1367" s="217"/>
      <c r="C1367" s="218"/>
      <c r="D1367" s="219"/>
      <c r="E1367" s="217"/>
      <c r="F1367" s="217"/>
      <c r="G1367" s="217"/>
      <c r="H1367" s="220"/>
      <c r="I1367" s="217"/>
      <c r="J1367" s="217"/>
      <c r="K1367" s="217"/>
      <c r="L1367" s="217"/>
      <c r="M1367" s="217"/>
      <c r="N1367" s="217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BA1367" s="5"/>
      <c r="BB1367" s="5"/>
      <c r="BC1367" s="5"/>
      <c r="BD1367" s="5"/>
      <c r="BE1367" s="63"/>
      <c r="BF1367" s="63"/>
      <c r="BG1367" s="63"/>
      <c r="CA1367" s="317"/>
      <c r="CF1367" s="5"/>
      <c r="CG1367" s="53"/>
      <c r="CH1367" s="53"/>
      <c r="CI1367" s="53"/>
      <c r="CJ1367" s="53"/>
      <c r="CK1367" s="53"/>
      <c r="CL1367" s="53"/>
      <c r="CN1367" s="53"/>
      <c r="CO1367" s="53"/>
      <c r="CP1367" s="53"/>
      <c r="CQ1367" s="53"/>
      <c r="CR1367" s="53"/>
      <c r="CS1367" s="53"/>
      <c r="CT1367" s="5"/>
      <c r="CU1367" s="5"/>
      <c r="CV1367" s="5"/>
      <c r="CW1367" s="5"/>
      <c r="CX1367" s="5"/>
      <c r="CY1367" s="5"/>
    </row>
    <row r="1368" spans="1:103" ht="10.25" customHeight="1">
      <c r="A1368" s="216"/>
      <c r="B1368" s="217"/>
      <c r="C1368" s="218"/>
      <c r="D1368" s="219"/>
      <c r="E1368" s="217"/>
      <c r="F1368" s="217"/>
      <c r="G1368" s="217"/>
      <c r="H1368" s="220"/>
      <c r="I1368" s="217"/>
      <c r="J1368" s="217"/>
      <c r="K1368" s="217"/>
      <c r="L1368" s="217"/>
      <c r="M1368" s="217"/>
      <c r="N1368" s="217"/>
      <c r="O1368" s="44"/>
      <c r="P1368" s="44"/>
      <c r="Q1368" s="44"/>
      <c r="R1368" s="44"/>
      <c r="S1368" s="44"/>
      <c r="T1368" s="44"/>
      <c r="U1368" s="44"/>
      <c r="V1368" s="44"/>
      <c r="W1368" s="44"/>
      <c r="X1368" s="44"/>
      <c r="Y1368" s="44"/>
      <c r="Z1368" s="44"/>
      <c r="AA1368" s="44"/>
      <c r="AB1368" s="44"/>
      <c r="AC1368" s="44"/>
      <c r="AD1368" s="44"/>
      <c r="AE1368" s="44"/>
      <c r="AF1368" s="44"/>
      <c r="AG1368" s="44"/>
      <c r="AH1368" s="44"/>
      <c r="AI1368" s="44"/>
      <c r="AJ1368" s="44"/>
      <c r="AK1368" s="44"/>
      <c r="AL1368" s="44"/>
      <c r="AM1368" s="44"/>
      <c r="AN1368" s="44"/>
      <c r="AO1368" s="44"/>
      <c r="AP1368" s="44"/>
      <c r="AQ1368" s="44"/>
      <c r="BA1368" s="5"/>
      <c r="BB1368" s="5"/>
      <c r="BC1368" s="5"/>
      <c r="BD1368" s="5"/>
      <c r="BE1368" s="63"/>
      <c r="BF1368" s="63"/>
      <c r="BG1368" s="63"/>
      <c r="CA1368" s="317"/>
      <c r="CF1368" s="5"/>
      <c r="CG1368" s="53"/>
      <c r="CH1368" s="53"/>
      <c r="CI1368" s="53"/>
      <c r="CJ1368" s="53"/>
      <c r="CK1368" s="53"/>
      <c r="CL1368" s="53"/>
      <c r="CN1368" s="53"/>
      <c r="CO1368" s="53"/>
      <c r="CP1368" s="53"/>
      <c r="CQ1368" s="53"/>
      <c r="CR1368" s="53"/>
      <c r="CS1368" s="53"/>
      <c r="CT1368" s="5"/>
      <c r="CU1368" s="5"/>
      <c r="CV1368" s="5"/>
      <c r="CW1368" s="5"/>
      <c r="CX1368" s="5"/>
      <c r="CY1368" s="5"/>
    </row>
    <row r="1369" spans="1:103" ht="10.25" customHeight="1">
      <c r="A1369" s="216"/>
      <c r="B1369" s="217"/>
      <c r="C1369" s="218"/>
      <c r="D1369" s="219"/>
      <c r="E1369" s="217"/>
      <c r="F1369" s="217"/>
      <c r="G1369" s="217"/>
      <c r="H1369" s="220"/>
      <c r="I1369" s="217"/>
      <c r="J1369" s="217"/>
      <c r="K1369" s="217"/>
      <c r="L1369" s="217"/>
      <c r="M1369" s="217"/>
      <c r="N1369" s="217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44"/>
      <c r="AL1369" s="44"/>
      <c r="AM1369" s="44"/>
      <c r="AN1369" s="44"/>
      <c r="AO1369" s="44"/>
      <c r="AP1369" s="44"/>
      <c r="AQ1369" s="44"/>
      <c r="BA1369" s="5"/>
      <c r="BB1369" s="5"/>
      <c r="BC1369" s="5"/>
      <c r="BD1369" s="5"/>
      <c r="BE1369" s="63"/>
      <c r="BF1369" s="63"/>
      <c r="BG1369" s="63"/>
      <c r="CA1369" s="317"/>
      <c r="CF1369" s="5"/>
      <c r="CG1369" s="53"/>
      <c r="CH1369" s="53"/>
      <c r="CI1369" s="53"/>
      <c r="CJ1369" s="53"/>
      <c r="CK1369" s="53"/>
      <c r="CL1369" s="53"/>
      <c r="CN1369" s="53"/>
      <c r="CO1369" s="53"/>
      <c r="CP1369" s="53"/>
      <c r="CQ1369" s="53"/>
      <c r="CR1369" s="53"/>
      <c r="CS1369" s="53"/>
      <c r="CT1369" s="5"/>
      <c r="CU1369" s="5"/>
      <c r="CV1369" s="5"/>
      <c r="CW1369" s="5"/>
      <c r="CX1369" s="5"/>
      <c r="CY1369" s="5"/>
    </row>
    <row r="1370" spans="1:103" ht="10.25" customHeight="1">
      <c r="A1370" s="216"/>
      <c r="B1370" s="217"/>
      <c r="C1370" s="218"/>
      <c r="D1370" s="219"/>
      <c r="E1370" s="217"/>
      <c r="F1370" s="217"/>
      <c r="G1370" s="217"/>
      <c r="H1370" s="220"/>
      <c r="I1370" s="217"/>
      <c r="J1370" s="217"/>
      <c r="K1370" s="217"/>
      <c r="L1370" s="217"/>
      <c r="M1370" s="217"/>
      <c r="N1370" s="217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BA1370" s="5"/>
      <c r="BB1370" s="5"/>
      <c r="BC1370" s="5"/>
      <c r="BD1370" s="5"/>
      <c r="BE1370" s="63"/>
      <c r="BF1370" s="63"/>
      <c r="BG1370" s="63"/>
      <c r="CA1370" s="256"/>
      <c r="CB1370" s="261"/>
      <c r="CC1370" s="261"/>
      <c r="CD1370" s="261"/>
      <c r="CE1370" s="261"/>
      <c r="CF1370" s="255"/>
      <c r="CG1370" s="53"/>
      <c r="CH1370" s="53"/>
      <c r="CI1370" s="53"/>
      <c r="CJ1370" s="53"/>
      <c r="CK1370" s="53"/>
      <c r="CL1370" s="53"/>
      <c r="CN1370" s="53"/>
      <c r="CO1370" s="53"/>
      <c r="CP1370" s="53"/>
      <c r="CQ1370" s="53"/>
      <c r="CR1370" s="53"/>
      <c r="CS1370" s="53"/>
      <c r="CT1370" s="261"/>
      <c r="CU1370" s="255"/>
      <c r="CV1370" s="261"/>
      <c r="CW1370" s="261"/>
      <c r="CX1370" s="261"/>
      <c r="CY1370" s="255"/>
    </row>
    <row r="1371" spans="1:103" ht="10.25" customHeight="1">
      <c r="A1371" s="216"/>
      <c r="B1371" s="217"/>
      <c r="C1371" s="218"/>
      <c r="D1371" s="219"/>
      <c r="E1371" s="217"/>
      <c r="F1371" s="217"/>
      <c r="G1371" s="217"/>
      <c r="H1371" s="220"/>
      <c r="I1371" s="217"/>
      <c r="J1371" s="217"/>
      <c r="K1371" s="217"/>
      <c r="L1371" s="217"/>
      <c r="M1371" s="217"/>
      <c r="N1371" s="217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BA1371" s="5"/>
      <c r="BB1371" s="5"/>
      <c r="BC1371" s="5"/>
      <c r="BD1371" s="5"/>
      <c r="BE1371" s="63"/>
      <c r="BF1371" s="63"/>
      <c r="BG1371" s="63"/>
      <c r="CA1371" s="256"/>
      <c r="CB1371" s="261"/>
      <c r="CC1371" s="261"/>
      <c r="CD1371" s="261"/>
      <c r="CE1371" s="261"/>
      <c r="CF1371" s="255"/>
      <c r="CG1371" s="53"/>
      <c r="CH1371" s="53"/>
      <c r="CI1371" s="53"/>
      <c r="CJ1371" s="53"/>
      <c r="CK1371" s="53"/>
      <c r="CL1371" s="53"/>
      <c r="CN1371" s="53"/>
      <c r="CO1371" s="53"/>
      <c r="CP1371" s="53"/>
      <c r="CQ1371" s="53"/>
      <c r="CR1371" s="53"/>
      <c r="CS1371" s="53"/>
      <c r="CT1371" s="261"/>
      <c r="CU1371" s="255"/>
      <c r="CV1371" s="261"/>
      <c r="CW1371" s="261"/>
      <c r="CX1371" s="261"/>
      <c r="CY1371" s="255"/>
    </row>
    <row r="1372" spans="1:103" ht="10.25" customHeight="1">
      <c r="A1372" s="216"/>
      <c r="B1372" s="217"/>
      <c r="C1372" s="218"/>
      <c r="D1372" s="219"/>
      <c r="E1372" s="217"/>
      <c r="F1372" s="217"/>
      <c r="G1372" s="217"/>
      <c r="H1372" s="220"/>
      <c r="I1372" s="217"/>
      <c r="J1372" s="217"/>
      <c r="K1372" s="217"/>
      <c r="L1372" s="217"/>
      <c r="M1372" s="217"/>
      <c r="N1372" s="217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BA1372" s="5"/>
      <c r="BB1372" s="5"/>
      <c r="BC1372" s="5"/>
      <c r="BD1372" s="5"/>
      <c r="BE1372" s="63"/>
      <c r="BF1372" s="63"/>
      <c r="BG1372" s="63"/>
      <c r="CA1372" s="256"/>
      <c r="CB1372" s="261"/>
      <c r="CC1372" s="261"/>
      <c r="CD1372" s="261"/>
      <c r="CE1372" s="261"/>
      <c r="CF1372" s="255"/>
      <c r="CG1372" s="53"/>
      <c r="CH1372" s="53"/>
      <c r="CI1372" s="53"/>
      <c r="CJ1372" s="53"/>
      <c r="CK1372" s="53"/>
      <c r="CL1372" s="53"/>
      <c r="CN1372" s="53"/>
      <c r="CO1372" s="53"/>
      <c r="CP1372" s="53"/>
      <c r="CQ1372" s="53"/>
      <c r="CR1372" s="53"/>
      <c r="CS1372" s="53"/>
      <c r="CT1372" s="261"/>
      <c r="CU1372" s="255"/>
      <c r="CV1372" s="261"/>
      <c r="CW1372" s="255"/>
      <c r="CX1372" s="261"/>
      <c r="CY1372" s="255"/>
    </row>
    <row r="1373" spans="1:103" ht="10.25" customHeight="1">
      <c r="A1373" s="216"/>
      <c r="B1373" s="217"/>
      <c r="C1373" s="218"/>
      <c r="D1373" s="219"/>
      <c r="E1373" s="217"/>
      <c r="F1373" s="217"/>
      <c r="G1373" s="217"/>
      <c r="H1373" s="220"/>
      <c r="I1373" s="217"/>
      <c r="J1373" s="217"/>
      <c r="K1373" s="217"/>
      <c r="L1373" s="217"/>
      <c r="M1373" s="217"/>
      <c r="N1373" s="217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BA1373" s="5"/>
      <c r="BB1373" s="5"/>
      <c r="BC1373" s="5"/>
      <c r="BD1373" s="5"/>
      <c r="BE1373" s="63"/>
      <c r="BF1373" s="63"/>
      <c r="BG1373" s="63"/>
      <c r="CA1373" s="256"/>
      <c r="CB1373" s="261"/>
      <c r="CC1373" s="261"/>
      <c r="CD1373" s="261"/>
      <c r="CE1373" s="261"/>
      <c r="CF1373" s="255"/>
      <c r="CG1373" s="53"/>
      <c r="CH1373" s="53"/>
      <c r="CI1373" s="53"/>
      <c r="CJ1373" s="53"/>
      <c r="CK1373" s="53"/>
      <c r="CL1373" s="53"/>
      <c r="CN1373" s="53"/>
      <c r="CO1373" s="53"/>
      <c r="CP1373" s="53"/>
      <c r="CQ1373" s="53"/>
      <c r="CR1373" s="53"/>
      <c r="CS1373" s="53"/>
      <c r="CT1373" s="261"/>
      <c r="CU1373" s="255"/>
      <c r="CV1373" s="255"/>
      <c r="CW1373" s="261"/>
      <c r="CX1373" s="261"/>
      <c r="CY1373" s="255"/>
    </row>
    <row r="1374" spans="1:103" ht="10.25" customHeight="1">
      <c r="A1374" s="216"/>
      <c r="B1374" s="217"/>
      <c r="C1374" s="218"/>
      <c r="D1374" s="219"/>
      <c r="E1374" s="217"/>
      <c r="F1374" s="217"/>
      <c r="G1374" s="217"/>
      <c r="H1374" s="220"/>
      <c r="I1374" s="217"/>
      <c r="J1374" s="217"/>
      <c r="K1374" s="217"/>
      <c r="L1374" s="217"/>
      <c r="M1374" s="217"/>
      <c r="N1374" s="217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BA1374" s="5"/>
      <c r="BB1374" s="5"/>
      <c r="BC1374" s="5"/>
      <c r="BD1374" s="5"/>
      <c r="BE1374" s="63"/>
      <c r="BF1374" s="63"/>
      <c r="BG1374" s="63"/>
      <c r="CA1374" s="256"/>
      <c r="CB1374" s="261"/>
      <c r="CC1374" s="261"/>
      <c r="CD1374" s="261"/>
      <c r="CE1374" s="261"/>
      <c r="CF1374" s="255"/>
      <c r="CG1374" s="53"/>
      <c r="CH1374" s="53"/>
      <c r="CI1374" s="53"/>
      <c r="CJ1374" s="53"/>
      <c r="CK1374" s="53"/>
      <c r="CL1374" s="53"/>
      <c r="CN1374" s="53"/>
      <c r="CO1374" s="53"/>
      <c r="CP1374" s="53"/>
      <c r="CQ1374" s="53"/>
      <c r="CR1374" s="53"/>
      <c r="CS1374" s="53"/>
      <c r="CT1374" s="261"/>
      <c r="CU1374" s="255"/>
      <c r="CV1374" s="261"/>
      <c r="CW1374" s="255"/>
      <c r="CX1374" s="261"/>
      <c r="CY1374" s="255"/>
    </row>
    <row r="1375" spans="1:103" ht="10.25" customHeight="1">
      <c r="A1375" s="216"/>
      <c r="B1375" s="217"/>
      <c r="C1375" s="218"/>
      <c r="D1375" s="219"/>
      <c r="E1375" s="217"/>
      <c r="F1375" s="217"/>
      <c r="G1375" s="217"/>
      <c r="H1375" s="220"/>
      <c r="I1375" s="217"/>
      <c r="J1375" s="217"/>
      <c r="K1375" s="217"/>
      <c r="L1375" s="217"/>
      <c r="M1375" s="217"/>
      <c r="N1375" s="217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BA1375" s="5"/>
      <c r="BB1375" s="5"/>
      <c r="BC1375" s="5"/>
      <c r="BD1375" s="5"/>
      <c r="BE1375" s="63"/>
      <c r="BF1375" s="63"/>
      <c r="BG1375" s="63"/>
      <c r="CA1375" s="256"/>
      <c r="CB1375" s="261"/>
      <c r="CC1375" s="261"/>
      <c r="CD1375" s="261"/>
      <c r="CE1375" s="255"/>
      <c r="CF1375" s="261"/>
      <c r="CG1375" s="53"/>
      <c r="CH1375" s="53"/>
      <c r="CI1375" s="53"/>
      <c r="CJ1375" s="53"/>
      <c r="CK1375" s="53"/>
      <c r="CL1375" s="53"/>
      <c r="CN1375" s="53"/>
      <c r="CO1375" s="53"/>
      <c r="CP1375" s="53"/>
      <c r="CQ1375" s="53"/>
      <c r="CR1375" s="53"/>
      <c r="CS1375" s="53"/>
      <c r="CT1375" s="255"/>
      <c r="CU1375" s="261"/>
      <c r="CV1375" s="255"/>
      <c r="CW1375" s="261"/>
      <c r="CX1375" s="261"/>
      <c r="CY1375" s="255"/>
    </row>
    <row r="1376" spans="1:103" ht="10.25" customHeight="1">
      <c r="A1376" s="216"/>
      <c r="B1376" s="217"/>
      <c r="C1376" s="218"/>
      <c r="D1376" s="219"/>
      <c r="E1376" s="217"/>
      <c r="F1376" s="217"/>
      <c r="G1376" s="217"/>
      <c r="H1376" s="220"/>
      <c r="I1376" s="217"/>
      <c r="J1376" s="217"/>
      <c r="K1376" s="217"/>
      <c r="L1376" s="217"/>
      <c r="M1376" s="217"/>
      <c r="N1376" s="217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BA1376" s="5"/>
      <c r="BB1376" s="5"/>
      <c r="BC1376" s="5"/>
      <c r="BD1376" s="5"/>
      <c r="BE1376" s="63"/>
      <c r="BF1376" s="63"/>
      <c r="BG1376" s="63"/>
      <c r="CA1376" s="256"/>
      <c r="CB1376" s="261"/>
      <c r="CC1376" s="261"/>
      <c r="CD1376" s="261"/>
      <c r="CE1376" s="255"/>
      <c r="CF1376" s="261"/>
      <c r="CG1376" s="53"/>
      <c r="CH1376" s="53"/>
      <c r="CI1376" s="53"/>
      <c r="CJ1376" s="53"/>
      <c r="CK1376" s="53"/>
      <c r="CL1376" s="53"/>
      <c r="CN1376" s="53"/>
      <c r="CO1376" s="53"/>
      <c r="CP1376" s="53"/>
      <c r="CQ1376" s="53"/>
      <c r="CR1376" s="53"/>
      <c r="CS1376" s="53"/>
      <c r="CT1376" s="255"/>
      <c r="CU1376" s="261"/>
      <c r="CV1376" s="261"/>
      <c r="CW1376" s="255"/>
      <c r="CX1376" s="261"/>
      <c r="CY1376" s="255"/>
    </row>
    <row r="1377" spans="1:103" ht="10.25" customHeight="1">
      <c r="A1377" s="216"/>
      <c r="B1377" s="217"/>
      <c r="C1377" s="218"/>
      <c r="D1377" s="219"/>
      <c r="E1377" s="217"/>
      <c r="F1377" s="217"/>
      <c r="G1377" s="217"/>
      <c r="H1377" s="220"/>
      <c r="I1377" s="217"/>
      <c r="J1377" s="217"/>
      <c r="K1377" s="217"/>
      <c r="L1377" s="217"/>
      <c r="M1377" s="217"/>
      <c r="N1377" s="217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BA1377" s="5"/>
      <c r="BB1377" s="5"/>
      <c r="BC1377" s="5"/>
      <c r="BD1377" s="5"/>
      <c r="BE1377" s="63"/>
      <c r="BF1377" s="63"/>
      <c r="BG1377" s="63"/>
      <c r="CA1377" s="256"/>
      <c r="CB1377" s="261"/>
      <c r="CC1377" s="261"/>
      <c r="CD1377" s="255"/>
      <c r="CE1377" s="261"/>
      <c r="CF1377" s="261"/>
      <c r="CG1377" s="53"/>
      <c r="CH1377" s="53"/>
      <c r="CI1377" s="53"/>
      <c r="CJ1377" s="53"/>
      <c r="CK1377" s="53"/>
      <c r="CL1377" s="53"/>
      <c r="CN1377" s="53"/>
      <c r="CO1377" s="53"/>
      <c r="CP1377" s="53"/>
      <c r="CQ1377" s="53"/>
      <c r="CR1377" s="53"/>
      <c r="CS1377" s="53"/>
      <c r="CT1377" s="261"/>
      <c r="CU1377" s="261"/>
      <c r="CV1377" s="255"/>
      <c r="CW1377" s="261"/>
      <c r="CX1377" s="261"/>
      <c r="CY1377" s="255"/>
    </row>
    <row r="1378" spans="1:103" ht="10.25" customHeight="1">
      <c r="A1378" s="216"/>
      <c r="B1378" s="217"/>
      <c r="C1378" s="218"/>
      <c r="D1378" s="219"/>
      <c r="E1378" s="217"/>
      <c r="F1378" s="217"/>
      <c r="G1378" s="217"/>
      <c r="H1378" s="220"/>
      <c r="I1378" s="217"/>
      <c r="J1378" s="217"/>
      <c r="K1378" s="217"/>
      <c r="L1378" s="217"/>
      <c r="M1378" s="217"/>
      <c r="N1378" s="217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BA1378" s="5"/>
      <c r="BB1378" s="5"/>
      <c r="BC1378" s="5"/>
      <c r="BD1378" s="5"/>
      <c r="BE1378" s="63"/>
      <c r="BF1378" s="63"/>
      <c r="BG1378" s="63"/>
      <c r="CA1378" s="256"/>
      <c r="CB1378" s="261"/>
      <c r="CC1378" s="261"/>
      <c r="CD1378" s="255"/>
      <c r="CE1378" s="261"/>
      <c r="CF1378" s="261"/>
      <c r="CG1378" s="53"/>
      <c r="CH1378" s="53"/>
      <c r="CI1378" s="53"/>
      <c r="CJ1378" s="53"/>
      <c r="CK1378" s="53"/>
      <c r="CL1378" s="53"/>
      <c r="CN1378" s="53"/>
      <c r="CO1378" s="53"/>
      <c r="CP1378" s="53"/>
      <c r="CQ1378" s="53"/>
      <c r="CR1378" s="53"/>
      <c r="CS1378" s="53"/>
      <c r="CT1378" s="261"/>
      <c r="CU1378" s="261"/>
      <c r="CV1378" s="261"/>
      <c r="CW1378" s="255"/>
      <c r="CX1378" s="261"/>
      <c r="CY1378" s="255"/>
    </row>
    <row r="1379" spans="1:103" ht="10.25" customHeight="1">
      <c r="A1379" s="216"/>
      <c r="B1379" s="217"/>
      <c r="C1379" s="218"/>
      <c r="D1379" s="219"/>
      <c r="E1379" s="217"/>
      <c r="F1379" s="217"/>
      <c r="G1379" s="217"/>
      <c r="H1379" s="220"/>
      <c r="I1379" s="217"/>
      <c r="J1379" s="217"/>
      <c r="K1379" s="217"/>
      <c r="L1379" s="217"/>
      <c r="M1379" s="217"/>
      <c r="N1379" s="217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BA1379" s="5"/>
      <c r="BB1379" s="5"/>
      <c r="BC1379" s="5"/>
      <c r="BD1379" s="5"/>
      <c r="BE1379" s="63"/>
      <c r="BF1379" s="63"/>
      <c r="BG1379" s="63"/>
      <c r="CA1379" s="256"/>
      <c r="CB1379" s="261"/>
      <c r="CC1379" s="261"/>
      <c r="CD1379" s="255"/>
      <c r="CE1379" s="261"/>
      <c r="CF1379" s="261"/>
      <c r="CG1379" s="53"/>
      <c r="CH1379" s="53"/>
      <c r="CI1379" s="53"/>
      <c r="CJ1379" s="53"/>
      <c r="CK1379" s="53"/>
      <c r="CL1379" s="53"/>
      <c r="CN1379" s="53"/>
      <c r="CO1379" s="53"/>
      <c r="CP1379" s="53"/>
      <c r="CQ1379" s="53"/>
      <c r="CR1379" s="53"/>
      <c r="CS1379" s="53"/>
      <c r="CT1379" s="261"/>
      <c r="CU1379" s="261"/>
      <c r="CV1379" s="261"/>
      <c r="CW1379" s="261"/>
      <c r="CX1379" s="261"/>
      <c r="CY1379" s="255"/>
    </row>
    <row r="1380" spans="1:103" ht="10.25" customHeight="1">
      <c r="A1380" s="216"/>
      <c r="B1380" s="217"/>
      <c r="C1380" s="218"/>
      <c r="D1380" s="219"/>
      <c r="E1380" s="217"/>
      <c r="F1380" s="217"/>
      <c r="G1380" s="217"/>
      <c r="H1380" s="220"/>
      <c r="I1380" s="217"/>
      <c r="J1380" s="217"/>
      <c r="K1380" s="217"/>
      <c r="L1380" s="217"/>
      <c r="M1380" s="217"/>
      <c r="N1380" s="217"/>
      <c r="O1380" s="44"/>
      <c r="P1380" s="44"/>
      <c r="Q1380" s="44"/>
      <c r="R1380" s="44"/>
      <c r="S1380" s="44"/>
      <c r="T1380" s="44"/>
      <c r="U1380" s="44"/>
      <c r="V1380" s="44"/>
      <c r="W1380" s="44"/>
      <c r="X1380" s="44"/>
      <c r="Y1380" s="44"/>
      <c r="Z1380" s="44"/>
      <c r="AA1380" s="44"/>
      <c r="AB1380" s="44"/>
      <c r="AC1380" s="44"/>
      <c r="AD1380" s="44"/>
      <c r="AE1380" s="44"/>
      <c r="AF1380" s="44"/>
      <c r="AG1380" s="44"/>
      <c r="AH1380" s="44"/>
      <c r="AI1380" s="44"/>
      <c r="AJ1380" s="44"/>
      <c r="AK1380" s="44"/>
      <c r="AL1380" s="44"/>
      <c r="AM1380" s="44"/>
      <c r="AN1380" s="44"/>
      <c r="AO1380" s="44"/>
      <c r="AP1380" s="44"/>
      <c r="AQ1380" s="44"/>
      <c r="BA1380" s="5"/>
      <c r="BB1380" s="5"/>
      <c r="BC1380" s="5"/>
      <c r="BD1380" s="5"/>
      <c r="BE1380" s="63"/>
      <c r="BF1380" s="63"/>
      <c r="BG1380" s="63"/>
      <c r="CA1380" s="256"/>
      <c r="CB1380" s="261"/>
      <c r="CC1380" s="261"/>
      <c r="CD1380" s="261"/>
      <c r="CE1380" s="261"/>
      <c r="CF1380" s="261"/>
      <c r="CG1380" s="53"/>
      <c r="CH1380" s="53"/>
      <c r="CI1380" s="53"/>
      <c r="CJ1380" s="53"/>
      <c r="CK1380" s="53"/>
      <c r="CL1380" s="53"/>
      <c r="CN1380" s="53"/>
      <c r="CO1380" s="53"/>
      <c r="CP1380" s="53"/>
      <c r="CQ1380" s="53"/>
      <c r="CR1380" s="53"/>
      <c r="CS1380" s="53"/>
      <c r="CT1380" s="261"/>
      <c r="CU1380" s="261"/>
      <c r="CV1380" s="255"/>
      <c r="CW1380" s="255"/>
      <c r="CX1380" s="261"/>
      <c r="CY1380" s="255"/>
    </row>
    <row r="1381" spans="1:103" ht="10.25" customHeight="1">
      <c r="A1381" s="216"/>
      <c r="B1381" s="217"/>
      <c r="C1381" s="218"/>
      <c r="D1381" s="219"/>
      <c r="E1381" s="217"/>
      <c r="F1381" s="217"/>
      <c r="G1381" s="217"/>
      <c r="H1381" s="220"/>
      <c r="I1381" s="217"/>
      <c r="J1381" s="217"/>
      <c r="K1381" s="217"/>
      <c r="L1381" s="217"/>
      <c r="M1381" s="217"/>
      <c r="N1381" s="217"/>
      <c r="O1381" s="44"/>
      <c r="P1381" s="44"/>
      <c r="Q1381" s="44"/>
      <c r="R1381" s="44"/>
      <c r="S1381" s="44"/>
      <c r="T1381" s="44"/>
      <c r="U1381" s="44"/>
      <c r="V1381" s="44"/>
      <c r="W1381" s="44"/>
      <c r="X1381" s="44"/>
      <c r="Y1381" s="44"/>
      <c r="Z1381" s="44"/>
      <c r="AA1381" s="44"/>
      <c r="AB1381" s="44"/>
      <c r="AC1381" s="44"/>
      <c r="AD1381" s="44"/>
      <c r="AE1381" s="44"/>
      <c r="AF1381" s="44"/>
      <c r="AG1381" s="44"/>
      <c r="AH1381" s="44"/>
      <c r="AI1381" s="44"/>
      <c r="AJ1381" s="44"/>
      <c r="AK1381" s="44"/>
      <c r="AL1381" s="44"/>
      <c r="AM1381" s="44"/>
      <c r="AN1381" s="44"/>
      <c r="AO1381" s="44"/>
      <c r="AP1381" s="44"/>
      <c r="AQ1381" s="44"/>
      <c r="BA1381" s="5"/>
      <c r="BB1381" s="5"/>
      <c r="BC1381" s="5"/>
      <c r="BD1381" s="5"/>
      <c r="BE1381" s="63"/>
      <c r="BF1381" s="63"/>
      <c r="BG1381" s="63"/>
      <c r="CA1381" s="256"/>
      <c r="CB1381" s="261"/>
      <c r="CC1381" s="261"/>
      <c r="CD1381" s="261"/>
      <c r="CE1381" s="261"/>
      <c r="CF1381" s="261"/>
      <c r="CG1381" s="53"/>
      <c r="CH1381" s="53"/>
      <c r="CI1381" s="53"/>
      <c r="CJ1381" s="53"/>
      <c r="CK1381" s="53"/>
      <c r="CL1381" s="53"/>
      <c r="CN1381" s="53"/>
      <c r="CO1381" s="53"/>
      <c r="CP1381" s="53"/>
      <c r="CQ1381" s="53"/>
      <c r="CR1381" s="53"/>
      <c r="CS1381" s="53"/>
      <c r="CT1381" s="261"/>
      <c r="CU1381" s="261"/>
      <c r="CV1381" s="261"/>
      <c r="CW1381" s="261"/>
      <c r="CX1381" s="261"/>
      <c r="CY1381" s="255"/>
    </row>
    <row r="1382" spans="1:103" ht="10.25" customHeight="1">
      <c r="A1382" s="216"/>
      <c r="B1382" s="217"/>
      <c r="C1382" s="218"/>
      <c r="D1382" s="219"/>
      <c r="E1382" s="217"/>
      <c r="F1382" s="217"/>
      <c r="G1382" s="217"/>
      <c r="H1382" s="220"/>
      <c r="I1382" s="217"/>
      <c r="J1382" s="217"/>
      <c r="K1382" s="217"/>
      <c r="L1382" s="217"/>
      <c r="M1382" s="217"/>
      <c r="N1382" s="217"/>
      <c r="O1382" s="44"/>
      <c r="P1382" s="44"/>
      <c r="Q1382" s="44"/>
      <c r="R1382" s="44"/>
      <c r="S1382" s="44"/>
      <c r="T1382" s="44"/>
      <c r="U1382" s="44"/>
      <c r="V1382" s="44"/>
      <c r="W1382" s="44"/>
      <c r="X1382" s="44"/>
      <c r="Y1382" s="44"/>
      <c r="Z1382" s="44"/>
      <c r="AA1382" s="44"/>
      <c r="AB1382" s="44"/>
      <c r="AC1382" s="44"/>
      <c r="AD1382" s="44"/>
      <c r="AE1382" s="44"/>
      <c r="AF1382" s="44"/>
      <c r="AG1382" s="44"/>
      <c r="AH1382" s="44"/>
      <c r="AI1382" s="44"/>
      <c r="AJ1382" s="44"/>
      <c r="AK1382" s="44"/>
      <c r="AL1382" s="44"/>
      <c r="AM1382" s="44"/>
      <c r="AN1382" s="44"/>
      <c r="AO1382" s="44"/>
      <c r="AP1382" s="44"/>
      <c r="AQ1382" s="44"/>
      <c r="BA1382" s="5"/>
      <c r="BB1382" s="5"/>
      <c r="BC1382" s="5"/>
      <c r="BD1382" s="5"/>
      <c r="BE1382" s="63"/>
      <c r="BF1382" s="63"/>
      <c r="BG1382" s="63"/>
      <c r="CA1382" s="256"/>
      <c r="CB1382" s="261"/>
      <c r="CC1382" s="261"/>
      <c r="CD1382" s="261"/>
      <c r="CE1382" s="261"/>
      <c r="CF1382" s="261"/>
      <c r="CG1382" s="53"/>
      <c r="CH1382" s="53"/>
      <c r="CI1382" s="53"/>
      <c r="CJ1382" s="53"/>
      <c r="CK1382" s="53"/>
      <c r="CL1382" s="53"/>
      <c r="CN1382" s="53"/>
      <c r="CO1382" s="53"/>
      <c r="CP1382" s="53"/>
      <c r="CQ1382" s="53"/>
      <c r="CR1382" s="53"/>
      <c r="CS1382" s="53"/>
      <c r="CT1382" s="261"/>
      <c r="CU1382" s="261"/>
      <c r="CV1382" s="255"/>
      <c r="CW1382" s="255"/>
      <c r="CX1382" s="261"/>
      <c r="CY1382" s="255"/>
    </row>
    <row r="1383" spans="1:103" ht="10.25" customHeight="1">
      <c r="A1383" s="216"/>
      <c r="B1383" s="217"/>
      <c r="C1383" s="218"/>
      <c r="D1383" s="219"/>
      <c r="E1383" s="217"/>
      <c r="F1383" s="217"/>
      <c r="G1383" s="217"/>
      <c r="H1383" s="220"/>
      <c r="I1383" s="217"/>
      <c r="J1383" s="217"/>
      <c r="K1383" s="217"/>
      <c r="L1383" s="217"/>
      <c r="M1383" s="217"/>
      <c r="N1383" s="217"/>
      <c r="O1383" s="44"/>
      <c r="P1383" s="44"/>
      <c r="Q1383" s="44"/>
      <c r="R1383" s="44"/>
      <c r="S1383" s="44"/>
      <c r="T1383" s="44"/>
      <c r="U1383" s="44"/>
      <c r="V1383" s="44"/>
      <c r="W1383" s="44"/>
      <c r="X1383" s="44"/>
      <c r="Y1383" s="44"/>
      <c r="Z1383" s="44"/>
      <c r="AA1383" s="44"/>
      <c r="AB1383" s="44"/>
      <c r="AC1383" s="44"/>
      <c r="AD1383" s="44"/>
      <c r="AE1383" s="44"/>
      <c r="AF1383" s="44"/>
      <c r="AG1383" s="44"/>
      <c r="AH1383" s="44"/>
      <c r="AI1383" s="44"/>
      <c r="AJ1383" s="44"/>
      <c r="AK1383" s="44"/>
      <c r="AL1383" s="44"/>
      <c r="AM1383" s="44"/>
      <c r="AN1383" s="44"/>
      <c r="AO1383" s="44"/>
      <c r="AP1383" s="44"/>
      <c r="AQ1383" s="44"/>
      <c r="BA1383" s="5"/>
      <c r="BB1383" s="5"/>
      <c r="BC1383" s="5"/>
      <c r="BD1383" s="5"/>
      <c r="BE1383" s="63"/>
      <c r="BF1383" s="63"/>
      <c r="BG1383" s="63"/>
      <c r="CA1383" s="256"/>
      <c r="CB1383" s="261"/>
      <c r="CC1383" s="261"/>
      <c r="CD1383" s="261"/>
      <c r="CE1383" s="261"/>
      <c r="CF1383" s="261"/>
      <c r="CG1383" s="53"/>
      <c r="CH1383" s="53"/>
      <c r="CI1383" s="53"/>
      <c r="CJ1383" s="53"/>
      <c r="CK1383" s="53"/>
      <c r="CL1383" s="53"/>
      <c r="CN1383" s="53"/>
      <c r="CO1383" s="53"/>
      <c r="CP1383" s="53"/>
      <c r="CQ1383" s="53"/>
      <c r="CR1383" s="53"/>
      <c r="CS1383" s="53"/>
      <c r="CT1383" s="261"/>
      <c r="CU1383" s="261"/>
      <c r="CV1383" s="261"/>
      <c r="CW1383" s="261"/>
      <c r="CX1383" s="255"/>
      <c r="CY1383" s="255"/>
    </row>
    <row r="1384" spans="1:103" ht="10.25" customHeight="1">
      <c r="A1384" s="216"/>
      <c r="B1384" s="217"/>
      <c r="C1384" s="218"/>
      <c r="D1384" s="219"/>
      <c r="E1384" s="217"/>
      <c r="F1384" s="217"/>
      <c r="G1384" s="217"/>
      <c r="H1384" s="220"/>
      <c r="I1384" s="217"/>
      <c r="J1384" s="217"/>
      <c r="K1384" s="217"/>
      <c r="L1384" s="217"/>
      <c r="M1384" s="217"/>
      <c r="N1384" s="217"/>
      <c r="O1384" s="44"/>
      <c r="P1384" s="44"/>
      <c r="Q1384" s="44"/>
      <c r="R1384" s="44"/>
      <c r="S1384" s="44"/>
      <c r="T1384" s="44"/>
      <c r="U1384" s="44"/>
      <c r="V1384" s="44"/>
      <c r="W1384" s="44"/>
      <c r="X1384" s="44"/>
      <c r="Y1384" s="44"/>
      <c r="Z1384" s="44"/>
      <c r="AA1384" s="44"/>
      <c r="AB1384" s="44"/>
      <c r="AC1384" s="44"/>
      <c r="AD1384" s="44"/>
      <c r="AE1384" s="44"/>
      <c r="AF1384" s="44"/>
      <c r="AG1384" s="44"/>
      <c r="AH1384" s="44"/>
      <c r="AI1384" s="44"/>
      <c r="AJ1384" s="44"/>
      <c r="AK1384" s="44"/>
      <c r="AL1384" s="44"/>
      <c r="AM1384" s="44"/>
      <c r="AN1384" s="44"/>
      <c r="AO1384" s="44"/>
      <c r="AP1384" s="44"/>
      <c r="AQ1384" s="44"/>
      <c r="BA1384" s="5"/>
      <c r="BB1384" s="5"/>
      <c r="BC1384" s="5"/>
      <c r="BD1384" s="5"/>
      <c r="BE1384" s="63"/>
      <c r="BF1384" s="63"/>
      <c r="BG1384" s="63"/>
      <c r="CA1384" s="256"/>
      <c r="CB1384" s="261"/>
      <c r="CC1384" s="261"/>
      <c r="CD1384" s="261"/>
      <c r="CE1384" s="261"/>
      <c r="CF1384" s="261"/>
      <c r="CG1384" s="53"/>
      <c r="CH1384" s="53"/>
      <c r="CI1384" s="53"/>
      <c r="CJ1384" s="53"/>
      <c r="CK1384" s="53"/>
      <c r="CL1384" s="53"/>
      <c r="CN1384" s="53"/>
      <c r="CO1384" s="53"/>
      <c r="CP1384" s="53"/>
      <c r="CQ1384" s="53"/>
      <c r="CR1384" s="53"/>
      <c r="CS1384" s="53"/>
      <c r="CT1384" s="261"/>
      <c r="CU1384" s="261"/>
      <c r="CV1384" s="255"/>
      <c r="CW1384" s="255"/>
      <c r="CX1384" s="261"/>
      <c r="CY1384" s="255"/>
    </row>
    <row r="1385" spans="1:103" ht="10.25" customHeight="1">
      <c r="A1385" s="216"/>
      <c r="B1385" s="217"/>
      <c r="C1385" s="218"/>
      <c r="D1385" s="219"/>
      <c r="E1385" s="217"/>
      <c r="F1385" s="217"/>
      <c r="G1385" s="217"/>
      <c r="H1385" s="220"/>
      <c r="I1385" s="217"/>
      <c r="J1385" s="217"/>
      <c r="K1385" s="217"/>
      <c r="L1385" s="217"/>
      <c r="M1385" s="217"/>
      <c r="N1385" s="217"/>
      <c r="O1385" s="44"/>
      <c r="P1385" s="44"/>
      <c r="Q1385" s="44"/>
      <c r="R1385" s="44"/>
      <c r="S1385" s="44"/>
      <c r="T1385" s="44"/>
      <c r="U1385" s="44"/>
      <c r="V1385" s="44"/>
      <c r="W1385" s="44"/>
      <c r="X1385" s="44"/>
      <c r="Y1385" s="44"/>
      <c r="Z1385" s="44"/>
      <c r="AA1385" s="44"/>
      <c r="AB1385" s="44"/>
      <c r="AC1385" s="44"/>
      <c r="AD1385" s="44"/>
      <c r="AE1385" s="44"/>
      <c r="AF1385" s="44"/>
      <c r="AG1385" s="44"/>
      <c r="AH1385" s="44"/>
      <c r="AI1385" s="44"/>
      <c r="AJ1385" s="44"/>
      <c r="AK1385" s="44"/>
      <c r="AL1385" s="44"/>
      <c r="AM1385" s="44"/>
      <c r="AN1385" s="44"/>
      <c r="AO1385" s="44"/>
      <c r="AP1385" s="44"/>
      <c r="AQ1385" s="44"/>
      <c r="BA1385" s="5"/>
      <c r="BB1385" s="5"/>
      <c r="BC1385" s="5"/>
      <c r="BD1385" s="5"/>
      <c r="BE1385" s="63"/>
      <c r="BF1385" s="63"/>
      <c r="BG1385" s="63"/>
      <c r="CA1385" s="256"/>
      <c r="CB1385" s="261"/>
      <c r="CC1385" s="261"/>
      <c r="CD1385" s="261"/>
      <c r="CE1385" s="261"/>
      <c r="CF1385" s="261"/>
      <c r="CG1385" s="53"/>
      <c r="CH1385" s="53"/>
      <c r="CI1385" s="53"/>
      <c r="CJ1385" s="53"/>
      <c r="CK1385" s="53"/>
      <c r="CL1385" s="53"/>
      <c r="CN1385" s="53"/>
      <c r="CO1385" s="53"/>
      <c r="CP1385" s="53"/>
      <c r="CQ1385" s="53"/>
      <c r="CR1385" s="53"/>
      <c r="CS1385" s="53"/>
      <c r="CT1385" s="261"/>
      <c r="CU1385" s="261"/>
      <c r="CV1385" s="261"/>
      <c r="CW1385" s="261"/>
      <c r="CX1385" s="261"/>
      <c r="CY1385" s="255"/>
    </row>
    <row r="1386" spans="1:103" ht="10.25" customHeight="1">
      <c r="A1386" s="216"/>
      <c r="B1386" s="217"/>
      <c r="C1386" s="218"/>
      <c r="D1386" s="219"/>
      <c r="E1386" s="217"/>
      <c r="F1386" s="217"/>
      <c r="G1386" s="217"/>
      <c r="H1386" s="220"/>
      <c r="I1386" s="217"/>
      <c r="J1386" s="217"/>
      <c r="K1386" s="217"/>
      <c r="L1386" s="217"/>
      <c r="M1386" s="217"/>
      <c r="N1386" s="217"/>
      <c r="O1386" s="44"/>
      <c r="P1386" s="44"/>
      <c r="Q1386" s="44"/>
      <c r="R1386" s="44"/>
      <c r="S1386" s="44"/>
      <c r="T1386" s="44"/>
      <c r="U1386" s="44"/>
      <c r="V1386" s="44"/>
      <c r="W1386" s="44"/>
      <c r="X1386" s="44"/>
      <c r="Y1386" s="44"/>
      <c r="Z1386" s="44"/>
      <c r="AA1386" s="44"/>
      <c r="AB1386" s="44"/>
      <c r="AC1386" s="44"/>
      <c r="AD1386" s="44"/>
      <c r="AE1386" s="44"/>
      <c r="AF1386" s="44"/>
      <c r="AG1386" s="44"/>
      <c r="AH1386" s="44"/>
      <c r="AI1386" s="44"/>
      <c r="AJ1386" s="44"/>
      <c r="AK1386" s="44"/>
      <c r="AL1386" s="44"/>
      <c r="AM1386" s="44"/>
      <c r="AN1386" s="44"/>
      <c r="AO1386" s="44"/>
      <c r="AP1386" s="44"/>
      <c r="AQ1386" s="44"/>
      <c r="BA1386" s="5"/>
      <c r="BB1386" s="5"/>
      <c r="BC1386" s="5"/>
      <c r="BD1386" s="5"/>
      <c r="BE1386" s="63"/>
      <c r="BF1386" s="63"/>
      <c r="BG1386" s="63"/>
      <c r="CA1386" s="256"/>
      <c r="CB1386" s="261"/>
      <c r="CC1386" s="261"/>
      <c r="CD1386" s="261"/>
      <c r="CE1386" s="261"/>
      <c r="CF1386" s="261"/>
      <c r="CG1386" s="53"/>
      <c r="CH1386" s="53"/>
      <c r="CI1386" s="53"/>
      <c r="CJ1386" s="53"/>
      <c r="CK1386" s="53"/>
      <c r="CL1386" s="53"/>
      <c r="CN1386" s="53"/>
      <c r="CO1386" s="53"/>
      <c r="CP1386" s="53"/>
      <c r="CQ1386" s="53"/>
      <c r="CR1386" s="53"/>
      <c r="CS1386" s="53"/>
      <c r="CT1386" s="261"/>
      <c r="CU1386" s="261"/>
      <c r="CV1386" s="261"/>
      <c r="CW1386" s="255"/>
      <c r="CX1386" s="261"/>
      <c r="CY1386" s="255"/>
    </row>
    <row r="1387" spans="1:103" ht="10.25" customHeight="1">
      <c r="A1387" s="216"/>
      <c r="B1387" s="217"/>
      <c r="C1387" s="218"/>
      <c r="D1387" s="219"/>
      <c r="E1387" s="217"/>
      <c r="F1387" s="217"/>
      <c r="G1387" s="217"/>
      <c r="H1387" s="220"/>
      <c r="I1387" s="217"/>
      <c r="J1387" s="217"/>
      <c r="K1387" s="217"/>
      <c r="L1387" s="217"/>
      <c r="M1387" s="217"/>
      <c r="N1387" s="217"/>
      <c r="O1387" s="44"/>
      <c r="P1387" s="44"/>
      <c r="Q1387" s="44"/>
      <c r="R1387" s="44"/>
      <c r="S1387" s="44"/>
      <c r="T1387" s="44"/>
      <c r="U1387" s="44"/>
      <c r="V1387" s="44"/>
      <c r="W1387" s="44"/>
      <c r="X1387" s="44"/>
      <c r="Y1387" s="44"/>
      <c r="Z1387" s="44"/>
      <c r="AA1387" s="44"/>
      <c r="AB1387" s="44"/>
      <c r="AC1387" s="44"/>
      <c r="AD1387" s="44"/>
      <c r="AE1387" s="44"/>
      <c r="AF1387" s="44"/>
      <c r="AG1387" s="44"/>
      <c r="AH1387" s="44"/>
      <c r="AI1387" s="44"/>
      <c r="AJ1387" s="44"/>
      <c r="AK1387" s="44"/>
      <c r="AL1387" s="44"/>
      <c r="AM1387" s="44"/>
      <c r="AN1387" s="44"/>
      <c r="AO1387" s="44"/>
      <c r="AP1387" s="44"/>
      <c r="AQ1387" s="44"/>
      <c r="BA1387" s="5"/>
      <c r="BB1387" s="5"/>
      <c r="BC1387" s="5"/>
      <c r="BD1387" s="5"/>
      <c r="BE1387" s="63"/>
      <c r="BF1387" s="63"/>
      <c r="BG1387" s="63"/>
      <c r="CA1387" s="256"/>
      <c r="CB1387" s="261"/>
      <c r="CC1387" s="261"/>
      <c r="CD1387" s="261"/>
      <c r="CE1387" s="261"/>
      <c r="CF1387" s="261"/>
      <c r="CG1387" s="53"/>
      <c r="CH1387" s="53"/>
      <c r="CI1387" s="53"/>
      <c r="CJ1387" s="53"/>
      <c r="CK1387" s="53"/>
      <c r="CL1387" s="53"/>
      <c r="CN1387" s="53"/>
      <c r="CO1387" s="53"/>
      <c r="CP1387" s="53"/>
      <c r="CQ1387" s="53"/>
      <c r="CR1387" s="53"/>
      <c r="CS1387" s="53"/>
      <c r="CT1387" s="261"/>
      <c r="CU1387" s="261"/>
      <c r="CV1387" s="261"/>
      <c r="CW1387" s="261"/>
      <c r="CX1387" s="261"/>
      <c r="CY1387" s="255"/>
    </row>
    <row r="1388" spans="1:103" ht="10.25" customHeight="1">
      <c r="A1388" s="216"/>
      <c r="B1388" s="217"/>
      <c r="C1388" s="218"/>
      <c r="D1388" s="219"/>
      <c r="E1388" s="217"/>
      <c r="F1388" s="217"/>
      <c r="G1388" s="217"/>
      <c r="H1388" s="220"/>
      <c r="I1388" s="217"/>
      <c r="J1388" s="217"/>
      <c r="K1388" s="217"/>
      <c r="L1388" s="217"/>
      <c r="M1388" s="217"/>
      <c r="N1388" s="217"/>
      <c r="O1388" s="44"/>
      <c r="P1388" s="44"/>
      <c r="Q1388" s="44"/>
      <c r="R1388" s="44"/>
      <c r="S1388" s="44"/>
      <c r="T1388" s="44"/>
      <c r="U1388" s="44"/>
      <c r="V1388" s="44"/>
      <c r="W1388" s="44"/>
      <c r="X1388" s="44"/>
      <c r="Y1388" s="44"/>
      <c r="Z1388" s="44"/>
      <c r="AA1388" s="44"/>
      <c r="AB1388" s="44"/>
      <c r="AC1388" s="44"/>
      <c r="AD1388" s="44"/>
      <c r="AE1388" s="44"/>
      <c r="AF1388" s="44"/>
      <c r="AG1388" s="44"/>
      <c r="AH1388" s="44"/>
      <c r="AI1388" s="44"/>
      <c r="AJ1388" s="44"/>
      <c r="AK1388" s="44"/>
      <c r="AL1388" s="44"/>
      <c r="AM1388" s="44"/>
      <c r="AN1388" s="44"/>
      <c r="AO1388" s="44"/>
      <c r="AP1388" s="44"/>
      <c r="AQ1388" s="44"/>
      <c r="BA1388" s="5"/>
      <c r="BB1388" s="5"/>
      <c r="BC1388" s="5"/>
      <c r="BD1388" s="5"/>
      <c r="BE1388" s="63"/>
      <c r="BF1388" s="63"/>
      <c r="BG1388" s="63"/>
      <c r="CA1388" s="256"/>
      <c r="CB1388" s="261"/>
      <c r="CC1388" s="261"/>
      <c r="CD1388" s="261"/>
      <c r="CE1388" s="261"/>
      <c r="CF1388" s="261"/>
      <c r="CG1388" s="53"/>
      <c r="CH1388" s="53"/>
      <c r="CI1388" s="53"/>
      <c r="CJ1388" s="53"/>
      <c r="CK1388" s="53"/>
      <c r="CL1388" s="53"/>
      <c r="CN1388" s="53"/>
      <c r="CO1388" s="53"/>
      <c r="CP1388" s="53"/>
      <c r="CQ1388" s="53"/>
      <c r="CR1388" s="53"/>
      <c r="CS1388" s="53"/>
      <c r="CT1388" s="261"/>
      <c r="CU1388" s="261"/>
      <c r="CV1388" s="255"/>
      <c r="CW1388" s="255"/>
      <c r="CX1388" s="261"/>
      <c r="CY1388" s="255"/>
    </row>
    <row r="1389" spans="1:103" ht="10.25" customHeight="1">
      <c r="A1389" s="216"/>
      <c r="B1389" s="217"/>
      <c r="C1389" s="218"/>
      <c r="D1389" s="219"/>
      <c r="E1389" s="217"/>
      <c r="F1389" s="217"/>
      <c r="G1389" s="217"/>
      <c r="H1389" s="220"/>
      <c r="I1389" s="217"/>
      <c r="J1389" s="217"/>
      <c r="K1389" s="217"/>
      <c r="L1389" s="217"/>
      <c r="M1389" s="217"/>
      <c r="N1389" s="217"/>
      <c r="O1389" s="44"/>
      <c r="P1389" s="44"/>
      <c r="Q1389" s="44"/>
      <c r="R1389" s="44"/>
      <c r="S1389" s="44"/>
      <c r="T1389" s="44"/>
      <c r="U1389" s="44"/>
      <c r="V1389" s="44"/>
      <c r="W1389" s="44"/>
      <c r="X1389" s="44"/>
      <c r="Y1389" s="44"/>
      <c r="Z1389" s="44"/>
      <c r="AA1389" s="44"/>
      <c r="AB1389" s="44"/>
      <c r="AC1389" s="44"/>
      <c r="AD1389" s="44"/>
      <c r="AE1389" s="44"/>
      <c r="AF1389" s="44"/>
      <c r="AG1389" s="44"/>
      <c r="AH1389" s="44"/>
      <c r="AI1389" s="44"/>
      <c r="AJ1389" s="44"/>
      <c r="AK1389" s="44"/>
      <c r="AL1389" s="44"/>
      <c r="AM1389" s="44"/>
      <c r="AN1389" s="44"/>
      <c r="AO1389" s="44"/>
      <c r="AP1389" s="44"/>
      <c r="AQ1389" s="44"/>
      <c r="BA1389" s="5"/>
      <c r="BB1389" s="5"/>
      <c r="BC1389" s="5"/>
      <c r="BD1389" s="5"/>
      <c r="BE1389" s="63"/>
      <c r="BF1389" s="63"/>
      <c r="BG1389" s="63"/>
      <c r="CA1389" s="256"/>
      <c r="CB1389" s="261"/>
      <c r="CC1389" s="261"/>
      <c r="CD1389" s="261"/>
      <c r="CE1389" s="261"/>
      <c r="CF1389" s="261"/>
      <c r="CG1389" s="53"/>
      <c r="CH1389" s="53"/>
      <c r="CI1389" s="53"/>
      <c r="CJ1389" s="53"/>
      <c r="CK1389" s="53"/>
      <c r="CL1389" s="53"/>
      <c r="CN1389" s="53"/>
      <c r="CO1389" s="53"/>
      <c r="CP1389" s="53"/>
      <c r="CQ1389" s="53"/>
      <c r="CR1389" s="53"/>
      <c r="CS1389" s="53"/>
      <c r="CT1389" s="261"/>
      <c r="CU1389" s="261"/>
      <c r="CV1389" s="261"/>
      <c r="CW1389" s="261"/>
      <c r="CX1389" s="261"/>
      <c r="CY1389" s="255"/>
    </row>
    <row r="1390" spans="1:103" ht="10.25" customHeight="1">
      <c r="A1390" s="216"/>
      <c r="B1390" s="217"/>
      <c r="C1390" s="218"/>
      <c r="D1390" s="219"/>
      <c r="E1390" s="217"/>
      <c r="F1390" s="217"/>
      <c r="G1390" s="217"/>
      <c r="H1390" s="220"/>
      <c r="I1390" s="217"/>
      <c r="J1390" s="217"/>
      <c r="K1390" s="217"/>
      <c r="L1390" s="217"/>
      <c r="M1390" s="217"/>
      <c r="N1390" s="217"/>
      <c r="O1390" s="44"/>
      <c r="P1390" s="44"/>
      <c r="Q1390" s="44"/>
      <c r="R1390" s="44"/>
      <c r="S1390" s="44"/>
      <c r="T1390" s="44"/>
      <c r="U1390" s="44"/>
      <c r="V1390" s="44"/>
      <c r="W1390" s="44"/>
      <c r="X1390" s="44"/>
      <c r="Y1390" s="44"/>
      <c r="Z1390" s="44"/>
      <c r="AA1390" s="44"/>
      <c r="AB1390" s="44"/>
      <c r="AC1390" s="44"/>
      <c r="AD1390" s="44"/>
      <c r="AE1390" s="44"/>
      <c r="AF1390" s="44"/>
      <c r="AG1390" s="44"/>
      <c r="AH1390" s="44"/>
      <c r="AI1390" s="44"/>
      <c r="AJ1390" s="44"/>
      <c r="AK1390" s="44"/>
      <c r="AL1390" s="44"/>
      <c r="AM1390" s="44"/>
      <c r="AN1390" s="44"/>
      <c r="AO1390" s="44"/>
      <c r="AP1390" s="44"/>
      <c r="AQ1390" s="44"/>
      <c r="BA1390" s="5"/>
      <c r="BB1390" s="5"/>
      <c r="BC1390" s="5"/>
      <c r="BD1390" s="5"/>
      <c r="BE1390" s="63"/>
      <c r="BF1390" s="63"/>
      <c r="BG1390" s="63"/>
      <c r="CA1390" s="256"/>
      <c r="CB1390" s="261"/>
      <c r="CC1390" s="261"/>
      <c r="CD1390" s="261"/>
      <c r="CE1390" s="261"/>
      <c r="CF1390" s="261"/>
      <c r="CG1390" s="53"/>
      <c r="CH1390" s="53"/>
      <c r="CI1390" s="53"/>
      <c r="CJ1390" s="53"/>
      <c r="CK1390" s="53"/>
      <c r="CL1390" s="53"/>
      <c r="CN1390" s="53"/>
      <c r="CO1390" s="53"/>
      <c r="CP1390" s="53"/>
      <c r="CQ1390" s="53"/>
      <c r="CR1390" s="53"/>
      <c r="CS1390" s="53"/>
      <c r="CT1390" s="261"/>
      <c r="CU1390" s="261"/>
      <c r="CV1390" s="255"/>
      <c r="CW1390" s="255"/>
      <c r="CX1390" s="255"/>
      <c r="CY1390" s="255"/>
    </row>
    <row r="1391" spans="1:103" ht="10.25" customHeight="1">
      <c r="A1391" s="216"/>
      <c r="B1391" s="217"/>
      <c r="C1391" s="218"/>
      <c r="D1391" s="219"/>
      <c r="E1391" s="217"/>
      <c r="F1391" s="217"/>
      <c r="G1391" s="217"/>
      <c r="H1391" s="220"/>
      <c r="I1391" s="217"/>
      <c r="J1391" s="217"/>
      <c r="K1391" s="217"/>
      <c r="L1391" s="217"/>
      <c r="M1391" s="217"/>
      <c r="N1391" s="217"/>
      <c r="O1391" s="44"/>
      <c r="P1391" s="44"/>
      <c r="Q1391" s="44"/>
      <c r="R1391" s="44"/>
      <c r="S1391" s="44"/>
      <c r="T1391" s="44"/>
      <c r="U1391" s="44"/>
      <c r="V1391" s="44"/>
      <c r="W1391" s="44"/>
      <c r="X1391" s="44"/>
      <c r="Y1391" s="44"/>
      <c r="Z1391" s="44"/>
      <c r="AA1391" s="44"/>
      <c r="AB1391" s="44"/>
      <c r="AC1391" s="44"/>
      <c r="AD1391" s="44"/>
      <c r="AE1391" s="44"/>
      <c r="AF1391" s="44"/>
      <c r="AG1391" s="44"/>
      <c r="AH1391" s="44"/>
      <c r="AI1391" s="44"/>
      <c r="AJ1391" s="44"/>
      <c r="AK1391" s="44"/>
      <c r="AL1391" s="44"/>
      <c r="AM1391" s="44"/>
      <c r="AN1391" s="44"/>
      <c r="AO1391" s="44"/>
      <c r="AP1391" s="44"/>
      <c r="AQ1391" s="44"/>
      <c r="BA1391" s="5"/>
      <c r="BB1391" s="5"/>
      <c r="BC1391" s="5"/>
      <c r="BD1391" s="5"/>
      <c r="BE1391" s="63"/>
      <c r="BF1391" s="63"/>
      <c r="BG1391" s="63"/>
      <c r="CA1391" s="256"/>
      <c r="CB1391" s="261"/>
      <c r="CC1391" s="261"/>
      <c r="CD1391" s="261"/>
      <c r="CE1391" s="261"/>
      <c r="CF1391" s="261"/>
      <c r="CG1391" s="53"/>
      <c r="CH1391" s="53"/>
      <c r="CI1391" s="53"/>
      <c r="CJ1391" s="53"/>
      <c r="CK1391" s="53"/>
      <c r="CL1391" s="53"/>
      <c r="CN1391" s="53"/>
      <c r="CO1391" s="53"/>
      <c r="CP1391" s="53"/>
      <c r="CQ1391" s="53"/>
      <c r="CR1391" s="53"/>
      <c r="CS1391" s="53"/>
      <c r="CT1391" s="261"/>
      <c r="CU1391" s="261"/>
      <c r="CV1391" s="261"/>
      <c r="CW1391" s="255"/>
      <c r="CX1391" s="261"/>
      <c r="CY1391" s="255"/>
    </row>
    <row r="1392" spans="1:103" ht="10.25" customHeight="1">
      <c r="A1392" s="216"/>
      <c r="B1392" s="217"/>
      <c r="C1392" s="218"/>
      <c r="D1392" s="219"/>
      <c r="E1392" s="217"/>
      <c r="F1392" s="217"/>
      <c r="G1392" s="217"/>
      <c r="H1392" s="220"/>
      <c r="I1392" s="217"/>
      <c r="J1392" s="217"/>
      <c r="K1392" s="217"/>
      <c r="L1392" s="217"/>
      <c r="M1392" s="217"/>
      <c r="N1392" s="217"/>
      <c r="O1392" s="44"/>
      <c r="P1392" s="44"/>
      <c r="Q1392" s="44"/>
      <c r="R1392" s="44"/>
      <c r="S1392" s="44"/>
      <c r="T1392" s="44"/>
      <c r="U1392" s="44"/>
      <c r="V1392" s="44"/>
      <c r="W1392" s="44"/>
      <c r="X1392" s="44"/>
      <c r="Y1392" s="44"/>
      <c r="Z1392" s="44"/>
      <c r="AA1392" s="44"/>
      <c r="AB1392" s="44"/>
      <c r="AC1392" s="44"/>
      <c r="AD1392" s="44"/>
      <c r="AE1392" s="44"/>
      <c r="AF1392" s="44"/>
      <c r="AG1392" s="44"/>
      <c r="AH1392" s="44"/>
      <c r="AI1392" s="44"/>
      <c r="AJ1392" s="44"/>
      <c r="AK1392" s="44"/>
      <c r="AL1392" s="44"/>
      <c r="AM1392" s="44"/>
      <c r="AN1392" s="44"/>
      <c r="AO1392" s="44"/>
      <c r="AP1392" s="44"/>
      <c r="AQ1392" s="44"/>
      <c r="BA1392" s="5"/>
      <c r="BB1392" s="5"/>
      <c r="BC1392" s="5"/>
      <c r="BD1392" s="5"/>
      <c r="BE1392" s="63"/>
      <c r="BF1392" s="63"/>
      <c r="BG1392" s="63"/>
      <c r="CA1392" s="256"/>
      <c r="CB1392" s="261"/>
      <c r="CC1392" s="261"/>
      <c r="CD1392" s="261"/>
      <c r="CE1392" s="261"/>
      <c r="CF1392" s="261"/>
      <c r="CG1392" s="53"/>
      <c r="CH1392" s="53"/>
      <c r="CI1392" s="53"/>
      <c r="CJ1392" s="53"/>
      <c r="CK1392" s="53"/>
      <c r="CL1392" s="53"/>
      <c r="CN1392" s="53"/>
      <c r="CO1392" s="53"/>
      <c r="CP1392" s="53"/>
      <c r="CQ1392" s="53"/>
      <c r="CR1392" s="53"/>
      <c r="CS1392" s="53"/>
      <c r="CT1392" s="261"/>
      <c r="CU1392" s="261"/>
      <c r="CV1392" s="255"/>
      <c r="CW1392" s="255"/>
      <c r="CX1392" s="261"/>
      <c r="CY1392" s="255"/>
    </row>
    <row r="1393" spans="1:103" ht="10.25" customHeight="1">
      <c r="A1393" s="216"/>
      <c r="B1393" s="217"/>
      <c r="C1393" s="218"/>
      <c r="D1393" s="219"/>
      <c r="E1393" s="217"/>
      <c r="F1393" s="217"/>
      <c r="G1393" s="217"/>
      <c r="H1393" s="220"/>
      <c r="I1393" s="217"/>
      <c r="J1393" s="217"/>
      <c r="K1393" s="217"/>
      <c r="L1393" s="217"/>
      <c r="M1393" s="217"/>
      <c r="N1393" s="217"/>
      <c r="O1393" s="44"/>
      <c r="P1393" s="44"/>
      <c r="Q1393" s="44"/>
      <c r="R1393" s="44"/>
      <c r="S1393" s="44"/>
      <c r="T1393" s="44"/>
      <c r="U1393" s="44"/>
      <c r="V1393" s="44"/>
      <c r="W1393" s="44"/>
      <c r="X1393" s="44"/>
      <c r="Y1393" s="44"/>
      <c r="Z1393" s="44"/>
      <c r="AA1393" s="44"/>
      <c r="AB1393" s="44"/>
      <c r="AC1393" s="44"/>
      <c r="AD1393" s="44"/>
      <c r="AE1393" s="44"/>
      <c r="AF1393" s="44"/>
      <c r="AG1393" s="44"/>
      <c r="AH1393" s="44"/>
      <c r="AI1393" s="44"/>
      <c r="AJ1393" s="44"/>
      <c r="AK1393" s="44"/>
      <c r="AL1393" s="44"/>
      <c r="AM1393" s="44"/>
      <c r="AN1393" s="44"/>
      <c r="AO1393" s="44"/>
      <c r="AP1393" s="44"/>
      <c r="AQ1393" s="44"/>
      <c r="BA1393" s="5"/>
      <c r="BB1393" s="5"/>
      <c r="BC1393" s="5"/>
      <c r="BD1393" s="5"/>
      <c r="BE1393" s="63"/>
      <c r="BF1393" s="63"/>
      <c r="BG1393" s="63"/>
      <c r="CA1393" s="256"/>
      <c r="CB1393" s="261"/>
      <c r="CC1393" s="261"/>
      <c r="CD1393" s="261"/>
      <c r="CE1393" s="261"/>
      <c r="CF1393" s="261"/>
      <c r="CG1393" s="53"/>
      <c r="CH1393" s="53"/>
      <c r="CI1393" s="53"/>
      <c r="CJ1393" s="53"/>
      <c r="CK1393" s="53"/>
      <c r="CL1393" s="53"/>
      <c r="CN1393" s="53"/>
      <c r="CO1393" s="53"/>
      <c r="CP1393" s="53"/>
      <c r="CQ1393" s="53"/>
      <c r="CR1393" s="53"/>
      <c r="CS1393" s="53"/>
      <c r="CT1393" s="261"/>
      <c r="CU1393" s="261"/>
      <c r="CV1393" s="261"/>
      <c r="CW1393" s="261"/>
      <c r="CX1393" s="261"/>
      <c r="CY1393" s="255"/>
    </row>
    <row r="1394" spans="1:103" ht="10.25" customHeight="1">
      <c r="A1394" s="216"/>
      <c r="B1394" s="217"/>
      <c r="C1394" s="218"/>
      <c r="D1394" s="219"/>
      <c r="E1394" s="217"/>
      <c r="F1394" s="217"/>
      <c r="G1394" s="217"/>
      <c r="H1394" s="220"/>
      <c r="I1394" s="217"/>
      <c r="J1394" s="217"/>
      <c r="K1394" s="217"/>
      <c r="L1394" s="217"/>
      <c r="M1394" s="217"/>
      <c r="N1394" s="217"/>
      <c r="O1394" s="44"/>
      <c r="P1394" s="44"/>
      <c r="Q1394" s="44"/>
      <c r="R1394" s="44"/>
      <c r="S1394" s="44"/>
      <c r="T1394" s="44"/>
      <c r="U1394" s="44"/>
      <c r="V1394" s="44"/>
      <c r="W1394" s="44"/>
      <c r="X1394" s="44"/>
      <c r="Y1394" s="44"/>
      <c r="Z1394" s="44"/>
      <c r="AA1394" s="44"/>
      <c r="AB1394" s="44"/>
      <c r="AC1394" s="44"/>
      <c r="AD1394" s="44"/>
      <c r="AE1394" s="44"/>
      <c r="AF1394" s="44"/>
      <c r="AG1394" s="44"/>
      <c r="AH1394" s="44"/>
      <c r="AI1394" s="44"/>
      <c r="AJ1394" s="44"/>
      <c r="AK1394" s="44"/>
      <c r="AL1394" s="44"/>
      <c r="AM1394" s="44"/>
      <c r="AN1394" s="44"/>
      <c r="AO1394" s="44"/>
      <c r="AP1394" s="44"/>
      <c r="AQ1394" s="44"/>
      <c r="BA1394" s="5"/>
      <c r="BB1394" s="5"/>
      <c r="BC1394" s="5"/>
      <c r="BD1394" s="5"/>
      <c r="BE1394" s="63"/>
      <c r="BF1394" s="63"/>
      <c r="BG1394" s="63"/>
      <c r="CA1394" s="256"/>
      <c r="CB1394" s="261"/>
      <c r="CC1394" s="261"/>
      <c r="CD1394" s="261"/>
      <c r="CE1394" s="261"/>
      <c r="CF1394" s="261"/>
      <c r="CG1394" s="53"/>
      <c r="CH1394" s="53"/>
      <c r="CI1394" s="53"/>
      <c r="CJ1394" s="53"/>
      <c r="CK1394" s="53"/>
      <c r="CL1394" s="53"/>
      <c r="CN1394" s="53"/>
      <c r="CO1394" s="53"/>
      <c r="CP1394" s="53"/>
      <c r="CQ1394" s="53"/>
      <c r="CR1394" s="53"/>
      <c r="CS1394" s="53"/>
      <c r="CT1394" s="261"/>
      <c r="CU1394" s="261"/>
      <c r="CV1394" s="255"/>
      <c r="CW1394" s="255"/>
      <c r="CX1394" s="261"/>
      <c r="CY1394" s="255"/>
    </row>
    <row r="1395" spans="1:103" ht="10.25" customHeight="1">
      <c r="A1395" s="216"/>
      <c r="B1395" s="217"/>
      <c r="C1395" s="218"/>
      <c r="D1395" s="219"/>
      <c r="E1395" s="217"/>
      <c r="F1395" s="217"/>
      <c r="G1395" s="217"/>
      <c r="H1395" s="220"/>
      <c r="I1395" s="217"/>
      <c r="J1395" s="217"/>
      <c r="K1395" s="217"/>
      <c r="L1395" s="217"/>
      <c r="M1395" s="217"/>
      <c r="N1395" s="217"/>
      <c r="O1395" s="44"/>
      <c r="P1395" s="44"/>
      <c r="Q1395" s="44"/>
      <c r="R1395" s="44"/>
      <c r="S1395" s="44"/>
      <c r="T1395" s="44"/>
      <c r="U1395" s="44"/>
      <c r="V1395" s="44"/>
      <c r="W1395" s="44"/>
      <c r="X1395" s="44"/>
      <c r="Y1395" s="44"/>
      <c r="Z1395" s="44"/>
      <c r="AA1395" s="44"/>
      <c r="AB1395" s="44"/>
      <c r="AC1395" s="44"/>
      <c r="AD1395" s="44"/>
      <c r="AE1395" s="44"/>
      <c r="AF1395" s="44"/>
      <c r="AG1395" s="44"/>
      <c r="AH1395" s="44"/>
      <c r="AI1395" s="44"/>
      <c r="AJ1395" s="44"/>
      <c r="AK1395" s="44"/>
      <c r="AL1395" s="44"/>
      <c r="AM1395" s="44"/>
      <c r="AN1395" s="44"/>
      <c r="AO1395" s="44"/>
      <c r="AP1395" s="44"/>
      <c r="AQ1395" s="44"/>
      <c r="BA1395" s="5"/>
      <c r="BB1395" s="5"/>
      <c r="BC1395" s="5"/>
      <c r="BD1395" s="5"/>
      <c r="BE1395" s="63"/>
      <c r="BF1395" s="63"/>
      <c r="BG1395" s="63"/>
      <c r="CA1395" s="256"/>
      <c r="CB1395" s="261"/>
      <c r="CC1395" s="261"/>
      <c r="CD1395" s="261"/>
      <c r="CE1395" s="261"/>
      <c r="CF1395" s="255"/>
      <c r="CG1395" s="53"/>
      <c r="CH1395" s="53"/>
      <c r="CI1395" s="53"/>
      <c r="CJ1395" s="53"/>
      <c r="CK1395" s="53"/>
      <c r="CL1395" s="53"/>
      <c r="CN1395" s="53"/>
      <c r="CO1395" s="53"/>
      <c r="CP1395" s="53"/>
      <c r="CQ1395" s="53"/>
      <c r="CR1395" s="53"/>
      <c r="CS1395" s="53"/>
      <c r="CT1395" s="261"/>
      <c r="CU1395" s="255"/>
      <c r="CV1395" s="261"/>
      <c r="CW1395" s="261"/>
      <c r="CX1395" s="261"/>
      <c r="CY1395" s="255"/>
    </row>
    <row r="1396" spans="1:103" ht="10.25" customHeight="1">
      <c r="A1396" s="216"/>
      <c r="B1396" s="217"/>
      <c r="C1396" s="218"/>
      <c r="D1396" s="219"/>
      <c r="E1396" s="217"/>
      <c r="F1396" s="217"/>
      <c r="G1396" s="217"/>
      <c r="H1396" s="220"/>
      <c r="I1396" s="217"/>
      <c r="J1396" s="217"/>
      <c r="K1396" s="217"/>
      <c r="L1396" s="217"/>
      <c r="M1396" s="217"/>
      <c r="N1396" s="217"/>
      <c r="O1396" s="44"/>
      <c r="P1396" s="44"/>
      <c r="Q1396" s="44"/>
      <c r="R1396" s="44"/>
      <c r="S1396" s="44"/>
      <c r="T1396" s="44"/>
      <c r="U1396" s="44"/>
      <c r="V1396" s="44"/>
      <c r="W1396" s="44"/>
      <c r="X1396" s="44"/>
      <c r="Y1396" s="44"/>
      <c r="Z1396" s="44"/>
      <c r="AA1396" s="44"/>
      <c r="AB1396" s="44"/>
      <c r="AC1396" s="44"/>
      <c r="AD1396" s="44"/>
      <c r="AE1396" s="44"/>
      <c r="AF1396" s="44"/>
      <c r="AG1396" s="44"/>
      <c r="AH1396" s="44"/>
      <c r="AI1396" s="44"/>
      <c r="AJ1396" s="44"/>
      <c r="AK1396" s="44"/>
      <c r="AL1396" s="44"/>
      <c r="AM1396" s="44"/>
      <c r="AN1396" s="44"/>
      <c r="AO1396" s="44"/>
      <c r="AP1396" s="44"/>
      <c r="AQ1396" s="44"/>
      <c r="BA1396" s="5"/>
      <c r="BB1396" s="5"/>
      <c r="BC1396" s="5"/>
      <c r="BD1396" s="5"/>
      <c r="BE1396" s="63"/>
      <c r="BF1396" s="63"/>
      <c r="BG1396" s="63"/>
      <c r="CA1396" s="256"/>
      <c r="CB1396" s="261"/>
      <c r="CC1396" s="261"/>
      <c r="CD1396" s="261"/>
      <c r="CE1396" s="261"/>
      <c r="CF1396" s="255"/>
      <c r="CG1396" s="53"/>
      <c r="CH1396" s="53"/>
      <c r="CI1396" s="53"/>
      <c r="CJ1396" s="53"/>
      <c r="CK1396" s="53"/>
      <c r="CL1396" s="53"/>
      <c r="CN1396" s="53"/>
      <c r="CO1396" s="53"/>
      <c r="CP1396" s="53"/>
      <c r="CQ1396" s="53"/>
      <c r="CR1396" s="53"/>
      <c r="CS1396" s="53"/>
      <c r="CT1396" s="261"/>
      <c r="CU1396" s="255"/>
      <c r="CV1396" s="255"/>
      <c r="CW1396" s="255"/>
      <c r="CX1396" s="261"/>
      <c r="CY1396" s="255"/>
    </row>
    <row r="1397" spans="1:103" ht="10.25" customHeight="1">
      <c r="A1397" s="216"/>
      <c r="B1397" s="217"/>
      <c r="C1397" s="218"/>
      <c r="D1397" s="219"/>
      <c r="E1397" s="217"/>
      <c r="F1397" s="217"/>
      <c r="G1397" s="217"/>
      <c r="H1397" s="220"/>
      <c r="I1397" s="217"/>
      <c r="J1397" s="217"/>
      <c r="K1397" s="217"/>
      <c r="L1397" s="217"/>
      <c r="M1397" s="217"/>
      <c r="N1397" s="217"/>
      <c r="O1397" s="44"/>
      <c r="P1397" s="44"/>
      <c r="Q1397" s="44"/>
      <c r="R1397" s="44"/>
      <c r="S1397" s="44"/>
      <c r="T1397" s="44"/>
      <c r="U1397" s="44"/>
      <c r="V1397" s="44"/>
      <c r="W1397" s="44"/>
      <c r="X1397" s="44"/>
      <c r="Y1397" s="44"/>
      <c r="Z1397" s="44"/>
      <c r="AA1397" s="44"/>
      <c r="AB1397" s="44"/>
      <c r="AC1397" s="44"/>
      <c r="AD1397" s="44"/>
      <c r="AE1397" s="44"/>
      <c r="AF1397" s="44"/>
      <c r="AG1397" s="44"/>
      <c r="AH1397" s="44"/>
      <c r="AI1397" s="44"/>
      <c r="AJ1397" s="44"/>
      <c r="AK1397" s="44"/>
      <c r="AL1397" s="44"/>
      <c r="AM1397" s="44"/>
      <c r="AN1397" s="44"/>
      <c r="AO1397" s="44"/>
      <c r="AP1397" s="44"/>
      <c r="AQ1397" s="44"/>
      <c r="BA1397" s="5"/>
      <c r="BB1397" s="5"/>
      <c r="BC1397" s="5"/>
      <c r="BD1397" s="5"/>
      <c r="BE1397" s="63"/>
      <c r="BF1397" s="63"/>
      <c r="BG1397" s="63"/>
      <c r="CA1397" s="256"/>
      <c r="CB1397" s="261"/>
      <c r="CC1397" s="261"/>
      <c r="CD1397" s="261"/>
      <c r="CE1397" s="255"/>
      <c r="CF1397" s="261"/>
      <c r="CG1397" s="53"/>
      <c r="CH1397" s="53"/>
      <c r="CI1397" s="53"/>
      <c r="CJ1397" s="53"/>
      <c r="CK1397" s="53"/>
      <c r="CL1397" s="53"/>
      <c r="CN1397" s="53"/>
      <c r="CO1397" s="53"/>
      <c r="CP1397" s="53"/>
      <c r="CQ1397" s="53"/>
      <c r="CR1397" s="53"/>
      <c r="CS1397" s="53"/>
      <c r="CT1397" s="255"/>
      <c r="CU1397" s="261"/>
      <c r="CV1397" s="261"/>
      <c r="CW1397" s="261"/>
      <c r="CX1397" s="261"/>
      <c r="CY1397" s="255"/>
    </row>
    <row r="1398" spans="1:103" ht="10.25" customHeight="1">
      <c r="A1398" s="216"/>
      <c r="B1398" s="217"/>
      <c r="C1398" s="218"/>
      <c r="D1398" s="219"/>
      <c r="E1398" s="217"/>
      <c r="F1398" s="217"/>
      <c r="G1398" s="217"/>
      <c r="H1398" s="220"/>
      <c r="I1398" s="217"/>
      <c r="J1398" s="217"/>
      <c r="K1398" s="217"/>
      <c r="L1398" s="217"/>
      <c r="M1398" s="217"/>
      <c r="N1398" s="217"/>
      <c r="O1398" s="44"/>
      <c r="P1398" s="44"/>
      <c r="Q1398" s="44"/>
      <c r="R1398" s="44"/>
      <c r="S1398" s="44"/>
      <c r="T1398" s="44"/>
      <c r="U1398" s="44"/>
      <c r="V1398" s="44"/>
      <c r="W1398" s="44"/>
      <c r="X1398" s="44"/>
      <c r="Y1398" s="44"/>
      <c r="Z1398" s="44"/>
      <c r="AA1398" s="44"/>
      <c r="AB1398" s="44"/>
      <c r="AC1398" s="44"/>
      <c r="AD1398" s="44"/>
      <c r="AE1398" s="44"/>
      <c r="AF1398" s="44"/>
      <c r="AG1398" s="44"/>
      <c r="AH1398" s="44"/>
      <c r="AI1398" s="44"/>
      <c r="AJ1398" s="44"/>
      <c r="AK1398" s="44"/>
      <c r="AL1398" s="44"/>
      <c r="AM1398" s="44"/>
      <c r="AN1398" s="44"/>
      <c r="AO1398" s="44"/>
      <c r="AP1398" s="44"/>
      <c r="AQ1398" s="44"/>
      <c r="BA1398" s="5"/>
      <c r="BB1398" s="5"/>
      <c r="BC1398" s="5"/>
      <c r="BD1398" s="5"/>
      <c r="BE1398" s="63"/>
      <c r="BF1398" s="63"/>
      <c r="BG1398" s="63"/>
      <c r="CA1398" s="256"/>
      <c r="CB1398" s="261"/>
      <c r="CC1398" s="261"/>
      <c r="CD1398" s="261"/>
      <c r="CE1398" s="255"/>
      <c r="CF1398" s="261"/>
      <c r="CG1398" s="53"/>
      <c r="CH1398" s="53"/>
      <c r="CI1398" s="53"/>
      <c r="CJ1398" s="53"/>
      <c r="CK1398" s="53"/>
      <c r="CL1398" s="53"/>
      <c r="CN1398" s="53"/>
      <c r="CO1398" s="53"/>
      <c r="CP1398" s="53"/>
      <c r="CQ1398" s="53"/>
      <c r="CR1398" s="53"/>
      <c r="CS1398" s="53"/>
      <c r="CT1398" s="255"/>
      <c r="CU1398" s="261"/>
      <c r="CV1398" s="255"/>
      <c r="CW1398" s="255"/>
      <c r="CX1398" s="261"/>
      <c r="CY1398" s="255"/>
    </row>
    <row r="1399" spans="1:103" ht="10.25" customHeight="1">
      <c r="A1399" s="216"/>
      <c r="B1399" s="217"/>
      <c r="C1399" s="218"/>
      <c r="D1399" s="219"/>
      <c r="E1399" s="217"/>
      <c r="F1399" s="217"/>
      <c r="G1399" s="217"/>
      <c r="H1399" s="220"/>
      <c r="I1399" s="217"/>
      <c r="J1399" s="217"/>
      <c r="K1399" s="217"/>
      <c r="L1399" s="217"/>
      <c r="M1399" s="217"/>
      <c r="N1399" s="217"/>
      <c r="O1399" s="44"/>
      <c r="P1399" s="44"/>
      <c r="Q1399" s="44"/>
      <c r="R1399" s="44"/>
      <c r="S1399" s="44"/>
      <c r="T1399" s="44"/>
      <c r="U1399" s="44"/>
      <c r="V1399" s="44"/>
      <c r="W1399" s="44"/>
      <c r="X1399" s="44"/>
      <c r="Y1399" s="44"/>
      <c r="Z1399" s="44"/>
      <c r="AA1399" s="44"/>
      <c r="AB1399" s="44"/>
      <c r="AC1399" s="44"/>
      <c r="AD1399" s="44"/>
      <c r="AE1399" s="44"/>
      <c r="AF1399" s="44"/>
      <c r="AG1399" s="44"/>
      <c r="AH1399" s="44"/>
      <c r="AI1399" s="44"/>
      <c r="AJ1399" s="44"/>
      <c r="AK1399" s="44"/>
      <c r="AL1399" s="44"/>
      <c r="AM1399" s="44"/>
      <c r="AN1399" s="44"/>
      <c r="AO1399" s="44"/>
      <c r="AP1399" s="44"/>
      <c r="AQ1399" s="44"/>
      <c r="BA1399" s="5"/>
      <c r="BB1399" s="5"/>
      <c r="BC1399" s="5"/>
      <c r="BD1399" s="5"/>
      <c r="BE1399" s="63"/>
      <c r="BF1399" s="63"/>
      <c r="BG1399" s="63"/>
      <c r="CA1399" s="256"/>
      <c r="CB1399" s="261"/>
      <c r="CC1399" s="261"/>
      <c r="CD1399" s="261"/>
      <c r="CE1399" s="261"/>
      <c r="CF1399" s="261"/>
      <c r="CG1399" s="53"/>
      <c r="CH1399" s="53"/>
      <c r="CI1399" s="53"/>
      <c r="CJ1399" s="53"/>
      <c r="CK1399" s="53"/>
      <c r="CL1399" s="53"/>
      <c r="CN1399" s="53"/>
      <c r="CO1399" s="53"/>
      <c r="CP1399" s="53"/>
      <c r="CQ1399" s="53"/>
      <c r="CR1399" s="53"/>
      <c r="CS1399" s="53"/>
      <c r="CT1399" s="261"/>
      <c r="CU1399" s="261"/>
      <c r="CV1399" s="261"/>
      <c r="CW1399" s="261"/>
      <c r="CX1399" s="255"/>
      <c r="CY1399" s="255"/>
    </row>
    <row r="1400" spans="1:103" ht="10.25" customHeight="1">
      <c r="A1400" s="216"/>
      <c r="B1400" s="217"/>
      <c r="C1400" s="218"/>
      <c r="D1400" s="219"/>
      <c r="E1400" s="217"/>
      <c r="F1400" s="217"/>
      <c r="G1400" s="217"/>
      <c r="H1400" s="220"/>
      <c r="I1400" s="217"/>
      <c r="J1400" s="217"/>
      <c r="K1400" s="217"/>
      <c r="L1400" s="217"/>
      <c r="M1400" s="217"/>
      <c r="N1400" s="217"/>
      <c r="O1400" s="44"/>
      <c r="P1400" s="44"/>
      <c r="Q1400" s="44"/>
      <c r="R1400" s="44"/>
      <c r="S1400" s="44"/>
      <c r="T1400" s="44"/>
      <c r="U1400" s="44"/>
      <c r="V1400" s="44"/>
      <c r="W1400" s="44"/>
      <c r="X1400" s="44"/>
      <c r="Y1400" s="44"/>
      <c r="Z1400" s="44"/>
      <c r="AA1400" s="44"/>
      <c r="AB1400" s="44"/>
      <c r="AC1400" s="44"/>
      <c r="AD1400" s="44"/>
      <c r="AE1400" s="44"/>
      <c r="AF1400" s="44"/>
      <c r="AG1400" s="44"/>
      <c r="AH1400" s="44"/>
      <c r="AI1400" s="44"/>
      <c r="AJ1400" s="44"/>
      <c r="AK1400" s="44"/>
      <c r="AL1400" s="44"/>
      <c r="AM1400" s="44"/>
      <c r="AN1400" s="44"/>
      <c r="AO1400" s="44"/>
      <c r="AP1400" s="44"/>
      <c r="AQ1400" s="44"/>
      <c r="BA1400" s="5"/>
      <c r="BB1400" s="5"/>
      <c r="BC1400" s="5"/>
      <c r="BD1400" s="5"/>
      <c r="BE1400" s="63"/>
      <c r="BF1400" s="63"/>
      <c r="BG1400" s="63"/>
      <c r="CA1400" s="256"/>
      <c r="CB1400" s="261"/>
      <c r="CC1400" s="261"/>
      <c r="CD1400" s="261"/>
      <c r="CE1400" s="261"/>
      <c r="CF1400" s="261"/>
      <c r="CG1400" s="53"/>
      <c r="CH1400" s="53"/>
      <c r="CI1400" s="53"/>
      <c r="CJ1400" s="53"/>
      <c r="CK1400" s="53"/>
      <c r="CL1400" s="53"/>
      <c r="CN1400" s="53"/>
      <c r="CO1400" s="53"/>
      <c r="CP1400" s="53"/>
      <c r="CQ1400" s="53"/>
      <c r="CR1400" s="53"/>
      <c r="CS1400" s="53"/>
      <c r="CT1400" s="261"/>
      <c r="CU1400" s="261"/>
      <c r="CV1400" s="255"/>
      <c r="CW1400" s="255"/>
      <c r="CX1400" s="261"/>
      <c r="CY1400" s="255"/>
    </row>
    <row r="1401" spans="1:103" ht="10.25" customHeight="1">
      <c r="A1401" s="216"/>
      <c r="B1401" s="217"/>
      <c r="C1401" s="218"/>
      <c r="D1401" s="219"/>
      <c r="E1401" s="217"/>
      <c r="F1401" s="217"/>
      <c r="G1401" s="217"/>
      <c r="H1401" s="220"/>
      <c r="I1401" s="217"/>
      <c r="J1401" s="217"/>
      <c r="K1401" s="217"/>
      <c r="L1401" s="217"/>
      <c r="M1401" s="217"/>
      <c r="N1401" s="217"/>
      <c r="O1401" s="44"/>
      <c r="P1401" s="44"/>
      <c r="Q1401" s="44"/>
      <c r="R1401" s="44"/>
      <c r="S1401" s="44"/>
      <c r="T1401" s="44"/>
      <c r="U1401" s="44"/>
      <c r="V1401" s="44"/>
      <c r="W1401" s="44"/>
      <c r="X1401" s="44"/>
      <c r="Y1401" s="44"/>
      <c r="Z1401" s="44"/>
      <c r="AA1401" s="44"/>
      <c r="AB1401" s="44"/>
      <c r="AC1401" s="44"/>
      <c r="AD1401" s="44"/>
      <c r="AE1401" s="44"/>
      <c r="AF1401" s="44"/>
      <c r="AG1401" s="44"/>
      <c r="AH1401" s="44"/>
      <c r="AI1401" s="44"/>
      <c r="AJ1401" s="44"/>
      <c r="AK1401" s="44"/>
      <c r="AL1401" s="44"/>
      <c r="AM1401" s="44"/>
      <c r="AN1401" s="44"/>
      <c r="AO1401" s="44"/>
      <c r="AP1401" s="44"/>
      <c r="AQ1401" s="44"/>
      <c r="BA1401" s="5"/>
      <c r="BB1401" s="5"/>
      <c r="BC1401" s="5"/>
      <c r="BD1401" s="5"/>
      <c r="BE1401" s="63"/>
      <c r="BF1401" s="63"/>
      <c r="BG1401" s="63"/>
      <c r="CA1401" s="256"/>
      <c r="CB1401" s="261"/>
      <c r="CC1401" s="261"/>
      <c r="CD1401" s="261"/>
      <c r="CE1401" s="261"/>
      <c r="CF1401" s="261"/>
      <c r="CG1401" s="53"/>
      <c r="CH1401" s="53"/>
      <c r="CI1401" s="53"/>
      <c r="CJ1401" s="53"/>
      <c r="CK1401" s="53"/>
      <c r="CL1401" s="53"/>
      <c r="CN1401" s="53"/>
      <c r="CO1401" s="53"/>
      <c r="CP1401" s="53"/>
      <c r="CQ1401" s="53"/>
      <c r="CR1401" s="53"/>
      <c r="CS1401" s="53"/>
      <c r="CT1401" s="261"/>
      <c r="CU1401" s="261"/>
      <c r="CV1401" s="261"/>
      <c r="CW1401" s="255"/>
      <c r="CX1401" s="261"/>
      <c r="CY1401" s="255"/>
    </row>
    <row r="1402" spans="1:103" ht="10.25" customHeight="1">
      <c r="A1402" s="216"/>
      <c r="B1402" s="217"/>
      <c r="C1402" s="218"/>
      <c r="D1402" s="219"/>
      <c r="E1402" s="217"/>
      <c r="F1402" s="217"/>
      <c r="G1402" s="217"/>
      <c r="H1402" s="220"/>
      <c r="I1402" s="217"/>
      <c r="J1402" s="217"/>
      <c r="K1402" s="217"/>
      <c r="L1402" s="217"/>
      <c r="M1402" s="217"/>
      <c r="N1402" s="217"/>
      <c r="O1402" s="44"/>
      <c r="P1402" s="44"/>
      <c r="Q1402" s="44"/>
      <c r="R1402" s="44"/>
      <c r="S1402" s="44"/>
      <c r="T1402" s="44"/>
      <c r="U1402" s="44"/>
      <c r="V1402" s="44"/>
      <c r="W1402" s="44"/>
      <c r="X1402" s="44"/>
      <c r="Y1402" s="44"/>
      <c r="Z1402" s="44"/>
      <c r="AA1402" s="44"/>
      <c r="AB1402" s="44"/>
      <c r="AC1402" s="44"/>
      <c r="AD1402" s="44"/>
      <c r="AE1402" s="44"/>
      <c r="AF1402" s="44"/>
      <c r="AG1402" s="44"/>
      <c r="AH1402" s="44"/>
      <c r="AI1402" s="44"/>
      <c r="AJ1402" s="44"/>
      <c r="AK1402" s="44"/>
      <c r="AL1402" s="44"/>
      <c r="AM1402" s="44"/>
      <c r="AN1402" s="44"/>
      <c r="AO1402" s="44"/>
      <c r="AP1402" s="44"/>
      <c r="AQ1402" s="44"/>
      <c r="BA1402" s="5"/>
      <c r="BB1402" s="5"/>
      <c r="BC1402" s="5"/>
      <c r="BD1402" s="5"/>
      <c r="BE1402" s="63"/>
      <c r="BF1402" s="63"/>
      <c r="BG1402" s="63"/>
      <c r="CA1402" s="256"/>
      <c r="CB1402" s="261"/>
      <c r="CC1402" s="261"/>
      <c r="CD1402" s="261"/>
      <c r="CE1402" s="261"/>
      <c r="CF1402" s="261"/>
      <c r="CG1402" s="53"/>
      <c r="CH1402" s="53"/>
      <c r="CI1402" s="53"/>
      <c r="CJ1402" s="53"/>
      <c r="CK1402" s="53"/>
      <c r="CL1402" s="53"/>
      <c r="CN1402" s="53"/>
      <c r="CO1402" s="53"/>
      <c r="CP1402" s="53"/>
      <c r="CQ1402" s="53"/>
      <c r="CR1402" s="53"/>
      <c r="CS1402" s="53"/>
      <c r="CT1402" s="261"/>
      <c r="CU1402" s="261"/>
      <c r="CV1402" s="255"/>
      <c r="CW1402" s="255"/>
      <c r="CX1402" s="261"/>
      <c r="CY1402" s="255"/>
    </row>
    <row r="1403" spans="1:103" ht="10.25" customHeight="1">
      <c r="A1403" s="216"/>
      <c r="B1403" s="217"/>
      <c r="C1403" s="218"/>
      <c r="D1403" s="219"/>
      <c r="E1403" s="217"/>
      <c r="F1403" s="217"/>
      <c r="G1403" s="217"/>
      <c r="H1403" s="220"/>
      <c r="I1403" s="217"/>
      <c r="J1403" s="217"/>
      <c r="K1403" s="217"/>
      <c r="L1403" s="217"/>
      <c r="M1403" s="217"/>
      <c r="N1403" s="217"/>
      <c r="O1403" s="44"/>
      <c r="P1403" s="44"/>
      <c r="Q1403" s="44"/>
      <c r="R1403" s="44"/>
      <c r="S1403" s="44"/>
      <c r="T1403" s="44"/>
      <c r="U1403" s="44"/>
      <c r="V1403" s="44"/>
      <c r="W1403" s="44"/>
      <c r="X1403" s="44"/>
      <c r="Y1403" s="44"/>
      <c r="Z1403" s="44"/>
      <c r="AA1403" s="44"/>
      <c r="AB1403" s="44"/>
      <c r="AC1403" s="44"/>
      <c r="AD1403" s="44"/>
      <c r="AE1403" s="44"/>
      <c r="AF1403" s="44"/>
      <c r="AG1403" s="44"/>
      <c r="AH1403" s="44"/>
      <c r="AI1403" s="44"/>
      <c r="AJ1403" s="44"/>
      <c r="AK1403" s="44"/>
      <c r="AL1403" s="44"/>
      <c r="AM1403" s="44"/>
      <c r="AN1403" s="44"/>
      <c r="AO1403" s="44"/>
      <c r="AP1403" s="44"/>
      <c r="AQ1403" s="44"/>
      <c r="BA1403" s="5"/>
      <c r="BB1403" s="5"/>
      <c r="BC1403" s="5"/>
      <c r="BD1403" s="5"/>
      <c r="BE1403" s="63"/>
      <c r="BF1403" s="63"/>
      <c r="BG1403" s="63"/>
      <c r="CA1403" s="256"/>
      <c r="CB1403" s="261"/>
      <c r="CC1403" s="261"/>
      <c r="CD1403" s="261"/>
      <c r="CE1403" s="261"/>
      <c r="CF1403" s="261"/>
      <c r="CG1403" s="53"/>
      <c r="CH1403" s="53"/>
      <c r="CI1403" s="53"/>
      <c r="CJ1403" s="53"/>
      <c r="CK1403" s="53"/>
      <c r="CL1403" s="53"/>
      <c r="CN1403" s="53"/>
      <c r="CO1403" s="53"/>
      <c r="CP1403" s="53"/>
      <c r="CQ1403" s="53"/>
      <c r="CR1403" s="53"/>
      <c r="CS1403" s="53"/>
      <c r="CT1403" s="261"/>
      <c r="CU1403" s="261"/>
      <c r="CV1403" s="261"/>
      <c r="CW1403" s="261"/>
      <c r="CX1403" s="261"/>
      <c r="CY1403" s="255"/>
    </row>
    <row r="1404" spans="1:103" ht="10.25" customHeight="1">
      <c r="A1404" s="216"/>
      <c r="B1404" s="217"/>
      <c r="C1404" s="218"/>
      <c r="D1404" s="219"/>
      <c r="E1404" s="217"/>
      <c r="F1404" s="217"/>
      <c r="G1404" s="217"/>
      <c r="H1404" s="220"/>
      <c r="I1404" s="217"/>
      <c r="J1404" s="217"/>
      <c r="K1404" s="217"/>
      <c r="L1404" s="217"/>
      <c r="M1404" s="217"/>
      <c r="N1404" s="217"/>
      <c r="O1404" s="44"/>
      <c r="P1404" s="44"/>
      <c r="Q1404" s="44"/>
      <c r="R1404" s="44"/>
      <c r="S1404" s="44"/>
      <c r="T1404" s="44"/>
      <c r="U1404" s="44"/>
      <c r="V1404" s="44"/>
      <c r="W1404" s="44"/>
      <c r="X1404" s="44"/>
      <c r="Y1404" s="44"/>
      <c r="Z1404" s="44"/>
      <c r="AA1404" s="44"/>
      <c r="AB1404" s="44"/>
      <c r="AC1404" s="44"/>
      <c r="AD1404" s="44"/>
      <c r="AE1404" s="44"/>
      <c r="AF1404" s="44"/>
      <c r="AG1404" s="44"/>
      <c r="AH1404" s="44"/>
      <c r="AI1404" s="44"/>
      <c r="AJ1404" s="44"/>
      <c r="AK1404" s="44"/>
      <c r="AL1404" s="44"/>
      <c r="AM1404" s="44"/>
      <c r="AN1404" s="44"/>
      <c r="AO1404" s="44"/>
      <c r="AP1404" s="44"/>
      <c r="AQ1404" s="44"/>
      <c r="BA1404" s="5"/>
      <c r="BB1404" s="5"/>
      <c r="BC1404" s="5"/>
      <c r="BD1404" s="5"/>
      <c r="BE1404" s="63"/>
      <c r="BF1404" s="63"/>
      <c r="BG1404" s="63"/>
      <c r="CA1404" s="256"/>
      <c r="CB1404" s="261"/>
      <c r="CC1404" s="261"/>
      <c r="CD1404" s="255"/>
      <c r="CE1404" s="261"/>
      <c r="CF1404" s="261"/>
      <c r="CG1404" s="53"/>
      <c r="CH1404" s="53"/>
      <c r="CI1404" s="53"/>
      <c r="CJ1404" s="53"/>
      <c r="CK1404" s="53"/>
      <c r="CL1404" s="53"/>
      <c r="CN1404" s="53"/>
      <c r="CO1404" s="53"/>
      <c r="CP1404" s="53"/>
      <c r="CQ1404" s="53"/>
      <c r="CR1404" s="53"/>
      <c r="CS1404" s="53"/>
      <c r="CT1404" s="261"/>
      <c r="CU1404" s="261"/>
      <c r="CV1404" s="261"/>
      <c r="CW1404" s="261"/>
      <c r="CX1404" s="261"/>
      <c r="CY1404" s="255"/>
    </row>
    <row r="1405" spans="1:103" ht="10.25" customHeight="1">
      <c r="A1405" s="216"/>
      <c r="B1405" s="217"/>
      <c r="C1405" s="218"/>
      <c r="D1405" s="219"/>
      <c r="E1405" s="217"/>
      <c r="F1405" s="217"/>
      <c r="G1405" s="217"/>
      <c r="H1405" s="220"/>
      <c r="I1405" s="217"/>
      <c r="J1405" s="217"/>
      <c r="K1405" s="217"/>
      <c r="L1405" s="217"/>
      <c r="M1405" s="217"/>
      <c r="N1405" s="217"/>
      <c r="O1405" s="44"/>
      <c r="P1405" s="44"/>
      <c r="Q1405" s="44"/>
      <c r="R1405" s="44"/>
      <c r="S1405" s="44"/>
      <c r="T1405" s="44"/>
      <c r="U1405" s="44"/>
      <c r="V1405" s="44"/>
      <c r="W1405" s="44"/>
      <c r="X1405" s="44"/>
      <c r="Y1405" s="44"/>
      <c r="Z1405" s="44"/>
      <c r="AA1405" s="44"/>
      <c r="AB1405" s="44"/>
      <c r="AC1405" s="44"/>
      <c r="AD1405" s="44"/>
      <c r="AE1405" s="44"/>
      <c r="AF1405" s="44"/>
      <c r="AG1405" s="44"/>
      <c r="AH1405" s="44"/>
      <c r="AI1405" s="44"/>
      <c r="AJ1405" s="44"/>
      <c r="AK1405" s="44"/>
      <c r="AL1405" s="44"/>
      <c r="AM1405" s="44"/>
      <c r="AN1405" s="44"/>
      <c r="AO1405" s="44"/>
      <c r="AP1405" s="44"/>
      <c r="AQ1405" s="44"/>
      <c r="BA1405" s="5"/>
      <c r="BB1405" s="5"/>
      <c r="BC1405" s="5"/>
      <c r="BD1405" s="5"/>
      <c r="BE1405" s="63"/>
      <c r="BF1405" s="63"/>
      <c r="BG1405" s="63"/>
      <c r="CA1405" s="256"/>
      <c r="CB1405" s="261"/>
      <c r="CC1405" s="261"/>
      <c r="CD1405" s="255"/>
      <c r="CE1405" s="261"/>
      <c r="CF1405" s="261"/>
      <c r="CG1405" s="53"/>
      <c r="CH1405" s="53"/>
      <c r="CI1405" s="53"/>
      <c r="CJ1405" s="53"/>
      <c r="CK1405" s="53"/>
      <c r="CL1405" s="53"/>
      <c r="CN1405" s="53"/>
      <c r="CO1405" s="53"/>
      <c r="CP1405" s="53"/>
      <c r="CQ1405" s="53"/>
      <c r="CR1405" s="53"/>
      <c r="CS1405" s="53"/>
      <c r="CT1405" s="261"/>
      <c r="CU1405" s="261"/>
      <c r="CV1405" s="261"/>
      <c r="CW1405" s="261"/>
      <c r="CX1405" s="261"/>
      <c r="CY1405" s="255"/>
    </row>
    <row r="1406" spans="1:103" ht="10.25" customHeight="1">
      <c r="A1406" s="216"/>
      <c r="B1406" s="217"/>
      <c r="C1406" s="218"/>
      <c r="D1406" s="219"/>
      <c r="E1406" s="217"/>
      <c r="F1406" s="217"/>
      <c r="G1406" s="217"/>
      <c r="H1406" s="220"/>
      <c r="I1406" s="217"/>
      <c r="J1406" s="217"/>
      <c r="K1406" s="217"/>
      <c r="L1406" s="217"/>
      <c r="M1406" s="217"/>
      <c r="N1406" s="217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BA1406" s="5"/>
      <c r="BB1406" s="5"/>
      <c r="BC1406" s="5"/>
      <c r="BD1406" s="5"/>
      <c r="BE1406" s="63"/>
      <c r="BF1406" s="63"/>
      <c r="BG1406" s="63"/>
      <c r="CA1406" s="256"/>
      <c r="CB1406" s="261"/>
      <c r="CC1406" s="261"/>
      <c r="CD1406" s="255"/>
      <c r="CE1406" s="261"/>
      <c r="CF1406" s="261"/>
      <c r="CG1406" s="53"/>
      <c r="CH1406" s="53"/>
      <c r="CI1406" s="53"/>
      <c r="CJ1406" s="53"/>
      <c r="CK1406" s="53"/>
      <c r="CL1406" s="53"/>
      <c r="CN1406" s="53"/>
      <c r="CO1406" s="53"/>
      <c r="CP1406" s="53"/>
      <c r="CQ1406" s="53"/>
      <c r="CR1406" s="53"/>
      <c r="CS1406" s="53"/>
      <c r="CT1406" s="261"/>
      <c r="CU1406" s="261"/>
      <c r="CV1406" s="261"/>
      <c r="CW1406" s="261"/>
      <c r="CX1406" s="261"/>
      <c r="CY1406" s="255"/>
    </row>
    <row r="1407" spans="1:103" ht="10.25" customHeight="1">
      <c r="A1407" s="216"/>
      <c r="B1407" s="217"/>
      <c r="C1407" s="218"/>
      <c r="D1407" s="219"/>
      <c r="E1407" s="217"/>
      <c r="F1407" s="217"/>
      <c r="G1407" s="217"/>
      <c r="H1407" s="220"/>
      <c r="I1407" s="217"/>
      <c r="J1407" s="217"/>
      <c r="K1407" s="217"/>
      <c r="L1407" s="217"/>
      <c r="M1407" s="217"/>
      <c r="N1407" s="217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BA1407" s="5"/>
      <c r="BB1407" s="5"/>
      <c r="BC1407" s="5"/>
      <c r="BD1407" s="5"/>
      <c r="BE1407" s="63"/>
      <c r="BF1407" s="63"/>
      <c r="BG1407" s="63"/>
      <c r="CA1407" s="256"/>
      <c r="CB1407" s="261"/>
      <c r="CC1407" s="255"/>
      <c r="CD1407" s="261"/>
      <c r="CE1407" s="261"/>
      <c r="CF1407" s="261"/>
      <c r="CG1407" s="53"/>
      <c r="CH1407" s="53"/>
      <c r="CI1407" s="53"/>
      <c r="CJ1407" s="53"/>
      <c r="CK1407" s="53"/>
      <c r="CL1407" s="53"/>
      <c r="CN1407" s="53"/>
      <c r="CO1407" s="53"/>
      <c r="CP1407" s="53"/>
      <c r="CQ1407" s="53"/>
      <c r="CR1407" s="53"/>
      <c r="CS1407" s="53"/>
      <c r="CT1407" s="261"/>
      <c r="CU1407" s="261"/>
      <c r="CV1407" s="261"/>
      <c r="CW1407" s="261"/>
      <c r="CX1407" s="261"/>
      <c r="CY1407" s="255"/>
    </row>
    <row r="1408" spans="1:103" ht="10.25" customHeight="1">
      <c r="A1408" s="216"/>
      <c r="B1408" s="217"/>
      <c r="C1408" s="218"/>
      <c r="D1408" s="219"/>
      <c r="E1408" s="217"/>
      <c r="F1408" s="217"/>
      <c r="G1408" s="217"/>
      <c r="H1408" s="220"/>
      <c r="I1408" s="217"/>
      <c r="J1408" s="217"/>
      <c r="K1408" s="217"/>
      <c r="L1408" s="217"/>
      <c r="M1408" s="217"/>
      <c r="N1408" s="217"/>
      <c r="O1408" s="44"/>
      <c r="P1408" s="44"/>
      <c r="Q1408" s="44"/>
      <c r="R1408" s="44"/>
      <c r="S1408" s="44"/>
      <c r="T1408" s="44"/>
      <c r="U1408" s="44"/>
      <c r="V1408" s="44"/>
      <c r="W1408" s="44"/>
      <c r="X1408" s="44"/>
      <c r="Y1408" s="44"/>
      <c r="Z1408" s="44"/>
      <c r="AA1408" s="44"/>
      <c r="AB1408" s="44"/>
      <c r="AC1408" s="44"/>
      <c r="AD1408" s="44"/>
      <c r="AE1408" s="44"/>
      <c r="AF1408" s="44"/>
      <c r="AG1408" s="44"/>
      <c r="AH1408" s="44"/>
      <c r="AI1408" s="44"/>
      <c r="AJ1408" s="44"/>
      <c r="AK1408" s="44"/>
      <c r="AL1408" s="44"/>
      <c r="AM1408" s="44"/>
      <c r="AN1408" s="44"/>
      <c r="AO1408" s="44"/>
      <c r="AP1408" s="44"/>
      <c r="AQ1408" s="44"/>
      <c r="BA1408" s="5"/>
      <c r="BB1408" s="5"/>
      <c r="BC1408" s="5"/>
      <c r="BD1408" s="5"/>
      <c r="BE1408" s="63"/>
      <c r="BF1408" s="63"/>
      <c r="BG1408" s="63"/>
      <c r="CA1408" s="256"/>
      <c r="CB1408" s="261"/>
      <c r="CC1408" s="255"/>
      <c r="CD1408" s="261"/>
      <c r="CE1408" s="261"/>
      <c r="CF1408" s="261"/>
      <c r="CG1408" s="53"/>
      <c r="CH1408" s="53"/>
      <c r="CI1408" s="53"/>
      <c r="CJ1408" s="53"/>
      <c r="CK1408" s="53"/>
      <c r="CL1408" s="53"/>
      <c r="CN1408" s="53"/>
      <c r="CO1408" s="53"/>
      <c r="CP1408" s="53"/>
      <c r="CQ1408" s="53"/>
      <c r="CR1408" s="53"/>
      <c r="CS1408" s="53"/>
      <c r="CT1408" s="261"/>
      <c r="CU1408" s="261"/>
      <c r="CV1408" s="261"/>
      <c r="CW1408" s="261"/>
      <c r="CX1408" s="261"/>
      <c r="CY1408" s="255"/>
    </row>
    <row r="1409" spans="1:103" ht="10.25" customHeight="1">
      <c r="A1409" s="371"/>
      <c r="B1409" s="371"/>
      <c r="C1409" s="371"/>
      <c r="D1409" s="269"/>
      <c r="L1409" s="269"/>
      <c r="M1409" s="269"/>
      <c r="N1409" s="269"/>
      <c r="O1409" s="63"/>
      <c r="P1409" s="63"/>
      <c r="Q1409" s="63"/>
      <c r="R1409" s="63"/>
      <c r="S1409" s="63"/>
      <c r="T1409" s="63"/>
      <c r="U1409" s="63"/>
      <c r="V1409" s="63"/>
      <c r="W1409" s="63"/>
      <c r="X1409" s="63"/>
      <c r="Y1409" s="63"/>
      <c r="Z1409" s="63"/>
      <c r="AA1409" s="63"/>
      <c r="AB1409" s="63"/>
      <c r="AC1409" s="63"/>
      <c r="AD1409" s="63"/>
      <c r="AE1409" s="63"/>
      <c r="AF1409" s="63"/>
      <c r="AG1409" s="63"/>
      <c r="AH1409" s="63"/>
      <c r="AI1409" s="63"/>
      <c r="AJ1409" s="63"/>
      <c r="AK1409" s="63"/>
      <c r="AL1409" s="63"/>
      <c r="AM1409" s="63"/>
      <c r="AN1409" s="63"/>
      <c r="AO1409" s="63"/>
      <c r="AP1409" s="63"/>
      <c r="AQ1409" s="63"/>
      <c r="CA1409" s="256"/>
      <c r="CB1409" s="261"/>
      <c r="CC1409" s="255"/>
      <c r="CD1409" s="261"/>
      <c r="CE1409" s="261"/>
      <c r="CF1409" s="261"/>
      <c r="CG1409" s="261"/>
      <c r="CH1409" s="261"/>
      <c r="CI1409" s="261"/>
      <c r="CJ1409" s="261"/>
      <c r="CK1409" s="261"/>
      <c r="CL1409" s="255"/>
      <c r="CN1409" s="256"/>
      <c r="CO1409" s="256"/>
      <c r="CP1409" s="261"/>
      <c r="CQ1409" s="261"/>
      <c r="CR1409" s="255"/>
      <c r="CS1409" s="261"/>
      <c r="CT1409" s="261"/>
      <c r="CU1409" s="261"/>
      <c r="CV1409" s="261"/>
      <c r="CW1409" s="261"/>
      <c r="CX1409" s="261"/>
      <c r="CY1409" s="255"/>
    </row>
    <row r="1410" spans="1:103" ht="12.65" customHeight="1">
      <c r="A1410" s="270"/>
      <c r="C1410" s="271"/>
      <c r="D1410" s="372"/>
      <c r="E1410" s="372"/>
      <c r="F1410" s="272"/>
      <c r="G1410" s="272"/>
      <c r="H1410" s="273"/>
      <c r="L1410" s="269"/>
      <c r="M1410" s="269"/>
      <c r="N1410" s="269"/>
      <c r="O1410" s="63"/>
      <c r="P1410" s="63"/>
      <c r="Q1410" s="63"/>
      <c r="R1410" s="63"/>
      <c r="S1410" s="63"/>
      <c r="T1410" s="63"/>
      <c r="U1410" s="63"/>
      <c r="V1410" s="63"/>
      <c r="W1410" s="63"/>
      <c r="X1410" s="63"/>
      <c r="Y1410" s="63"/>
      <c r="Z1410" s="63"/>
      <c r="AA1410" s="63"/>
      <c r="AB1410" s="63"/>
      <c r="AC1410" s="63"/>
      <c r="AD1410" s="63"/>
      <c r="AE1410" s="63"/>
      <c r="AF1410" s="63"/>
      <c r="AG1410" s="63"/>
      <c r="AH1410" s="63"/>
      <c r="AI1410" s="63"/>
      <c r="AJ1410" s="63"/>
      <c r="AK1410" s="63"/>
      <c r="AL1410" s="63"/>
      <c r="AM1410" s="63"/>
      <c r="AN1410" s="63"/>
      <c r="AO1410" s="63"/>
      <c r="AP1410" s="63"/>
      <c r="AQ1410" s="63"/>
      <c r="CA1410" s="256"/>
      <c r="CB1410" s="261"/>
      <c r="CC1410" s="255"/>
      <c r="CD1410" s="261"/>
      <c r="CE1410" s="261"/>
      <c r="CF1410" s="261"/>
      <c r="CG1410" s="261"/>
      <c r="CH1410" s="261"/>
      <c r="CI1410" s="261"/>
      <c r="CJ1410" s="261"/>
      <c r="CK1410" s="255"/>
      <c r="CL1410" s="255"/>
      <c r="CN1410" s="256"/>
      <c r="CO1410" s="256"/>
      <c r="CP1410" s="261"/>
      <c r="CQ1410" s="261"/>
      <c r="CR1410" s="255"/>
      <c r="CS1410" s="261"/>
      <c r="CT1410" s="261"/>
      <c r="CU1410" s="261"/>
      <c r="CV1410" s="261"/>
      <c r="CW1410" s="261"/>
      <c r="CX1410" s="255"/>
      <c r="CY1410" s="255"/>
    </row>
    <row r="1411" spans="1:103" ht="10.25" customHeight="1">
      <c r="A1411" s="270"/>
      <c r="D1411" s="372"/>
      <c r="E1411" s="372"/>
      <c r="F1411" s="272"/>
      <c r="G1411" s="272"/>
      <c r="H1411" s="273"/>
      <c r="L1411" s="269"/>
      <c r="M1411" s="269"/>
      <c r="N1411" s="269"/>
      <c r="O1411" s="63"/>
      <c r="P1411" s="63"/>
      <c r="Q1411" s="63"/>
      <c r="R1411" s="63"/>
      <c r="S1411" s="63"/>
      <c r="T1411" s="63"/>
      <c r="U1411" s="63"/>
      <c r="V1411" s="63"/>
      <c r="W1411" s="63"/>
      <c r="X1411" s="63"/>
      <c r="Y1411" s="63"/>
      <c r="Z1411" s="63"/>
      <c r="AA1411" s="63"/>
      <c r="AB1411" s="63"/>
      <c r="AC1411" s="63"/>
      <c r="AD1411" s="63"/>
      <c r="AE1411" s="63"/>
      <c r="AF1411" s="63"/>
      <c r="AG1411" s="63"/>
      <c r="AH1411" s="63"/>
      <c r="AI1411" s="63"/>
      <c r="AJ1411" s="63"/>
      <c r="AK1411" s="63"/>
      <c r="AL1411" s="63"/>
      <c r="AM1411" s="63"/>
      <c r="AN1411" s="63"/>
      <c r="AO1411" s="63"/>
      <c r="AP1411" s="63"/>
      <c r="AQ1411" s="63"/>
      <c r="CA1411" s="256"/>
      <c r="CB1411" s="261"/>
      <c r="CC1411" s="255"/>
      <c r="CD1411" s="261"/>
      <c r="CE1411" s="261"/>
      <c r="CF1411" s="261"/>
      <c r="CG1411" s="261"/>
      <c r="CH1411" s="261"/>
      <c r="CI1411" s="261"/>
      <c r="CJ1411" s="261"/>
      <c r="CK1411" s="261"/>
      <c r="CL1411" s="255"/>
      <c r="CN1411" s="256"/>
      <c r="CO1411" s="256"/>
      <c r="CP1411" s="261"/>
      <c r="CQ1411" s="261"/>
      <c r="CR1411" s="255"/>
      <c r="CS1411" s="261"/>
      <c r="CT1411" s="261"/>
      <c r="CU1411" s="261"/>
      <c r="CV1411" s="261"/>
      <c r="CW1411" s="261"/>
      <c r="CX1411" s="261"/>
      <c r="CY1411" s="255"/>
    </row>
    <row r="1412" spans="1:103" ht="10.25" customHeight="1">
      <c r="C1412" s="270"/>
      <c r="D1412" s="274"/>
      <c r="E1412" s="214"/>
      <c r="F1412" s="272"/>
      <c r="G1412" s="272"/>
      <c r="H1412" s="272"/>
      <c r="I1412" s="273"/>
      <c r="J1412" s="273"/>
      <c r="K1412" s="273"/>
      <c r="L1412" s="275"/>
      <c r="M1412" s="269"/>
      <c r="N1412" s="269"/>
      <c r="O1412" s="63"/>
      <c r="P1412" s="63"/>
      <c r="Q1412" s="63"/>
      <c r="R1412" s="63"/>
      <c r="S1412" s="63"/>
      <c r="T1412" s="63"/>
      <c r="U1412" s="63"/>
      <c r="V1412" s="63"/>
      <c r="W1412" s="63"/>
      <c r="X1412" s="63"/>
      <c r="Y1412" s="63"/>
      <c r="Z1412" s="63"/>
      <c r="AA1412" s="63"/>
      <c r="AB1412" s="63"/>
      <c r="AC1412" s="63"/>
      <c r="AD1412" s="63"/>
      <c r="AE1412" s="63"/>
      <c r="AF1412" s="63"/>
      <c r="AG1412" s="63"/>
      <c r="AH1412" s="63"/>
      <c r="AI1412" s="63"/>
      <c r="AJ1412" s="63"/>
      <c r="AK1412" s="63"/>
      <c r="AL1412" s="63"/>
      <c r="AM1412" s="63"/>
      <c r="AN1412" s="63"/>
      <c r="AO1412" s="63"/>
      <c r="AP1412" s="63"/>
      <c r="AQ1412" s="63"/>
      <c r="CA1412" s="256"/>
      <c r="CB1412" s="261"/>
      <c r="CC1412" s="255"/>
      <c r="CD1412" s="261"/>
      <c r="CE1412" s="261"/>
      <c r="CF1412" s="261"/>
      <c r="CG1412" s="261"/>
      <c r="CH1412" s="261"/>
      <c r="CI1412" s="261"/>
      <c r="CJ1412" s="261"/>
      <c r="CK1412" s="261"/>
      <c r="CL1412" s="255"/>
      <c r="CN1412" s="256"/>
      <c r="CO1412" s="256"/>
      <c r="CP1412" s="261"/>
      <c r="CQ1412" s="261"/>
      <c r="CR1412" s="255"/>
      <c r="CS1412" s="261"/>
      <c r="CT1412" s="261"/>
      <c r="CU1412" s="261"/>
      <c r="CV1412" s="261"/>
      <c r="CW1412" s="261"/>
      <c r="CX1412" s="261"/>
      <c r="CY1412" s="255"/>
    </row>
    <row r="1413" spans="1:103" ht="10.25" customHeight="1">
      <c r="A1413" s="270"/>
      <c r="D1413" s="372"/>
      <c r="E1413" s="372"/>
      <c r="F1413" s="272"/>
      <c r="G1413" s="272"/>
      <c r="H1413" s="272"/>
      <c r="I1413" s="273"/>
      <c r="J1413" s="273"/>
      <c r="K1413" s="273"/>
      <c r="L1413" s="275"/>
      <c r="M1413" s="269"/>
      <c r="N1413" s="269"/>
      <c r="O1413" s="63"/>
      <c r="P1413" s="63"/>
      <c r="Q1413" s="63"/>
      <c r="R1413" s="63"/>
      <c r="S1413" s="63"/>
      <c r="T1413" s="63"/>
      <c r="U1413" s="63"/>
      <c r="V1413" s="63"/>
      <c r="W1413" s="63"/>
      <c r="X1413" s="63"/>
      <c r="Y1413" s="63"/>
      <c r="Z1413" s="63"/>
      <c r="AA1413" s="63"/>
      <c r="AB1413" s="63"/>
      <c r="AC1413" s="63"/>
      <c r="AD1413" s="63"/>
      <c r="AE1413" s="63"/>
      <c r="AF1413" s="63"/>
      <c r="AG1413" s="63"/>
      <c r="AH1413" s="63"/>
      <c r="AI1413" s="63"/>
      <c r="AJ1413" s="63"/>
      <c r="AK1413" s="63"/>
      <c r="AL1413" s="63"/>
      <c r="AM1413" s="63"/>
      <c r="AN1413" s="63"/>
      <c r="AO1413" s="63"/>
      <c r="AP1413" s="63"/>
      <c r="AQ1413" s="63"/>
      <c r="CA1413" s="256"/>
      <c r="CB1413" s="261"/>
      <c r="CC1413" s="255"/>
      <c r="CD1413" s="261"/>
      <c r="CE1413" s="261"/>
      <c r="CF1413" s="261"/>
      <c r="CG1413" s="261"/>
      <c r="CH1413" s="261"/>
      <c r="CI1413" s="255"/>
      <c r="CJ1413" s="255"/>
      <c r="CK1413" s="261"/>
      <c r="CL1413" s="255"/>
      <c r="CN1413" s="256"/>
      <c r="CO1413" s="256"/>
      <c r="CP1413" s="261"/>
      <c r="CQ1413" s="261"/>
      <c r="CR1413" s="255"/>
      <c r="CS1413" s="261"/>
      <c r="CT1413" s="261"/>
      <c r="CU1413" s="261"/>
      <c r="CV1413" s="261"/>
      <c r="CW1413" s="255"/>
      <c r="CX1413" s="261"/>
      <c r="CY1413" s="255"/>
    </row>
    <row r="1414" spans="1:103" ht="10.25" customHeight="1">
      <c r="A1414" s="270"/>
      <c r="D1414" s="372"/>
      <c r="E1414" s="372"/>
      <c r="F1414" s="272"/>
      <c r="G1414" s="272"/>
      <c r="H1414" s="272"/>
      <c r="I1414" s="273"/>
      <c r="J1414" s="273"/>
      <c r="K1414" s="273"/>
      <c r="L1414" s="275"/>
      <c r="M1414" s="269"/>
      <c r="N1414" s="269"/>
      <c r="O1414" s="63"/>
      <c r="P1414" s="63"/>
      <c r="Q1414" s="63"/>
      <c r="R1414" s="63"/>
      <c r="S1414" s="63"/>
      <c r="T1414" s="63"/>
      <c r="U1414" s="63"/>
      <c r="V1414" s="63"/>
      <c r="W1414" s="63"/>
      <c r="X1414" s="63"/>
      <c r="Y1414" s="63"/>
      <c r="Z1414" s="63"/>
      <c r="AA1414" s="63"/>
      <c r="AB1414" s="63"/>
      <c r="AC1414" s="63"/>
      <c r="AD1414" s="63"/>
      <c r="AE1414" s="63"/>
      <c r="AF1414" s="63"/>
      <c r="AG1414" s="63"/>
      <c r="AH1414" s="63"/>
      <c r="AI1414" s="63"/>
      <c r="AJ1414" s="63"/>
      <c r="AK1414" s="63"/>
      <c r="AL1414" s="63"/>
      <c r="AM1414" s="63"/>
      <c r="AN1414" s="63"/>
      <c r="AO1414" s="63"/>
      <c r="AP1414" s="63"/>
      <c r="AQ1414" s="63"/>
      <c r="CA1414" s="256"/>
      <c r="CB1414" s="261"/>
      <c r="CC1414" s="255"/>
      <c r="CD1414" s="261"/>
      <c r="CE1414" s="261"/>
      <c r="CF1414" s="261"/>
      <c r="CG1414" s="255"/>
      <c r="CH1414" s="255"/>
      <c r="CI1414" s="261"/>
      <c r="CJ1414" s="261"/>
      <c r="CK1414" s="261"/>
      <c r="CL1414" s="255"/>
      <c r="CN1414" s="256"/>
      <c r="CO1414" s="256"/>
      <c r="CP1414" s="261"/>
      <c r="CQ1414" s="261"/>
      <c r="CR1414" s="255"/>
      <c r="CS1414" s="261"/>
      <c r="CT1414" s="261"/>
      <c r="CU1414" s="261"/>
      <c r="CV1414" s="255"/>
      <c r="CW1414" s="261"/>
      <c r="CX1414" s="261"/>
      <c r="CY1414" s="255"/>
    </row>
    <row r="1415" spans="1:103" ht="10.25" customHeight="1">
      <c r="A1415" s="270"/>
      <c r="D1415" s="372"/>
      <c r="E1415" s="372"/>
      <c r="F1415" s="272"/>
      <c r="G1415" s="272"/>
      <c r="H1415" s="272"/>
      <c r="I1415" s="273"/>
      <c r="J1415" s="273"/>
      <c r="K1415" s="273"/>
      <c r="L1415" s="275"/>
      <c r="M1415" s="269"/>
      <c r="N1415" s="269"/>
      <c r="O1415" s="63"/>
      <c r="P1415" s="63"/>
      <c r="Q1415" s="63"/>
      <c r="R1415" s="63"/>
      <c r="S1415" s="63"/>
      <c r="T1415" s="63"/>
      <c r="U1415" s="63"/>
      <c r="V1415" s="63"/>
      <c r="W1415" s="63"/>
      <c r="X1415" s="63"/>
      <c r="Y1415" s="63"/>
      <c r="Z1415" s="63"/>
      <c r="AA1415" s="63"/>
      <c r="AB1415" s="63"/>
      <c r="AC1415" s="63"/>
      <c r="AD1415" s="63"/>
      <c r="AE1415" s="63"/>
      <c r="AF1415" s="63"/>
      <c r="AG1415" s="63"/>
      <c r="AH1415" s="63"/>
      <c r="AI1415" s="63"/>
      <c r="AJ1415" s="63"/>
      <c r="AK1415" s="63"/>
      <c r="AL1415" s="63"/>
      <c r="AM1415" s="63"/>
      <c r="AN1415" s="63"/>
      <c r="AO1415" s="63"/>
      <c r="AP1415" s="63"/>
      <c r="AQ1415" s="63"/>
      <c r="CA1415" s="256"/>
      <c r="CB1415" s="261"/>
      <c r="CC1415" s="255"/>
      <c r="CD1415" s="261"/>
      <c r="CE1415" s="261"/>
      <c r="CF1415" s="261"/>
      <c r="CG1415" s="255"/>
      <c r="CH1415" s="255"/>
      <c r="CI1415" s="261"/>
      <c r="CJ1415" s="261"/>
      <c r="CK1415" s="261"/>
      <c r="CL1415" s="255"/>
      <c r="CN1415" s="256"/>
      <c r="CO1415" s="256"/>
      <c r="CP1415" s="261"/>
      <c r="CQ1415" s="261"/>
      <c r="CR1415" s="255"/>
      <c r="CS1415" s="261"/>
      <c r="CT1415" s="261"/>
      <c r="CU1415" s="261"/>
      <c r="CV1415" s="255"/>
      <c r="CW1415" s="261"/>
      <c r="CX1415" s="261"/>
      <c r="CY1415" s="255"/>
    </row>
    <row r="1416" spans="1:103" ht="10.25" customHeight="1">
      <c r="A1416" s="270"/>
      <c r="D1416" s="372"/>
      <c r="E1416" s="372"/>
      <c r="F1416" s="272"/>
      <c r="G1416" s="272"/>
      <c r="H1416" s="272"/>
      <c r="I1416" s="375"/>
      <c r="J1416" s="375"/>
      <c r="K1416" s="375"/>
      <c r="L1416" s="375"/>
      <c r="M1416" s="269"/>
      <c r="N1416" s="269"/>
      <c r="O1416" s="63"/>
      <c r="P1416" s="63"/>
      <c r="Q1416" s="63"/>
      <c r="R1416" s="63"/>
      <c r="S1416" s="63"/>
      <c r="T1416" s="63"/>
      <c r="U1416" s="63"/>
      <c r="V1416" s="63"/>
      <c r="W1416" s="63"/>
      <c r="X1416" s="63"/>
      <c r="Y1416" s="63"/>
      <c r="Z1416" s="63"/>
      <c r="AA1416" s="63"/>
      <c r="AB1416" s="63"/>
      <c r="AC1416" s="63"/>
      <c r="AD1416" s="63"/>
      <c r="AE1416" s="63"/>
      <c r="AF1416" s="63"/>
      <c r="AG1416" s="63"/>
      <c r="AH1416" s="63"/>
      <c r="AI1416" s="63"/>
      <c r="AJ1416" s="63"/>
      <c r="AK1416" s="63"/>
      <c r="AL1416" s="63"/>
      <c r="AM1416" s="63"/>
      <c r="AN1416" s="63"/>
      <c r="AO1416" s="63"/>
      <c r="AP1416" s="63"/>
      <c r="AQ1416" s="63"/>
      <c r="CA1416" s="256"/>
      <c r="CB1416" s="261"/>
      <c r="CC1416" s="255"/>
      <c r="CD1416" s="261"/>
      <c r="CE1416" s="261"/>
      <c r="CF1416" s="261"/>
      <c r="CG1416" s="261"/>
      <c r="CH1416" s="261"/>
      <c r="CI1416" s="261"/>
      <c r="CJ1416" s="261"/>
      <c r="CK1416" s="261"/>
      <c r="CL1416" s="255"/>
      <c r="CN1416" s="256"/>
      <c r="CO1416" s="256"/>
      <c r="CP1416" s="261"/>
      <c r="CQ1416" s="261"/>
      <c r="CR1416" s="255"/>
      <c r="CS1416" s="261"/>
      <c r="CT1416" s="261"/>
      <c r="CU1416" s="261"/>
      <c r="CV1416" s="261"/>
      <c r="CW1416" s="261"/>
      <c r="CX1416" s="261"/>
      <c r="CY1416" s="255"/>
    </row>
    <row r="1417" spans="1:103" ht="10.25" customHeight="1">
      <c r="A1417" s="270"/>
      <c r="D1417" s="372"/>
      <c r="E1417" s="372"/>
      <c r="H1417" s="209"/>
      <c r="I1417" s="213"/>
      <c r="J1417" s="213"/>
      <c r="K1417" s="213"/>
      <c r="L1417" s="213"/>
      <c r="M1417" s="213"/>
      <c r="N1417" s="213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CA1417" s="256"/>
      <c r="CB1417" s="261"/>
      <c r="CC1417" s="255"/>
      <c r="CD1417" s="261"/>
      <c r="CE1417" s="261"/>
      <c r="CF1417" s="261"/>
      <c r="CG1417" s="261"/>
      <c r="CH1417" s="261"/>
      <c r="CI1417" s="261"/>
      <c r="CJ1417" s="261"/>
      <c r="CK1417" s="261"/>
      <c r="CL1417" s="255"/>
      <c r="CN1417" s="256"/>
      <c r="CO1417" s="256"/>
      <c r="CP1417" s="261"/>
      <c r="CQ1417" s="261"/>
      <c r="CR1417" s="255"/>
      <c r="CS1417" s="261"/>
      <c r="CT1417" s="261"/>
      <c r="CU1417" s="261"/>
      <c r="CV1417" s="261"/>
      <c r="CW1417" s="261"/>
      <c r="CX1417" s="261"/>
      <c r="CY1417" s="255"/>
    </row>
    <row r="1418" spans="1:103" ht="10.25" customHeight="1">
      <c r="A1418" s="270"/>
      <c r="C1418" s="269"/>
      <c r="D1418" s="275"/>
      <c r="E1418" s="275"/>
      <c r="F1418" s="209"/>
      <c r="G1418" s="209"/>
      <c r="H1418" s="209"/>
      <c r="I1418" s="209"/>
      <c r="J1418" s="209"/>
      <c r="K1418" s="209"/>
      <c r="L1418" s="376"/>
      <c r="M1418" s="376"/>
      <c r="N1418" s="279"/>
      <c r="O1418" s="51"/>
      <c r="P1418" s="51"/>
      <c r="Q1418" s="51"/>
      <c r="R1418" s="51"/>
      <c r="S1418" s="51"/>
      <c r="T1418" s="51"/>
      <c r="U1418" s="51"/>
      <c r="V1418" s="51"/>
      <c r="W1418" s="51"/>
      <c r="X1418" s="51"/>
      <c r="Y1418" s="51"/>
      <c r="Z1418" s="51"/>
      <c r="AA1418" s="51"/>
      <c r="AB1418" s="51"/>
      <c r="AC1418" s="51"/>
      <c r="AD1418" s="51"/>
      <c r="AE1418" s="51"/>
      <c r="AF1418" s="51"/>
      <c r="AG1418" s="51"/>
      <c r="AH1418" s="51"/>
      <c r="AI1418" s="51"/>
      <c r="AJ1418" s="51"/>
      <c r="AK1418" s="51"/>
      <c r="AL1418" s="51"/>
      <c r="AM1418" s="51"/>
      <c r="AN1418" s="51"/>
      <c r="AO1418" s="51"/>
      <c r="AP1418" s="51"/>
      <c r="AQ1418" s="51"/>
      <c r="CA1418" s="256"/>
      <c r="CB1418" s="261"/>
      <c r="CC1418" s="255"/>
      <c r="CD1418" s="261"/>
      <c r="CE1418" s="261"/>
      <c r="CF1418" s="261"/>
      <c r="CG1418" s="261"/>
      <c r="CH1418" s="261"/>
      <c r="CI1418" s="261"/>
      <c r="CJ1418" s="261"/>
      <c r="CK1418" s="261"/>
      <c r="CL1418" s="255"/>
      <c r="CN1418" s="256"/>
      <c r="CO1418" s="256"/>
      <c r="CP1418" s="261"/>
      <c r="CQ1418" s="261"/>
      <c r="CR1418" s="255"/>
      <c r="CS1418" s="261"/>
      <c r="CT1418" s="261"/>
      <c r="CU1418" s="261"/>
      <c r="CV1418" s="261"/>
      <c r="CW1418" s="261"/>
      <c r="CX1418" s="261"/>
      <c r="CY1418" s="255"/>
    </row>
    <row r="1419" spans="1:103" ht="10.25" customHeight="1">
      <c r="A1419" s="270"/>
      <c r="C1419" s="269"/>
      <c r="D1419" s="269"/>
      <c r="F1419" s="209"/>
      <c r="G1419" s="209"/>
      <c r="H1419" s="276"/>
      <c r="I1419" s="276"/>
      <c r="J1419" s="276"/>
      <c r="K1419" s="276"/>
      <c r="L1419" s="374"/>
      <c r="M1419" s="374"/>
      <c r="N1419" s="213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CA1419" s="256"/>
      <c r="CB1419" s="261"/>
      <c r="CC1419" s="255"/>
      <c r="CD1419" s="261"/>
      <c r="CE1419" s="261"/>
      <c r="CF1419" s="261"/>
      <c r="CG1419" s="261"/>
      <c r="CH1419" s="261"/>
      <c r="CI1419" s="261"/>
      <c r="CJ1419" s="261"/>
      <c r="CK1419" s="261"/>
      <c r="CL1419" s="255"/>
      <c r="CN1419" s="256"/>
      <c r="CO1419" s="256"/>
      <c r="CP1419" s="261"/>
      <c r="CQ1419" s="261"/>
      <c r="CR1419" s="255"/>
      <c r="CS1419" s="261"/>
      <c r="CT1419" s="261"/>
      <c r="CU1419" s="261"/>
      <c r="CV1419" s="261"/>
      <c r="CW1419" s="261"/>
      <c r="CX1419" s="261"/>
      <c r="CY1419" s="255"/>
    </row>
    <row r="1420" spans="1:103" ht="10.25" customHeight="1">
      <c r="A1420" s="270"/>
      <c r="D1420" s="269"/>
      <c r="F1420" s="208"/>
      <c r="G1420" s="208"/>
      <c r="H1420" s="277"/>
      <c r="I1420" s="277"/>
      <c r="J1420" s="277"/>
      <c r="K1420" s="277"/>
      <c r="L1420" s="372"/>
      <c r="M1420" s="372"/>
      <c r="N1420" s="214"/>
      <c r="O1420" s="41"/>
      <c r="P1420" s="41"/>
      <c r="Q1420" s="41"/>
      <c r="R1420" s="41"/>
      <c r="S1420" s="41"/>
      <c r="T1420" s="41"/>
      <c r="U1420" s="41"/>
      <c r="V1420" s="41"/>
      <c r="W1420" s="41"/>
      <c r="X1420" s="41"/>
      <c r="Y1420" s="41"/>
      <c r="Z1420" s="41"/>
      <c r="AA1420" s="41"/>
      <c r="AB1420" s="41"/>
      <c r="AC1420" s="41"/>
      <c r="AD1420" s="41"/>
      <c r="AE1420" s="41"/>
      <c r="AF1420" s="41"/>
      <c r="AG1420" s="41"/>
      <c r="AH1420" s="41"/>
      <c r="AI1420" s="41"/>
      <c r="AJ1420" s="41"/>
      <c r="AK1420" s="41"/>
      <c r="AL1420" s="41"/>
      <c r="AM1420" s="41"/>
      <c r="AN1420" s="41"/>
      <c r="AO1420" s="41"/>
      <c r="AP1420" s="41"/>
      <c r="AQ1420" s="41"/>
      <c r="CA1420" s="256"/>
      <c r="CB1420" s="261"/>
      <c r="CC1420" s="255"/>
      <c r="CD1420" s="261"/>
      <c r="CE1420" s="261"/>
      <c r="CF1420" s="261"/>
      <c r="CG1420" s="261"/>
      <c r="CH1420" s="261"/>
      <c r="CI1420" s="261"/>
      <c r="CJ1420" s="261"/>
      <c r="CK1420" s="261"/>
      <c r="CL1420" s="255"/>
      <c r="CN1420" s="256"/>
      <c r="CO1420" s="256"/>
      <c r="CP1420" s="261"/>
      <c r="CQ1420" s="261"/>
      <c r="CR1420" s="255"/>
      <c r="CS1420" s="261"/>
      <c r="CT1420" s="261"/>
      <c r="CU1420" s="261"/>
      <c r="CV1420" s="261"/>
      <c r="CW1420" s="261"/>
      <c r="CX1420" s="261"/>
      <c r="CY1420" s="255"/>
    </row>
    <row r="1421" spans="1:103" ht="10.25" customHeight="1">
      <c r="CA1421" s="256"/>
      <c r="CB1421" s="261"/>
      <c r="CC1421" s="255"/>
      <c r="CD1421" s="261"/>
      <c r="CE1421" s="261"/>
      <c r="CF1421" s="255"/>
      <c r="CG1421" s="261"/>
      <c r="CH1421" s="261"/>
      <c r="CI1421" s="261"/>
      <c r="CJ1421" s="261"/>
      <c r="CK1421" s="261"/>
      <c r="CL1421" s="255"/>
      <c r="CN1421" s="256"/>
      <c r="CO1421" s="256"/>
      <c r="CP1421" s="261"/>
      <c r="CQ1421" s="261"/>
      <c r="CR1421" s="255"/>
      <c r="CS1421" s="261"/>
      <c r="CT1421" s="261"/>
      <c r="CU1421" s="255"/>
      <c r="CV1421" s="261"/>
      <c r="CW1421" s="261"/>
      <c r="CX1421" s="261"/>
      <c r="CY1421" s="255"/>
    </row>
    <row r="1422" spans="1:103" ht="10.25" customHeight="1">
      <c r="C1422" s="278"/>
      <c r="CA1422" s="256"/>
      <c r="CB1422" s="261"/>
      <c r="CC1422" s="255"/>
      <c r="CD1422" s="261"/>
      <c r="CE1422" s="261"/>
      <c r="CF1422" s="255"/>
      <c r="CG1422" s="261"/>
      <c r="CH1422" s="261"/>
      <c r="CI1422" s="261"/>
      <c r="CJ1422" s="261"/>
      <c r="CK1422" s="261"/>
      <c r="CL1422" s="255"/>
      <c r="CN1422" s="256"/>
      <c r="CO1422" s="256"/>
      <c r="CP1422" s="261"/>
      <c r="CQ1422" s="261"/>
      <c r="CR1422" s="255"/>
      <c r="CS1422" s="261"/>
      <c r="CT1422" s="261"/>
      <c r="CU1422" s="255"/>
      <c r="CV1422" s="261"/>
      <c r="CW1422" s="261"/>
      <c r="CX1422" s="261"/>
      <c r="CY1422" s="255"/>
    </row>
    <row r="1423" spans="1:103" ht="10.25" customHeight="1">
      <c r="C1423" s="278"/>
      <c r="F1423" s="377"/>
      <c r="G1423" s="377"/>
      <c r="H1423" s="377"/>
      <c r="I1423" s="377"/>
      <c r="J1423" s="377"/>
      <c r="K1423" s="377"/>
      <c r="L1423" s="377"/>
      <c r="M1423" s="377"/>
      <c r="N1423" s="269"/>
      <c r="O1423" s="63"/>
      <c r="P1423" s="63"/>
      <c r="Q1423" s="63"/>
      <c r="R1423" s="63"/>
      <c r="S1423" s="63"/>
      <c r="T1423" s="63"/>
      <c r="U1423" s="63"/>
      <c r="V1423" s="63"/>
      <c r="W1423" s="63"/>
      <c r="X1423" s="63"/>
      <c r="Y1423" s="63"/>
      <c r="Z1423" s="63"/>
      <c r="AA1423" s="63"/>
      <c r="AB1423" s="63"/>
      <c r="AC1423" s="63"/>
      <c r="AD1423" s="63"/>
      <c r="AE1423" s="63"/>
      <c r="AF1423" s="63"/>
      <c r="AG1423" s="63"/>
      <c r="AH1423" s="63"/>
      <c r="AI1423" s="63"/>
      <c r="AJ1423" s="63"/>
      <c r="AK1423" s="63"/>
      <c r="AL1423" s="63"/>
      <c r="AM1423" s="63"/>
      <c r="AN1423" s="63"/>
      <c r="AO1423" s="63"/>
      <c r="AP1423" s="63"/>
      <c r="AQ1423" s="63"/>
      <c r="CA1423" s="256"/>
      <c r="CB1423" s="261"/>
      <c r="CC1423" s="255"/>
      <c r="CD1423" s="261"/>
      <c r="CE1423" s="261"/>
      <c r="CF1423" s="255"/>
      <c r="CG1423" s="261"/>
      <c r="CH1423" s="261"/>
      <c r="CI1423" s="261"/>
      <c r="CJ1423" s="261"/>
      <c r="CK1423" s="261"/>
      <c r="CL1423" s="255"/>
      <c r="CN1423" s="256"/>
      <c r="CO1423" s="256"/>
      <c r="CP1423" s="261"/>
      <c r="CQ1423" s="261"/>
      <c r="CR1423" s="255"/>
      <c r="CS1423" s="261"/>
      <c r="CT1423" s="261"/>
      <c r="CU1423" s="255"/>
      <c r="CV1423" s="261"/>
      <c r="CW1423" s="261"/>
      <c r="CX1423" s="261"/>
      <c r="CY1423" s="255"/>
    </row>
    <row r="1424" spans="1:103" ht="10.4" customHeight="1">
      <c r="C1424" s="278"/>
      <c r="F1424" s="377"/>
      <c r="G1424" s="377"/>
      <c r="H1424" s="377"/>
      <c r="I1424" s="377"/>
      <c r="J1424" s="377"/>
      <c r="K1424" s="377"/>
      <c r="L1424" s="377"/>
      <c r="M1424" s="377"/>
      <c r="N1424" s="269"/>
      <c r="O1424" s="63"/>
      <c r="P1424" s="63"/>
      <c r="Q1424" s="63"/>
      <c r="R1424" s="63"/>
      <c r="S1424" s="63"/>
      <c r="T1424" s="63"/>
      <c r="U1424" s="63"/>
      <c r="V1424" s="63"/>
      <c r="W1424" s="63"/>
      <c r="X1424" s="63"/>
      <c r="Y1424" s="63"/>
      <c r="Z1424" s="63"/>
      <c r="AA1424" s="63"/>
      <c r="AB1424" s="63"/>
      <c r="AC1424" s="63"/>
      <c r="AD1424" s="63"/>
      <c r="AE1424" s="63"/>
      <c r="AF1424" s="63"/>
      <c r="AG1424" s="63"/>
      <c r="AH1424" s="63"/>
      <c r="AI1424" s="63"/>
      <c r="AJ1424" s="63"/>
      <c r="AK1424" s="63"/>
      <c r="AL1424" s="63"/>
      <c r="AM1424" s="63"/>
      <c r="AN1424" s="63"/>
      <c r="AO1424" s="63"/>
      <c r="AP1424" s="63"/>
      <c r="AQ1424" s="63"/>
      <c r="AS1424" s="236"/>
      <c r="BE1424" s="63"/>
      <c r="BF1424" s="63"/>
      <c r="BG1424" s="63"/>
      <c r="BK1424" s="317"/>
      <c r="BL1424" s="5"/>
      <c r="BM1424" s="5"/>
      <c r="BN1424" s="5"/>
      <c r="BO1424" s="5"/>
      <c r="BP1424" s="5"/>
      <c r="BQ1424" s="5"/>
      <c r="BR1424" s="5"/>
      <c r="BS1424" s="5"/>
      <c r="BT1424" s="5"/>
      <c r="BV1424" s="317"/>
      <c r="CF1424" s="5"/>
      <c r="CG1424" s="5"/>
      <c r="CH1424" s="5"/>
      <c r="CI1424" s="5"/>
      <c r="CJ1424" s="5"/>
      <c r="CK1424" s="5"/>
      <c r="CL1424" s="5"/>
    </row>
    <row r="1425" spans="1:97" ht="10.25" customHeight="1">
      <c r="A1425" s="377"/>
      <c r="B1425" s="377"/>
      <c r="C1425" s="377"/>
      <c r="D1425" s="377"/>
      <c r="E1425" s="377"/>
      <c r="F1425" s="377"/>
      <c r="G1425" s="377"/>
      <c r="H1425" s="377"/>
      <c r="I1425" s="377"/>
      <c r="J1425" s="377"/>
      <c r="K1425" s="377"/>
      <c r="L1425" s="377"/>
      <c r="M1425" s="377"/>
      <c r="N1425" s="269"/>
      <c r="O1425" s="63"/>
      <c r="P1425" s="63"/>
      <c r="Q1425" s="63"/>
      <c r="R1425" s="63"/>
      <c r="S1425" s="63"/>
      <c r="T1425" s="63"/>
      <c r="U1425" s="63"/>
      <c r="V1425" s="63"/>
      <c r="W1425" s="63"/>
      <c r="X1425" s="63"/>
      <c r="Y1425" s="63"/>
      <c r="Z1425" s="63"/>
      <c r="AA1425" s="63"/>
      <c r="AB1425" s="63"/>
      <c r="AC1425" s="63"/>
      <c r="AD1425" s="63"/>
      <c r="AE1425" s="63"/>
      <c r="AF1425" s="63"/>
      <c r="AG1425" s="63"/>
      <c r="AH1425" s="63"/>
      <c r="AI1425" s="63"/>
      <c r="AJ1425" s="63"/>
      <c r="AK1425" s="63"/>
      <c r="AL1425" s="63"/>
      <c r="AM1425" s="63"/>
      <c r="AN1425" s="63"/>
      <c r="AO1425" s="63"/>
      <c r="AP1425" s="63"/>
      <c r="AQ1425" s="63"/>
      <c r="BE1425" s="63"/>
      <c r="BF1425" s="63"/>
      <c r="BG1425" s="63"/>
      <c r="BK1425" s="317"/>
      <c r="BL1425" s="5"/>
      <c r="BM1425" s="5"/>
      <c r="BN1425" s="5"/>
      <c r="BO1425" s="5"/>
      <c r="BP1425" s="5"/>
      <c r="BQ1425" s="5"/>
      <c r="BR1425" s="5"/>
      <c r="BS1425" s="5"/>
      <c r="BT1425" s="5"/>
      <c r="BV1425" s="317"/>
      <c r="CF1425" s="5"/>
      <c r="CG1425" s="5"/>
      <c r="CH1425" s="5"/>
      <c r="CI1425" s="5"/>
      <c r="CJ1425" s="5"/>
      <c r="CK1425" s="5"/>
      <c r="CL1425" s="5"/>
    </row>
    <row r="1426" spans="1:97" ht="10.25" customHeight="1">
      <c r="A1426" s="376"/>
      <c r="B1426" s="376"/>
      <c r="C1426" s="376"/>
      <c r="D1426" s="376"/>
      <c r="E1426" s="376"/>
      <c r="F1426" s="376"/>
      <c r="G1426" s="376"/>
      <c r="H1426" s="376"/>
      <c r="I1426" s="376"/>
      <c r="J1426" s="376"/>
      <c r="K1426" s="376"/>
      <c r="L1426" s="376"/>
      <c r="M1426" s="376"/>
      <c r="N1426" s="279"/>
      <c r="O1426" s="51"/>
      <c r="P1426" s="51"/>
      <c r="Q1426" s="51"/>
      <c r="R1426" s="51"/>
      <c r="S1426" s="51"/>
      <c r="T1426" s="51"/>
      <c r="U1426" s="51"/>
      <c r="V1426" s="51"/>
      <c r="W1426" s="51"/>
      <c r="X1426" s="51"/>
      <c r="Y1426" s="51"/>
      <c r="Z1426" s="51"/>
      <c r="AA1426" s="51"/>
      <c r="AB1426" s="51"/>
      <c r="AC1426" s="51"/>
      <c r="AD1426" s="51"/>
      <c r="AE1426" s="51"/>
      <c r="AF1426" s="51"/>
      <c r="AG1426" s="51"/>
      <c r="AH1426" s="51"/>
      <c r="AI1426" s="51"/>
      <c r="AJ1426" s="51"/>
      <c r="AK1426" s="51"/>
      <c r="AL1426" s="51"/>
      <c r="AM1426" s="51"/>
      <c r="AN1426" s="51"/>
      <c r="AO1426" s="51"/>
      <c r="AP1426" s="51"/>
      <c r="AQ1426" s="51"/>
      <c r="BE1426" s="63"/>
      <c r="BF1426" s="63"/>
      <c r="BG1426" s="63"/>
      <c r="BK1426" s="317"/>
      <c r="BL1426" s="5"/>
      <c r="BM1426" s="5"/>
      <c r="BN1426" s="5"/>
      <c r="BO1426" s="5"/>
      <c r="BP1426" s="5"/>
      <c r="BQ1426" s="5"/>
      <c r="BR1426" s="5"/>
      <c r="BS1426" s="5"/>
      <c r="BT1426" s="5"/>
      <c r="BV1426" s="317"/>
      <c r="CF1426" s="5"/>
      <c r="CG1426" s="5"/>
      <c r="CH1426" s="5"/>
      <c r="CI1426" s="5"/>
      <c r="CJ1426" s="5"/>
      <c r="CK1426" s="5"/>
      <c r="CL1426" s="5"/>
    </row>
    <row r="1427" spans="1:97" ht="10.25" customHeight="1">
      <c r="A1427" s="374"/>
      <c r="B1427" s="374"/>
      <c r="C1427" s="374"/>
      <c r="D1427" s="374"/>
      <c r="E1427" s="374"/>
      <c r="F1427" s="374"/>
      <c r="G1427" s="374"/>
      <c r="H1427" s="374"/>
      <c r="I1427" s="374"/>
      <c r="J1427" s="374"/>
      <c r="K1427" s="374"/>
      <c r="L1427" s="374"/>
      <c r="M1427" s="374"/>
      <c r="N1427" s="213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BE1427" s="63"/>
      <c r="BF1427" s="63"/>
      <c r="BG1427" s="63"/>
      <c r="BK1427" s="317"/>
      <c r="BL1427" s="5"/>
      <c r="BM1427" s="5"/>
      <c r="BN1427" s="5"/>
      <c r="BO1427" s="5"/>
      <c r="BP1427" s="5"/>
      <c r="BQ1427" s="5"/>
      <c r="BR1427" s="5"/>
      <c r="BS1427" s="5"/>
      <c r="BT1427" s="5"/>
      <c r="BV1427" s="317"/>
      <c r="CF1427" s="5"/>
      <c r="CG1427" s="5"/>
      <c r="CH1427" s="5"/>
      <c r="CI1427" s="5"/>
      <c r="CJ1427" s="5"/>
      <c r="CK1427" s="5"/>
      <c r="CL1427" s="5"/>
    </row>
    <row r="1428" spans="1:97" ht="6" customHeight="1">
      <c r="A1428" s="208"/>
      <c r="B1428" s="209"/>
      <c r="C1428" s="209"/>
      <c r="D1428" s="209"/>
      <c r="E1428" s="209"/>
      <c r="F1428" s="280"/>
      <c r="G1428" s="280"/>
      <c r="H1428" s="280"/>
      <c r="I1428" s="280"/>
      <c r="J1428" s="280"/>
      <c r="K1428" s="280"/>
      <c r="L1428" s="280"/>
      <c r="M1428" s="280"/>
      <c r="N1428" s="280"/>
      <c r="O1428" s="42"/>
      <c r="P1428" s="42"/>
      <c r="Q1428" s="42"/>
      <c r="R1428" s="42"/>
      <c r="S1428" s="42"/>
      <c r="T1428" s="42"/>
      <c r="U1428" s="42"/>
      <c r="V1428" s="42"/>
      <c r="W1428" s="42"/>
      <c r="X1428" s="42"/>
      <c r="Y1428" s="42"/>
      <c r="Z1428" s="42"/>
      <c r="AA1428" s="42"/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/>
      <c r="AN1428" s="42"/>
      <c r="AO1428" s="42"/>
      <c r="AP1428" s="42"/>
      <c r="AQ1428" s="42"/>
      <c r="BK1428" s="317"/>
      <c r="BL1428" s="5"/>
      <c r="BM1428" s="5"/>
      <c r="BN1428" s="5"/>
      <c r="BO1428" s="5"/>
      <c r="BP1428" s="5"/>
      <c r="BQ1428" s="5"/>
      <c r="BR1428" s="5"/>
      <c r="BS1428" s="5"/>
      <c r="BT1428" s="5"/>
      <c r="BV1428" s="317"/>
      <c r="CF1428" s="5"/>
      <c r="CG1428" s="5"/>
      <c r="CH1428" s="5"/>
      <c r="CI1428" s="5"/>
      <c r="CJ1428" s="5"/>
      <c r="CK1428" s="5"/>
      <c r="CL1428" s="5"/>
    </row>
    <row r="1429" spans="1:97" ht="10.25" customHeight="1">
      <c r="A1429" s="208"/>
      <c r="B1429" s="209"/>
      <c r="C1429" s="209"/>
      <c r="D1429" s="210"/>
      <c r="E1429" s="211"/>
      <c r="F1429" s="369"/>
      <c r="G1429" s="369"/>
      <c r="H1429" s="369"/>
      <c r="I1429" s="369"/>
      <c r="J1429" s="369"/>
      <c r="K1429" s="369"/>
      <c r="L1429" s="369"/>
      <c r="M1429" s="230"/>
      <c r="N1429" s="230"/>
      <c r="O1429" s="235"/>
      <c r="P1429" s="235"/>
      <c r="Q1429" s="235"/>
      <c r="R1429" s="235"/>
      <c r="S1429" s="235"/>
      <c r="T1429" s="235"/>
      <c r="U1429" s="235"/>
      <c r="V1429" s="235"/>
      <c r="W1429" s="235"/>
      <c r="X1429" s="235"/>
      <c r="Y1429" s="235"/>
      <c r="Z1429" s="235"/>
      <c r="AA1429" s="235"/>
      <c r="AB1429" s="235"/>
      <c r="AC1429" s="235"/>
      <c r="AD1429" s="235"/>
      <c r="AE1429" s="235"/>
      <c r="AF1429" s="235"/>
      <c r="AG1429" s="235"/>
      <c r="AH1429" s="235"/>
      <c r="AI1429" s="235"/>
      <c r="AJ1429" s="235"/>
      <c r="AK1429" s="235"/>
      <c r="AL1429" s="235"/>
      <c r="AM1429" s="235"/>
      <c r="AN1429" s="235"/>
      <c r="AO1429" s="235"/>
      <c r="AP1429" s="235"/>
      <c r="AQ1429" s="235"/>
      <c r="BK1429" s="317"/>
      <c r="BL1429" s="5"/>
      <c r="BM1429" s="5"/>
      <c r="BN1429" s="5"/>
      <c r="BO1429" s="5"/>
      <c r="BP1429" s="5"/>
      <c r="BQ1429" s="5"/>
      <c r="BR1429" s="5"/>
      <c r="BS1429" s="5"/>
      <c r="BT1429" s="5"/>
      <c r="BV1429" s="317"/>
      <c r="CF1429" s="5"/>
      <c r="CG1429" s="5"/>
      <c r="CH1429" s="5"/>
      <c r="CI1429" s="5"/>
      <c r="CJ1429" s="5"/>
      <c r="CK1429" s="5"/>
      <c r="CL1429" s="5"/>
    </row>
    <row r="1430" spans="1:97" ht="2" customHeight="1">
      <c r="A1430" s="209"/>
      <c r="B1430" s="209"/>
      <c r="C1430" s="212"/>
      <c r="D1430" s="213"/>
      <c r="E1430" s="209"/>
      <c r="F1430" s="209"/>
      <c r="G1430" s="209"/>
      <c r="H1430" s="209"/>
      <c r="I1430" s="209"/>
      <c r="J1430" s="209"/>
      <c r="K1430" s="209"/>
      <c r="L1430" s="209"/>
      <c r="M1430" s="209"/>
      <c r="N1430" s="209"/>
      <c r="O1430" s="46"/>
      <c r="P1430" s="46"/>
      <c r="Q1430" s="46"/>
      <c r="R1430" s="46"/>
      <c r="S1430" s="46"/>
      <c r="T1430" s="46"/>
      <c r="U1430" s="46"/>
      <c r="V1430" s="46"/>
      <c r="W1430" s="46"/>
      <c r="X1430" s="46"/>
      <c r="Y1430" s="46"/>
      <c r="Z1430" s="46"/>
      <c r="AA1430" s="46"/>
      <c r="AB1430" s="46"/>
      <c r="AC1430" s="46"/>
      <c r="AD1430" s="46"/>
      <c r="AE1430" s="46"/>
      <c r="AF1430" s="46"/>
      <c r="AG1430" s="46"/>
      <c r="AH1430" s="46"/>
      <c r="AI1430" s="46"/>
      <c r="AJ1430" s="46"/>
      <c r="AK1430" s="46"/>
      <c r="AL1430" s="46"/>
      <c r="AM1430" s="46"/>
      <c r="AN1430" s="46"/>
      <c r="AO1430" s="46"/>
      <c r="AP1430" s="46"/>
      <c r="AQ1430" s="46"/>
      <c r="BK1430" s="317"/>
      <c r="BL1430" s="5"/>
      <c r="BM1430" s="5"/>
      <c r="BN1430" s="5"/>
      <c r="BO1430" s="5"/>
      <c r="BP1430" s="5"/>
      <c r="BQ1430" s="5"/>
      <c r="BR1430" s="5"/>
      <c r="BS1430" s="5"/>
      <c r="BT1430" s="5"/>
      <c r="BV1430" s="317"/>
      <c r="CF1430" s="5"/>
      <c r="CG1430" s="5"/>
      <c r="CH1430" s="5"/>
      <c r="CI1430" s="5"/>
      <c r="CJ1430" s="5"/>
      <c r="CK1430" s="5"/>
      <c r="CL1430" s="5"/>
    </row>
    <row r="1431" spans="1:97" ht="26.4" customHeight="1">
      <c r="A1431" s="374"/>
      <c r="B1431" s="374"/>
      <c r="C1431" s="374"/>
      <c r="D1431" s="372"/>
      <c r="E1431" s="373"/>
      <c r="F1431" s="370"/>
      <c r="G1431" s="215"/>
      <c r="H1431" s="373"/>
      <c r="I1431" s="370"/>
      <c r="J1431" s="370"/>
      <c r="K1431" s="370"/>
      <c r="L1431" s="373"/>
      <c r="M1431" s="374"/>
      <c r="N1431" s="213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BK1431" s="317"/>
      <c r="BL1431" s="5"/>
      <c r="BM1431" s="5"/>
      <c r="BN1431" s="5"/>
      <c r="BO1431" s="5"/>
      <c r="BP1431" s="5"/>
      <c r="BQ1431" s="5"/>
      <c r="BR1431" s="5"/>
      <c r="BS1431" s="5"/>
      <c r="BT1431" s="5"/>
      <c r="BV1431" s="317"/>
      <c r="CF1431" s="5"/>
      <c r="CG1431" s="5"/>
      <c r="CH1431" s="5"/>
      <c r="CI1431" s="5"/>
      <c r="CJ1431" s="5"/>
      <c r="CK1431" s="5"/>
      <c r="CL1431" s="5"/>
    </row>
    <row r="1432" spans="1:97" ht="9.65" customHeight="1">
      <c r="A1432" s="374"/>
      <c r="B1432" s="374"/>
      <c r="C1432" s="374"/>
      <c r="D1432" s="372"/>
      <c r="E1432" s="373"/>
      <c r="F1432" s="370"/>
      <c r="G1432" s="215"/>
      <c r="H1432" s="373"/>
      <c r="I1432" s="233"/>
      <c r="J1432" s="233"/>
      <c r="K1432" s="233"/>
      <c r="L1432" s="373"/>
      <c r="M1432" s="374"/>
      <c r="N1432" s="213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  <c r="AQ1432" s="5"/>
      <c r="BK1432" s="317"/>
      <c r="BL1432" s="5"/>
      <c r="BM1432" s="5"/>
      <c r="BN1432" s="5"/>
      <c r="BO1432" s="5"/>
      <c r="BP1432" s="5"/>
      <c r="BQ1432" s="5"/>
      <c r="BR1432" s="5"/>
      <c r="BS1432" s="5"/>
      <c r="BT1432" s="5"/>
      <c r="BV1432" s="317"/>
      <c r="CF1432" s="5"/>
      <c r="CG1432" s="5"/>
      <c r="CH1432" s="5"/>
      <c r="CI1432" s="5"/>
      <c r="CJ1432" s="5"/>
      <c r="CK1432" s="5"/>
      <c r="CL1432" s="5"/>
    </row>
    <row r="1433" spans="1:97" ht="10.25" customHeight="1">
      <c r="A1433" s="216"/>
      <c r="B1433" s="217"/>
      <c r="C1433" s="218"/>
      <c r="D1433" s="219"/>
      <c r="E1433" s="217"/>
      <c r="F1433" s="217"/>
      <c r="G1433" s="217"/>
      <c r="H1433" s="220"/>
      <c r="I1433" s="217"/>
      <c r="J1433" s="217"/>
      <c r="K1433" s="217"/>
      <c r="L1433" s="217"/>
      <c r="M1433" s="217"/>
      <c r="N1433" s="217"/>
      <c r="O1433" s="44"/>
      <c r="P1433" s="44"/>
      <c r="Q1433" s="44"/>
      <c r="R1433" s="44"/>
      <c r="S1433" s="44"/>
      <c r="T1433" s="44"/>
      <c r="U1433" s="44"/>
      <c r="V1433" s="44"/>
      <c r="W1433" s="44"/>
      <c r="X1433" s="44"/>
      <c r="Y1433" s="44"/>
      <c r="Z1433" s="44"/>
      <c r="AA1433" s="44"/>
      <c r="AB1433" s="44"/>
      <c r="AC1433" s="44"/>
      <c r="AD1433" s="44"/>
      <c r="AE1433" s="44"/>
      <c r="AF1433" s="44"/>
      <c r="AG1433" s="44"/>
      <c r="AH1433" s="44"/>
      <c r="AI1433" s="44"/>
      <c r="AJ1433" s="44"/>
      <c r="AK1433" s="44"/>
      <c r="AL1433" s="44"/>
      <c r="AM1433" s="44"/>
      <c r="AN1433" s="44"/>
      <c r="AO1433" s="44"/>
      <c r="AP1433" s="44"/>
      <c r="AQ1433" s="44"/>
      <c r="BA1433" s="5"/>
      <c r="BB1433" s="5"/>
      <c r="BC1433" s="5"/>
      <c r="BD1433" s="5"/>
      <c r="BE1433" s="63"/>
      <c r="BF1433" s="63"/>
      <c r="BG1433" s="63"/>
      <c r="BK1433" s="317"/>
      <c r="BL1433" s="5"/>
      <c r="BM1433" s="5"/>
      <c r="BN1433" s="5"/>
      <c r="BO1433" s="5"/>
      <c r="BP1433" s="5"/>
      <c r="BQ1433" s="5"/>
      <c r="BR1433" s="5"/>
      <c r="BS1433" s="5"/>
      <c r="BT1433" s="5"/>
      <c r="BV1433" s="317"/>
      <c r="CF1433" s="5"/>
      <c r="CG1433" s="53"/>
      <c r="CH1433" s="53"/>
      <c r="CI1433" s="53"/>
      <c r="CJ1433" s="53"/>
      <c r="CK1433" s="53"/>
      <c r="CL1433" s="53"/>
      <c r="CN1433" s="53"/>
      <c r="CO1433" s="53"/>
      <c r="CP1433" s="53"/>
      <c r="CQ1433" s="53"/>
      <c r="CR1433" s="53"/>
      <c r="CS1433" s="53"/>
    </row>
    <row r="1434" spans="1:97" ht="10.25" customHeight="1">
      <c r="A1434" s="216"/>
      <c r="B1434" s="217"/>
      <c r="C1434" s="218"/>
      <c r="D1434" s="219"/>
      <c r="E1434" s="217"/>
      <c r="F1434" s="217"/>
      <c r="G1434" s="217"/>
      <c r="H1434" s="220"/>
      <c r="I1434" s="217"/>
      <c r="J1434" s="217"/>
      <c r="K1434" s="217"/>
      <c r="L1434" s="217"/>
      <c r="M1434" s="217"/>
      <c r="N1434" s="217"/>
      <c r="O1434" s="44"/>
      <c r="P1434" s="44"/>
      <c r="Q1434" s="44"/>
      <c r="R1434" s="44"/>
      <c r="S1434" s="44"/>
      <c r="T1434" s="44"/>
      <c r="U1434" s="44"/>
      <c r="V1434" s="44"/>
      <c r="W1434" s="44"/>
      <c r="X1434" s="44"/>
      <c r="Y1434" s="44"/>
      <c r="Z1434" s="44"/>
      <c r="AA1434" s="44"/>
      <c r="AB1434" s="44"/>
      <c r="AC1434" s="44"/>
      <c r="AD1434" s="44"/>
      <c r="AE1434" s="44"/>
      <c r="AF1434" s="44"/>
      <c r="AG1434" s="44"/>
      <c r="AH1434" s="44"/>
      <c r="AI1434" s="44"/>
      <c r="AJ1434" s="44"/>
      <c r="AK1434" s="44"/>
      <c r="AL1434" s="44"/>
      <c r="AM1434" s="44"/>
      <c r="AN1434" s="44"/>
      <c r="AO1434" s="44"/>
      <c r="AP1434" s="44"/>
      <c r="AQ1434" s="44"/>
      <c r="BA1434" s="5"/>
      <c r="BB1434" s="5"/>
      <c r="BC1434" s="5"/>
      <c r="BD1434" s="5"/>
      <c r="BE1434" s="63"/>
      <c r="BF1434" s="63"/>
      <c r="BG1434" s="63"/>
      <c r="BK1434" s="317"/>
      <c r="BL1434" s="5"/>
      <c r="BM1434" s="5"/>
      <c r="BN1434" s="5"/>
      <c r="BO1434" s="5"/>
      <c r="BP1434" s="5"/>
      <c r="BQ1434" s="5"/>
      <c r="BR1434" s="5"/>
      <c r="BS1434" s="5"/>
      <c r="BT1434" s="5"/>
      <c r="BV1434" s="317"/>
      <c r="CF1434" s="5"/>
      <c r="CG1434" s="53"/>
      <c r="CH1434" s="53"/>
      <c r="CI1434" s="53"/>
      <c r="CJ1434" s="53"/>
      <c r="CK1434" s="53"/>
      <c r="CL1434" s="53"/>
      <c r="CN1434" s="53"/>
      <c r="CO1434" s="53"/>
      <c r="CP1434" s="53"/>
      <c r="CQ1434" s="53"/>
      <c r="CR1434" s="53"/>
      <c r="CS1434" s="53"/>
    </row>
    <row r="1435" spans="1:97" ht="10.25" customHeight="1">
      <c r="A1435" s="216"/>
      <c r="B1435" s="217"/>
      <c r="C1435" s="218"/>
      <c r="D1435" s="219"/>
      <c r="E1435" s="217"/>
      <c r="F1435" s="217"/>
      <c r="G1435" s="217"/>
      <c r="H1435" s="220"/>
      <c r="I1435" s="217"/>
      <c r="J1435" s="217"/>
      <c r="K1435" s="217"/>
      <c r="L1435" s="217"/>
      <c r="M1435" s="217"/>
      <c r="N1435" s="217"/>
      <c r="O1435" s="44"/>
      <c r="P1435" s="44"/>
      <c r="Q1435" s="44"/>
      <c r="R1435" s="44"/>
      <c r="S1435" s="44"/>
      <c r="T1435" s="44"/>
      <c r="U1435" s="44"/>
      <c r="V1435" s="44"/>
      <c r="W1435" s="44"/>
      <c r="X1435" s="44"/>
      <c r="Y1435" s="44"/>
      <c r="Z1435" s="44"/>
      <c r="AA1435" s="44"/>
      <c r="AB1435" s="44"/>
      <c r="AC1435" s="44"/>
      <c r="AD1435" s="44"/>
      <c r="AE1435" s="44"/>
      <c r="AF1435" s="44"/>
      <c r="AG1435" s="44"/>
      <c r="AH1435" s="44"/>
      <c r="AI1435" s="44"/>
      <c r="AJ1435" s="44"/>
      <c r="AK1435" s="44"/>
      <c r="AL1435" s="44"/>
      <c r="AM1435" s="44"/>
      <c r="AN1435" s="44"/>
      <c r="AO1435" s="44"/>
      <c r="AP1435" s="44"/>
      <c r="AQ1435" s="44"/>
      <c r="BA1435" s="5"/>
      <c r="BB1435" s="5"/>
      <c r="BC1435" s="5"/>
      <c r="BD1435" s="5"/>
      <c r="BE1435" s="63"/>
      <c r="BF1435" s="63"/>
      <c r="BG1435" s="63"/>
      <c r="BK1435" s="317"/>
      <c r="BL1435" s="5"/>
      <c r="BM1435" s="5"/>
      <c r="BN1435" s="5"/>
      <c r="BO1435" s="5"/>
      <c r="BP1435" s="5"/>
      <c r="BQ1435" s="5"/>
      <c r="BR1435" s="5"/>
      <c r="BS1435" s="5"/>
      <c r="BT1435" s="5"/>
      <c r="BV1435" s="317"/>
      <c r="CF1435" s="5"/>
      <c r="CG1435" s="53"/>
      <c r="CH1435" s="53"/>
      <c r="CI1435" s="53"/>
      <c r="CJ1435" s="53"/>
      <c r="CK1435" s="53"/>
      <c r="CL1435" s="53"/>
      <c r="CN1435" s="53"/>
      <c r="CO1435" s="53"/>
      <c r="CP1435" s="53"/>
      <c r="CQ1435" s="53"/>
      <c r="CR1435" s="53"/>
      <c r="CS1435" s="53"/>
    </row>
    <row r="1436" spans="1:97" ht="10.25" customHeight="1">
      <c r="A1436" s="216"/>
      <c r="B1436" s="217"/>
      <c r="C1436" s="218"/>
      <c r="D1436" s="219"/>
      <c r="E1436" s="217"/>
      <c r="F1436" s="217"/>
      <c r="G1436" s="217"/>
      <c r="H1436" s="220"/>
      <c r="I1436" s="217"/>
      <c r="J1436" s="217"/>
      <c r="K1436" s="217"/>
      <c r="L1436" s="217"/>
      <c r="M1436" s="217"/>
      <c r="N1436" s="217"/>
      <c r="O1436" s="44"/>
      <c r="P1436" s="44"/>
      <c r="Q1436" s="44"/>
      <c r="R1436" s="44"/>
      <c r="S1436" s="44"/>
      <c r="T1436" s="44"/>
      <c r="U1436" s="44"/>
      <c r="V1436" s="44"/>
      <c r="W1436" s="44"/>
      <c r="X1436" s="44"/>
      <c r="Y1436" s="44"/>
      <c r="Z1436" s="44"/>
      <c r="AA1436" s="44"/>
      <c r="AB1436" s="44"/>
      <c r="AC1436" s="44"/>
      <c r="AD1436" s="44"/>
      <c r="AE1436" s="44"/>
      <c r="AF1436" s="44"/>
      <c r="AG1436" s="44"/>
      <c r="AH1436" s="44"/>
      <c r="AI1436" s="44"/>
      <c r="AJ1436" s="44"/>
      <c r="AK1436" s="44"/>
      <c r="AL1436" s="44"/>
      <c r="AM1436" s="44"/>
      <c r="AN1436" s="44"/>
      <c r="AO1436" s="44"/>
      <c r="AP1436" s="44"/>
      <c r="AQ1436" s="44"/>
      <c r="BA1436" s="5"/>
      <c r="BB1436" s="5"/>
      <c r="BC1436" s="5"/>
      <c r="BD1436" s="5"/>
      <c r="BE1436" s="63"/>
      <c r="BF1436" s="63"/>
      <c r="BG1436" s="63"/>
      <c r="BK1436" s="317"/>
      <c r="BL1436" s="5"/>
      <c r="BM1436" s="5"/>
      <c r="BN1436" s="5"/>
      <c r="BO1436" s="5"/>
      <c r="BP1436" s="5"/>
      <c r="BQ1436" s="5"/>
      <c r="BR1436" s="5"/>
      <c r="BS1436" s="5"/>
      <c r="BT1436" s="5"/>
      <c r="BV1436" s="317"/>
      <c r="CF1436" s="5"/>
      <c r="CG1436" s="53"/>
      <c r="CH1436" s="53"/>
      <c r="CI1436" s="53"/>
      <c r="CJ1436" s="53"/>
      <c r="CK1436" s="53"/>
      <c r="CL1436" s="53"/>
      <c r="CN1436" s="53"/>
      <c r="CO1436" s="53"/>
      <c r="CP1436" s="53"/>
      <c r="CQ1436" s="53"/>
      <c r="CR1436" s="53"/>
      <c r="CS1436" s="53"/>
    </row>
    <row r="1437" spans="1:97" ht="10.25" customHeight="1">
      <c r="A1437" s="216"/>
      <c r="B1437" s="217"/>
      <c r="C1437" s="218"/>
      <c r="D1437" s="219"/>
      <c r="E1437" s="217"/>
      <c r="F1437" s="217"/>
      <c r="G1437" s="217"/>
      <c r="H1437" s="220"/>
      <c r="I1437" s="217"/>
      <c r="J1437" s="217"/>
      <c r="K1437" s="217"/>
      <c r="L1437" s="217"/>
      <c r="M1437" s="217"/>
      <c r="N1437" s="217"/>
      <c r="O1437" s="44"/>
      <c r="P1437" s="44"/>
      <c r="Q1437" s="44"/>
      <c r="R1437" s="44"/>
      <c r="S1437" s="44"/>
      <c r="T1437" s="44"/>
      <c r="U1437" s="44"/>
      <c r="V1437" s="44"/>
      <c r="W1437" s="44"/>
      <c r="X1437" s="44"/>
      <c r="Y1437" s="44"/>
      <c r="Z1437" s="44"/>
      <c r="AA1437" s="44"/>
      <c r="AB1437" s="44"/>
      <c r="AC1437" s="44"/>
      <c r="AD1437" s="44"/>
      <c r="AE1437" s="44"/>
      <c r="AF1437" s="44"/>
      <c r="AG1437" s="44"/>
      <c r="AH1437" s="44"/>
      <c r="AI1437" s="44"/>
      <c r="AJ1437" s="44"/>
      <c r="AK1437" s="44"/>
      <c r="AL1437" s="44"/>
      <c r="AM1437" s="44"/>
      <c r="AN1437" s="44"/>
      <c r="AO1437" s="44"/>
      <c r="AP1437" s="44"/>
      <c r="AQ1437" s="44"/>
      <c r="BA1437" s="5"/>
      <c r="BB1437" s="5"/>
      <c r="BC1437" s="5"/>
      <c r="BD1437" s="5"/>
      <c r="BE1437" s="63"/>
      <c r="BF1437" s="63"/>
      <c r="BG1437" s="63"/>
      <c r="BK1437" s="317"/>
      <c r="BL1437" s="5"/>
      <c r="BM1437" s="5"/>
      <c r="BN1437" s="5"/>
      <c r="BO1437" s="5"/>
      <c r="BP1437" s="5"/>
      <c r="BQ1437" s="5"/>
      <c r="BR1437" s="5"/>
      <c r="BS1437" s="5"/>
      <c r="BT1437" s="5"/>
      <c r="BV1437" s="317"/>
      <c r="CF1437" s="5"/>
      <c r="CG1437" s="53"/>
      <c r="CH1437" s="53"/>
      <c r="CI1437" s="53"/>
      <c r="CJ1437" s="53"/>
      <c r="CK1437" s="53"/>
      <c r="CL1437" s="53"/>
      <c r="CN1437" s="53"/>
      <c r="CO1437" s="53"/>
      <c r="CP1437" s="53"/>
      <c r="CQ1437" s="53"/>
      <c r="CR1437" s="53"/>
      <c r="CS1437" s="53"/>
    </row>
    <row r="1438" spans="1:97" ht="10.25" customHeight="1">
      <c r="A1438" s="216"/>
      <c r="B1438" s="217"/>
      <c r="C1438" s="218"/>
      <c r="D1438" s="219"/>
      <c r="E1438" s="217"/>
      <c r="F1438" s="217"/>
      <c r="G1438" s="217"/>
      <c r="H1438" s="220"/>
      <c r="I1438" s="217"/>
      <c r="J1438" s="217"/>
      <c r="K1438" s="217"/>
      <c r="L1438" s="217"/>
      <c r="M1438" s="217"/>
      <c r="N1438" s="217"/>
      <c r="O1438" s="44"/>
      <c r="P1438" s="44"/>
      <c r="Q1438" s="44"/>
      <c r="R1438" s="44"/>
      <c r="S1438" s="44"/>
      <c r="T1438" s="44"/>
      <c r="U1438" s="44"/>
      <c r="V1438" s="44"/>
      <c r="W1438" s="44"/>
      <c r="X1438" s="44"/>
      <c r="Y1438" s="44"/>
      <c r="Z1438" s="44"/>
      <c r="AA1438" s="44"/>
      <c r="AB1438" s="44"/>
      <c r="AC1438" s="44"/>
      <c r="AD1438" s="44"/>
      <c r="AE1438" s="44"/>
      <c r="AF1438" s="44"/>
      <c r="AG1438" s="44"/>
      <c r="AH1438" s="44"/>
      <c r="AI1438" s="44"/>
      <c r="AJ1438" s="44"/>
      <c r="AK1438" s="44"/>
      <c r="AL1438" s="44"/>
      <c r="AM1438" s="44"/>
      <c r="AN1438" s="44"/>
      <c r="AO1438" s="44"/>
      <c r="AP1438" s="44"/>
      <c r="AQ1438" s="44"/>
      <c r="BA1438" s="5"/>
      <c r="BB1438" s="5"/>
      <c r="BC1438" s="5"/>
      <c r="BD1438" s="5"/>
      <c r="BE1438" s="63"/>
      <c r="BF1438" s="63"/>
      <c r="BG1438" s="63"/>
      <c r="BK1438" s="317"/>
      <c r="BL1438" s="5"/>
      <c r="BM1438" s="5"/>
      <c r="BN1438" s="5"/>
      <c r="BO1438" s="5"/>
      <c r="BP1438" s="5"/>
      <c r="BQ1438" s="5"/>
      <c r="BR1438" s="5"/>
      <c r="BS1438" s="5"/>
      <c r="BT1438" s="5"/>
      <c r="BV1438" s="317"/>
      <c r="CF1438" s="5"/>
      <c r="CG1438" s="53"/>
      <c r="CH1438" s="53"/>
      <c r="CI1438" s="53"/>
      <c r="CJ1438" s="53"/>
      <c r="CK1438" s="53"/>
      <c r="CL1438" s="53"/>
      <c r="CN1438" s="53"/>
      <c r="CO1438" s="53"/>
      <c r="CP1438" s="53"/>
      <c r="CQ1438" s="53"/>
      <c r="CR1438" s="53"/>
      <c r="CS1438" s="53"/>
    </row>
    <row r="1439" spans="1:97" ht="10.25" customHeight="1">
      <c r="A1439" s="216"/>
      <c r="B1439" s="217"/>
      <c r="C1439" s="218"/>
      <c r="D1439" s="219"/>
      <c r="E1439" s="217"/>
      <c r="F1439" s="217"/>
      <c r="G1439" s="217"/>
      <c r="H1439" s="220"/>
      <c r="I1439" s="217"/>
      <c r="J1439" s="217"/>
      <c r="K1439" s="217"/>
      <c r="L1439" s="217"/>
      <c r="M1439" s="217"/>
      <c r="N1439" s="217"/>
      <c r="O1439" s="44"/>
      <c r="P1439" s="44"/>
      <c r="Q1439" s="44"/>
      <c r="R1439" s="44"/>
      <c r="S1439" s="44"/>
      <c r="T1439" s="44"/>
      <c r="U1439" s="44"/>
      <c r="V1439" s="44"/>
      <c r="W1439" s="44"/>
      <c r="X1439" s="44"/>
      <c r="Y1439" s="44"/>
      <c r="Z1439" s="44"/>
      <c r="AA1439" s="44"/>
      <c r="AB1439" s="44"/>
      <c r="AC1439" s="44"/>
      <c r="AD1439" s="44"/>
      <c r="AE1439" s="44"/>
      <c r="AF1439" s="44"/>
      <c r="AG1439" s="44"/>
      <c r="AH1439" s="44"/>
      <c r="AI1439" s="44"/>
      <c r="AJ1439" s="44"/>
      <c r="AK1439" s="44"/>
      <c r="AL1439" s="44"/>
      <c r="AM1439" s="44"/>
      <c r="AN1439" s="44"/>
      <c r="AO1439" s="44"/>
      <c r="AP1439" s="44"/>
      <c r="AQ1439" s="44"/>
      <c r="BA1439" s="5"/>
      <c r="BB1439" s="5"/>
      <c r="BC1439" s="5"/>
      <c r="BD1439" s="5"/>
      <c r="BE1439" s="63"/>
      <c r="BF1439" s="63"/>
      <c r="BG1439" s="63"/>
      <c r="BK1439" s="317"/>
      <c r="BL1439" s="5"/>
      <c r="BM1439" s="5"/>
      <c r="BN1439" s="5"/>
      <c r="BO1439" s="5"/>
      <c r="BP1439" s="5"/>
      <c r="BQ1439" s="5"/>
      <c r="BR1439" s="5"/>
      <c r="BS1439" s="5"/>
      <c r="BT1439" s="5"/>
      <c r="BV1439" s="317"/>
      <c r="CF1439" s="5"/>
      <c r="CG1439" s="53"/>
      <c r="CH1439" s="53"/>
      <c r="CI1439" s="53"/>
      <c r="CJ1439" s="53"/>
      <c r="CK1439" s="53"/>
      <c r="CL1439" s="53"/>
      <c r="CN1439" s="53"/>
      <c r="CO1439" s="53"/>
      <c r="CP1439" s="53"/>
      <c r="CQ1439" s="53"/>
      <c r="CR1439" s="53"/>
      <c r="CS1439" s="53"/>
    </row>
    <row r="1440" spans="1:97" ht="10.25" customHeight="1">
      <c r="A1440" s="216"/>
      <c r="B1440" s="217"/>
      <c r="C1440" s="218"/>
      <c r="D1440" s="219"/>
      <c r="E1440" s="217"/>
      <c r="F1440" s="217"/>
      <c r="G1440" s="217"/>
      <c r="H1440" s="220"/>
      <c r="I1440" s="217"/>
      <c r="J1440" s="217"/>
      <c r="K1440" s="217"/>
      <c r="L1440" s="217"/>
      <c r="M1440" s="217"/>
      <c r="N1440" s="217"/>
      <c r="O1440" s="44"/>
      <c r="P1440" s="44"/>
      <c r="Q1440" s="44"/>
      <c r="R1440" s="44"/>
      <c r="S1440" s="44"/>
      <c r="T1440" s="44"/>
      <c r="U1440" s="44"/>
      <c r="V1440" s="44"/>
      <c r="W1440" s="44"/>
      <c r="X1440" s="44"/>
      <c r="Y1440" s="44"/>
      <c r="Z1440" s="44"/>
      <c r="AA1440" s="44"/>
      <c r="AB1440" s="44"/>
      <c r="AC1440" s="44"/>
      <c r="AD1440" s="44"/>
      <c r="AE1440" s="44"/>
      <c r="AF1440" s="44"/>
      <c r="AG1440" s="44"/>
      <c r="AH1440" s="44"/>
      <c r="AI1440" s="44"/>
      <c r="AJ1440" s="44"/>
      <c r="AK1440" s="44"/>
      <c r="AL1440" s="44"/>
      <c r="AM1440" s="44"/>
      <c r="AN1440" s="44"/>
      <c r="AO1440" s="44"/>
      <c r="AP1440" s="44"/>
      <c r="AQ1440" s="44"/>
      <c r="AW1440" s="63"/>
      <c r="AX1440" s="63"/>
      <c r="AY1440" s="63"/>
      <c r="AZ1440" s="63"/>
      <c r="BA1440" s="5"/>
      <c r="BB1440" s="5"/>
      <c r="BC1440" s="5"/>
      <c r="BD1440" s="5"/>
      <c r="BE1440" s="63"/>
      <c r="BF1440" s="63"/>
      <c r="BG1440" s="63"/>
      <c r="BV1440" s="317"/>
      <c r="CF1440" s="5"/>
      <c r="CG1440" s="53"/>
      <c r="CH1440" s="53"/>
      <c r="CI1440" s="53"/>
      <c r="CJ1440" s="53"/>
      <c r="CK1440" s="53"/>
      <c r="CL1440" s="53"/>
      <c r="CN1440" s="53"/>
      <c r="CO1440" s="53"/>
      <c r="CP1440" s="53"/>
      <c r="CQ1440" s="53"/>
      <c r="CR1440" s="53"/>
      <c r="CS1440" s="53"/>
    </row>
    <row r="1441" spans="1:103" ht="10.25" customHeight="1">
      <c r="A1441" s="216"/>
      <c r="B1441" s="217"/>
      <c r="C1441" s="218"/>
      <c r="D1441" s="219"/>
      <c r="E1441" s="217"/>
      <c r="F1441" s="217"/>
      <c r="G1441" s="217"/>
      <c r="H1441" s="220"/>
      <c r="I1441" s="217"/>
      <c r="J1441" s="217"/>
      <c r="K1441" s="217"/>
      <c r="L1441" s="217"/>
      <c r="M1441" s="217"/>
      <c r="N1441" s="217"/>
      <c r="O1441" s="44"/>
      <c r="P1441" s="44"/>
      <c r="Q1441" s="44"/>
      <c r="R1441" s="44"/>
      <c r="S1441" s="44"/>
      <c r="T1441" s="44"/>
      <c r="U1441" s="44"/>
      <c r="V1441" s="44"/>
      <c r="W1441" s="44"/>
      <c r="X1441" s="44"/>
      <c r="Y1441" s="44"/>
      <c r="Z1441" s="44"/>
      <c r="AA1441" s="44"/>
      <c r="AB1441" s="44"/>
      <c r="AC1441" s="44"/>
      <c r="AD1441" s="44"/>
      <c r="AE1441" s="44"/>
      <c r="AF1441" s="44"/>
      <c r="AG1441" s="44"/>
      <c r="AH1441" s="44"/>
      <c r="AI1441" s="44"/>
      <c r="AJ1441" s="44"/>
      <c r="AK1441" s="44"/>
      <c r="AL1441" s="44"/>
      <c r="AM1441" s="44"/>
      <c r="AN1441" s="44"/>
      <c r="AO1441" s="44"/>
      <c r="AP1441" s="44"/>
      <c r="AQ1441" s="44"/>
      <c r="AW1441" s="63"/>
      <c r="AX1441" s="63"/>
      <c r="AY1441" s="63"/>
      <c r="AZ1441" s="63"/>
      <c r="BA1441" s="5"/>
      <c r="BB1441" s="5"/>
      <c r="BC1441" s="5"/>
      <c r="BD1441" s="5"/>
      <c r="BE1441" s="63"/>
      <c r="BF1441" s="63"/>
      <c r="BG1441" s="63"/>
      <c r="BV1441" s="317"/>
      <c r="CF1441" s="5"/>
      <c r="CG1441" s="53"/>
      <c r="CH1441" s="53"/>
      <c r="CI1441" s="53"/>
      <c r="CJ1441" s="53"/>
      <c r="CK1441" s="53"/>
      <c r="CL1441" s="53"/>
      <c r="CN1441" s="53"/>
      <c r="CO1441" s="53"/>
      <c r="CP1441" s="53"/>
      <c r="CQ1441" s="53"/>
      <c r="CR1441" s="53"/>
      <c r="CS1441" s="53"/>
    </row>
    <row r="1442" spans="1:103" ht="10.25" customHeight="1">
      <c r="A1442" s="216"/>
      <c r="B1442" s="217"/>
      <c r="C1442" s="218"/>
      <c r="D1442" s="219"/>
      <c r="E1442" s="217"/>
      <c r="F1442" s="217"/>
      <c r="G1442" s="217"/>
      <c r="H1442" s="220"/>
      <c r="I1442" s="217"/>
      <c r="J1442" s="217"/>
      <c r="K1442" s="217"/>
      <c r="L1442" s="217"/>
      <c r="M1442" s="217"/>
      <c r="N1442" s="217"/>
      <c r="O1442" s="44"/>
      <c r="P1442" s="44"/>
      <c r="Q1442" s="44"/>
      <c r="R1442" s="44"/>
      <c r="S1442" s="44"/>
      <c r="T1442" s="44"/>
      <c r="U1442" s="44"/>
      <c r="V1442" s="44"/>
      <c r="W1442" s="44"/>
      <c r="X1442" s="44"/>
      <c r="Y1442" s="44"/>
      <c r="Z1442" s="44"/>
      <c r="AA1442" s="44"/>
      <c r="AB1442" s="44"/>
      <c r="AC1442" s="44"/>
      <c r="AD1442" s="44"/>
      <c r="AE1442" s="44"/>
      <c r="AF1442" s="44"/>
      <c r="AG1442" s="44"/>
      <c r="AH1442" s="44"/>
      <c r="AI1442" s="44"/>
      <c r="AJ1442" s="44"/>
      <c r="AK1442" s="44"/>
      <c r="AL1442" s="44"/>
      <c r="AM1442" s="44"/>
      <c r="AN1442" s="44"/>
      <c r="AO1442" s="44"/>
      <c r="AP1442" s="44"/>
      <c r="AQ1442" s="44"/>
      <c r="AW1442" s="63"/>
      <c r="AX1442" s="63"/>
      <c r="AY1442" s="63"/>
      <c r="AZ1442" s="63"/>
      <c r="BA1442" s="5"/>
      <c r="BB1442" s="5"/>
      <c r="BC1442" s="5"/>
      <c r="BD1442" s="5"/>
      <c r="BE1442" s="63"/>
      <c r="BF1442" s="63"/>
      <c r="BG1442" s="63"/>
      <c r="BV1442" s="317"/>
      <c r="CF1442" s="5"/>
      <c r="CG1442" s="53"/>
      <c r="CH1442" s="53"/>
      <c r="CI1442" s="53"/>
      <c r="CJ1442" s="53"/>
      <c r="CK1442" s="53"/>
      <c r="CL1442" s="53"/>
      <c r="CN1442" s="53"/>
      <c r="CO1442" s="53"/>
      <c r="CP1442" s="53"/>
      <c r="CQ1442" s="53"/>
      <c r="CR1442" s="53"/>
      <c r="CS1442" s="53"/>
      <c r="CT1442" s="5"/>
      <c r="CU1442" s="5"/>
      <c r="CV1442" s="5"/>
      <c r="CW1442" s="5"/>
      <c r="CX1442" s="5"/>
      <c r="CY1442" s="5"/>
    </row>
    <row r="1443" spans="1:103" ht="10.25" customHeight="1">
      <c r="A1443" s="216"/>
      <c r="B1443" s="217"/>
      <c r="C1443" s="218"/>
      <c r="D1443" s="219"/>
      <c r="E1443" s="217"/>
      <c r="F1443" s="217"/>
      <c r="G1443" s="217"/>
      <c r="H1443" s="220"/>
      <c r="I1443" s="217"/>
      <c r="J1443" s="217"/>
      <c r="K1443" s="217"/>
      <c r="L1443" s="217"/>
      <c r="M1443" s="217"/>
      <c r="N1443" s="217"/>
      <c r="O1443" s="44"/>
      <c r="P1443" s="44"/>
      <c r="Q1443" s="44"/>
      <c r="R1443" s="44"/>
      <c r="S1443" s="44"/>
      <c r="T1443" s="44"/>
      <c r="U1443" s="44"/>
      <c r="V1443" s="44"/>
      <c r="W1443" s="44"/>
      <c r="X1443" s="44"/>
      <c r="Y1443" s="44"/>
      <c r="Z1443" s="44"/>
      <c r="AA1443" s="44"/>
      <c r="AB1443" s="44"/>
      <c r="AC1443" s="44"/>
      <c r="AD1443" s="44"/>
      <c r="AE1443" s="44"/>
      <c r="AF1443" s="44"/>
      <c r="AG1443" s="44"/>
      <c r="AH1443" s="44"/>
      <c r="AI1443" s="44"/>
      <c r="AJ1443" s="44"/>
      <c r="AK1443" s="44"/>
      <c r="AL1443" s="44"/>
      <c r="AM1443" s="44"/>
      <c r="AN1443" s="44"/>
      <c r="AO1443" s="44"/>
      <c r="AP1443" s="44"/>
      <c r="AQ1443" s="44"/>
      <c r="AW1443" s="63"/>
      <c r="AX1443" s="63"/>
      <c r="AY1443" s="63"/>
      <c r="AZ1443" s="63"/>
      <c r="BA1443" s="5"/>
      <c r="BB1443" s="5"/>
      <c r="BC1443" s="5"/>
      <c r="BD1443" s="5"/>
      <c r="BE1443" s="63"/>
      <c r="BF1443" s="63"/>
      <c r="BG1443" s="63"/>
      <c r="BV1443" s="317"/>
      <c r="CF1443" s="5"/>
      <c r="CG1443" s="53"/>
      <c r="CH1443" s="53"/>
      <c r="CI1443" s="53"/>
      <c r="CJ1443" s="53"/>
      <c r="CK1443" s="53"/>
      <c r="CL1443" s="53"/>
      <c r="CN1443" s="53"/>
      <c r="CO1443" s="53"/>
      <c r="CP1443" s="53"/>
      <c r="CQ1443" s="53"/>
      <c r="CR1443" s="53"/>
      <c r="CS1443" s="53"/>
      <c r="CT1443" s="5"/>
      <c r="CU1443" s="5"/>
      <c r="CV1443" s="5"/>
      <c r="CW1443" s="5"/>
      <c r="CX1443" s="5"/>
      <c r="CY1443" s="5"/>
    </row>
    <row r="1444" spans="1:103" ht="10.25" customHeight="1">
      <c r="A1444" s="216"/>
      <c r="B1444" s="217"/>
      <c r="C1444" s="218"/>
      <c r="D1444" s="219"/>
      <c r="E1444" s="217"/>
      <c r="F1444" s="217"/>
      <c r="G1444" s="217"/>
      <c r="H1444" s="220"/>
      <c r="I1444" s="217"/>
      <c r="J1444" s="217"/>
      <c r="K1444" s="217"/>
      <c r="L1444" s="217"/>
      <c r="M1444" s="217"/>
      <c r="N1444" s="217"/>
      <c r="O1444" s="44"/>
      <c r="P1444" s="44"/>
      <c r="Q1444" s="44"/>
      <c r="R1444" s="44"/>
      <c r="S1444" s="44"/>
      <c r="T1444" s="44"/>
      <c r="U1444" s="44"/>
      <c r="V1444" s="44"/>
      <c r="W1444" s="44"/>
      <c r="X1444" s="44"/>
      <c r="Y1444" s="44"/>
      <c r="Z1444" s="44"/>
      <c r="AA1444" s="44"/>
      <c r="AB1444" s="44"/>
      <c r="AC1444" s="44"/>
      <c r="AD1444" s="44"/>
      <c r="AE1444" s="44"/>
      <c r="AF1444" s="44"/>
      <c r="AG1444" s="44"/>
      <c r="AH1444" s="44"/>
      <c r="AI1444" s="44"/>
      <c r="AJ1444" s="44"/>
      <c r="AK1444" s="44"/>
      <c r="AL1444" s="44"/>
      <c r="AM1444" s="44"/>
      <c r="AN1444" s="44"/>
      <c r="AO1444" s="44"/>
      <c r="AP1444" s="44"/>
      <c r="AQ1444" s="44"/>
      <c r="AW1444" s="63"/>
      <c r="AX1444" s="63"/>
      <c r="AY1444" s="63"/>
      <c r="AZ1444" s="63"/>
      <c r="BA1444" s="5"/>
      <c r="BB1444" s="5"/>
      <c r="BC1444" s="5"/>
      <c r="BD1444" s="5"/>
      <c r="BE1444" s="63"/>
      <c r="BF1444" s="63"/>
      <c r="BG1444" s="63"/>
      <c r="BV1444" s="317"/>
      <c r="CF1444" s="5"/>
      <c r="CG1444" s="53"/>
      <c r="CH1444" s="53"/>
      <c r="CI1444" s="53"/>
      <c r="CJ1444" s="53"/>
      <c r="CK1444" s="53"/>
      <c r="CL1444" s="53"/>
      <c r="CN1444" s="53"/>
      <c r="CO1444" s="53"/>
      <c r="CP1444" s="53"/>
      <c r="CQ1444" s="53"/>
      <c r="CR1444" s="53"/>
      <c r="CS1444" s="53"/>
      <c r="CT1444" s="5"/>
      <c r="CU1444" s="5"/>
      <c r="CV1444" s="5"/>
      <c r="CW1444" s="5"/>
      <c r="CX1444" s="5"/>
      <c r="CY1444" s="5"/>
    </row>
    <row r="1445" spans="1:103" ht="10.25" customHeight="1">
      <c r="A1445" s="216"/>
      <c r="B1445" s="217"/>
      <c r="C1445" s="218"/>
      <c r="D1445" s="219"/>
      <c r="E1445" s="217"/>
      <c r="F1445" s="217"/>
      <c r="G1445" s="217"/>
      <c r="H1445" s="220"/>
      <c r="I1445" s="217"/>
      <c r="J1445" s="217"/>
      <c r="K1445" s="217"/>
      <c r="L1445" s="217"/>
      <c r="M1445" s="217"/>
      <c r="N1445" s="217"/>
      <c r="O1445" s="44"/>
      <c r="P1445" s="44"/>
      <c r="Q1445" s="44"/>
      <c r="R1445" s="44"/>
      <c r="S1445" s="44"/>
      <c r="T1445" s="44"/>
      <c r="U1445" s="44"/>
      <c r="V1445" s="44"/>
      <c r="W1445" s="44"/>
      <c r="X1445" s="44"/>
      <c r="Y1445" s="44"/>
      <c r="Z1445" s="44"/>
      <c r="AA1445" s="44"/>
      <c r="AB1445" s="44"/>
      <c r="AC1445" s="44"/>
      <c r="AD1445" s="44"/>
      <c r="AE1445" s="44"/>
      <c r="AF1445" s="44"/>
      <c r="AG1445" s="44"/>
      <c r="AH1445" s="44"/>
      <c r="AI1445" s="44"/>
      <c r="AJ1445" s="44"/>
      <c r="AK1445" s="44"/>
      <c r="AL1445" s="44"/>
      <c r="AM1445" s="44"/>
      <c r="AN1445" s="44"/>
      <c r="AO1445" s="44"/>
      <c r="AP1445" s="44"/>
      <c r="AQ1445" s="44"/>
      <c r="BA1445" s="5"/>
      <c r="BB1445" s="5"/>
      <c r="BC1445" s="5"/>
      <c r="BD1445" s="5"/>
      <c r="BE1445" s="63"/>
      <c r="BF1445" s="63"/>
      <c r="BG1445" s="63"/>
      <c r="BV1445" s="317"/>
      <c r="CF1445" s="5"/>
      <c r="CG1445" s="53"/>
      <c r="CH1445" s="53"/>
      <c r="CI1445" s="53"/>
      <c r="CJ1445" s="53"/>
      <c r="CK1445" s="53"/>
      <c r="CL1445" s="53"/>
      <c r="CN1445" s="53"/>
      <c r="CO1445" s="53"/>
      <c r="CP1445" s="53"/>
      <c r="CQ1445" s="53"/>
      <c r="CR1445" s="53"/>
      <c r="CS1445" s="53"/>
      <c r="CT1445" s="5"/>
      <c r="CU1445" s="5"/>
      <c r="CV1445" s="5"/>
      <c r="CW1445" s="5"/>
      <c r="CX1445" s="5"/>
      <c r="CY1445" s="5"/>
    </row>
    <row r="1446" spans="1:103" ht="10.25" customHeight="1">
      <c r="A1446" s="216"/>
      <c r="B1446" s="217"/>
      <c r="C1446" s="218"/>
      <c r="D1446" s="219"/>
      <c r="E1446" s="217"/>
      <c r="F1446" s="217"/>
      <c r="G1446" s="217"/>
      <c r="H1446" s="220"/>
      <c r="I1446" s="217"/>
      <c r="J1446" s="217"/>
      <c r="K1446" s="217"/>
      <c r="L1446" s="217"/>
      <c r="M1446" s="217"/>
      <c r="N1446" s="217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BA1446" s="5"/>
      <c r="BB1446" s="5"/>
      <c r="BC1446" s="5"/>
      <c r="BD1446" s="5"/>
      <c r="BE1446" s="63"/>
      <c r="BF1446" s="63"/>
      <c r="BG1446" s="63"/>
      <c r="BV1446" s="317"/>
      <c r="CF1446" s="5"/>
      <c r="CG1446" s="53"/>
      <c r="CH1446" s="53"/>
      <c r="CI1446" s="53"/>
      <c r="CJ1446" s="53"/>
      <c r="CK1446" s="53"/>
      <c r="CL1446" s="53"/>
      <c r="CN1446" s="53"/>
      <c r="CO1446" s="53"/>
      <c r="CP1446" s="53"/>
      <c r="CQ1446" s="53"/>
      <c r="CR1446" s="53"/>
      <c r="CS1446" s="53"/>
      <c r="CT1446" s="5"/>
      <c r="CU1446" s="5"/>
      <c r="CV1446" s="5"/>
      <c r="CW1446" s="5"/>
      <c r="CX1446" s="5"/>
      <c r="CY1446" s="5"/>
    </row>
    <row r="1447" spans="1:103" ht="10.25" customHeight="1">
      <c r="A1447" s="216"/>
      <c r="B1447" s="217"/>
      <c r="C1447" s="218"/>
      <c r="D1447" s="219"/>
      <c r="E1447" s="217"/>
      <c r="F1447" s="217"/>
      <c r="G1447" s="217"/>
      <c r="H1447" s="220"/>
      <c r="I1447" s="217"/>
      <c r="J1447" s="217"/>
      <c r="K1447" s="217"/>
      <c r="L1447" s="217"/>
      <c r="M1447" s="217"/>
      <c r="N1447" s="217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BA1447" s="5"/>
      <c r="BB1447" s="5"/>
      <c r="BC1447" s="5"/>
      <c r="BD1447" s="5"/>
      <c r="BE1447" s="63"/>
      <c r="BF1447" s="63"/>
      <c r="BG1447" s="63"/>
      <c r="CA1447" s="317"/>
      <c r="CF1447" s="5"/>
      <c r="CG1447" s="53"/>
      <c r="CH1447" s="53"/>
      <c r="CI1447" s="53"/>
      <c r="CJ1447" s="53"/>
      <c r="CK1447" s="53"/>
      <c r="CL1447" s="53"/>
      <c r="CN1447" s="53"/>
      <c r="CO1447" s="53"/>
      <c r="CP1447" s="53"/>
      <c r="CQ1447" s="53"/>
      <c r="CR1447" s="53"/>
      <c r="CS1447" s="53"/>
      <c r="CT1447" s="5"/>
      <c r="CU1447" s="5"/>
      <c r="CV1447" s="5"/>
      <c r="CW1447" s="5"/>
      <c r="CX1447" s="5"/>
      <c r="CY1447" s="5"/>
    </row>
    <row r="1448" spans="1:103" ht="10.25" customHeight="1">
      <c r="A1448" s="216"/>
      <c r="B1448" s="217"/>
      <c r="C1448" s="218"/>
      <c r="D1448" s="219"/>
      <c r="E1448" s="217"/>
      <c r="F1448" s="217"/>
      <c r="G1448" s="217"/>
      <c r="H1448" s="220"/>
      <c r="I1448" s="217"/>
      <c r="J1448" s="217"/>
      <c r="K1448" s="217"/>
      <c r="L1448" s="217"/>
      <c r="M1448" s="217"/>
      <c r="N1448" s="217"/>
      <c r="O1448" s="44"/>
      <c r="P1448" s="44"/>
      <c r="Q1448" s="44"/>
      <c r="R1448" s="44"/>
      <c r="S1448" s="44"/>
      <c r="T1448" s="44"/>
      <c r="U1448" s="44"/>
      <c r="V1448" s="44"/>
      <c r="W1448" s="44"/>
      <c r="X1448" s="44"/>
      <c r="Y1448" s="44"/>
      <c r="Z1448" s="44"/>
      <c r="AA1448" s="44"/>
      <c r="AB1448" s="44"/>
      <c r="AC1448" s="44"/>
      <c r="AD1448" s="44"/>
      <c r="AE1448" s="44"/>
      <c r="AF1448" s="44"/>
      <c r="AG1448" s="44"/>
      <c r="AH1448" s="44"/>
      <c r="AI1448" s="44"/>
      <c r="AJ1448" s="44"/>
      <c r="AK1448" s="44"/>
      <c r="AL1448" s="44"/>
      <c r="AM1448" s="44"/>
      <c r="AN1448" s="44"/>
      <c r="AO1448" s="44"/>
      <c r="AP1448" s="44"/>
      <c r="AQ1448" s="44"/>
      <c r="BA1448" s="5"/>
      <c r="BB1448" s="5"/>
      <c r="BC1448" s="5"/>
      <c r="BD1448" s="5"/>
      <c r="BE1448" s="63"/>
      <c r="BF1448" s="63"/>
      <c r="BG1448" s="63"/>
      <c r="CA1448" s="317"/>
      <c r="CF1448" s="5"/>
      <c r="CG1448" s="53"/>
      <c r="CH1448" s="53"/>
      <c r="CI1448" s="53"/>
      <c r="CJ1448" s="53"/>
      <c r="CK1448" s="53"/>
      <c r="CL1448" s="53"/>
      <c r="CN1448" s="53"/>
      <c r="CO1448" s="53"/>
      <c r="CP1448" s="53"/>
      <c r="CQ1448" s="53"/>
      <c r="CR1448" s="53"/>
      <c r="CS1448" s="53"/>
      <c r="CT1448" s="5"/>
      <c r="CU1448" s="5"/>
      <c r="CV1448" s="5"/>
      <c r="CW1448" s="5"/>
      <c r="CX1448" s="5"/>
      <c r="CY1448" s="5"/>
    </row>
    <row r="1449" spans="1:103" ht="10.25" customHeight="1">
      <c r="A1449" s="216"/>
      <c r="B1449" s="217"/>
      <c r="C1449" s="218"/>
      <c r="D1449" s="219"/>
      <c r="E1449" s="217"/>
      <c r="F1449" s="217"/>
      <c r="G1449" s="217"/>
      <c r="H1449" s="220"/>
      <c r="I1449" s="217"/>
      <c r="J1449" s="217"/>
      <c r="K1449" s="217"/>
      <c r="L1449" s="217"/>
      <c r="M1449" s="217"/>
      <c r="N1449" s="217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44"/>
      <c r="AL1449" s="44"/>
      <c r="AM1449" s="44"/>
      <c r="AN1449" s="44"/>
      <c r="AO1449" s="44"/>
      <c r="AP1449" s="44"/>
      <c r="AQ1449" s="44"/>
      <c r="BA1449" s="5"/>
      <c r="BB1449" s="5"/>
      <c r="BC1449" s="5"/>
      <c r="BD1449" s="5"/>
      <c r="BE1449" s="63"/>
      <c r="BF1449" s="63"/>
      <c r="BG1449" s="63"/>
      <c r="CA1449" s="317"/>
      <c r="CF1449" s="5"/>
      <c r="CG1449" s="53"/>
      <c r="CH1449" s="53"/>
      <c r="CI1449" s="53"/>
      <c r="CJ1449" s="53"/>
      <c r="CK1449" s="53"/>
      <c r="CL1449" s="53"/>
      <c r="CN1449" s="53"/>
      <c r="CO1449" s="53"/>
      <c r="CP1449" s="53"/>
      <c r="CQ1449" s="53"/>
      <c r="CR1449" s="53"/>
      <c r="CS1449" s="53"/>
      <c r="CT1449" s="5"/>
      <c r="CU1449" s="5"/>
      <c r="CV1449" s="5"/>
      <c r="CW1449" s="5"/>
      <c r="CX1449" s="5"/>
      <c r="CY1449" s="5"/>
    </row>
    <row r="1450" spans="1:103" ht="10.25" customHeight="1">
      <c r="A1450" s="216"/>
      <c r="B1450" s="217"/>
      <c r="C1450" s="218"/>
      <c r="D1450" s="219"/>
      <c r="E1450" s="217"/>
      <c r="F1450" s="217"/>
      <c r="G1450" s="217"/>
      <c r="H1450" s="220"/>
      <c r="I1450" s="217"/>
      <c r="J1450" s="217"/>
      <c r="K1450" s="217"/>
      <c r="L1450" s="217"/>
      <c r="M1450" s="217"/>
      <c r="N1450" s="217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BA1450" s="5"/>
      <c r="BB1450" s="5"/>
      <c r="BC1450" s="5"/>
      <c r="BD1450" s="5"/>
      <c r="BE1450" s="63"/>
      <c r="BF1450" s="63"/>
      <c r="BG1450" s="63"/>
      <c r="CA1450" s="317"/>
      <c r="CF1450" s="5"/>
      <c r="CG1450" s="53"/>
      <c r="CH1450" s="53"/>
      <c r="CI1450" s="53"/>
      <c r="CJ1450" s="53"/>
      <c r="CK1450" s="53"/>
      <c r="CL1450" s="53"/>
      <c r="CN1450" s="53"/>
      <c r="CO1450" s="53"/>
      <c r="CP1450" s="53"/>
      <c r="CQ1450" s="53"/>
      <c r="CR1450" s="53"/>
      <c r="CS1450" s="53"/>
      <c r="CT1450" s="5"/>
      <c r="CU1450" s="5"/>
      <c r="CV1450" s="5"/>
      <c r="CW1450" s="5"/>
      <c r="CX1450" s="5"/>
      <c r="CY1450" s="5"/>
    </row>
    <row r="1451" spans="1:103" ht="10.25" customHeight="1">
      <c r="A1451" s="216"/>
      <c r="B1451" s="217"/>
      <c r="C1451" s="218"/>
      <c r="D1451" s="219"/>
      <c r="E1451" s="217"/>
      <c r="F1451" s="217"/>
      <c r="G1451" s="217"/>
      <c r="H1451" s="220"/>
      <c r="I1451" s="217"/>
      <c r="J1451" s="217"/>
      <c r="K1451" s="217"/>
      <c r="L1451" s="217"/>
      <c r="M1451" s="217"/>
      <c r="N1451" s="217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BA1451" s="5"/>
      <c r="BB1451" s="5"/>
      <c r="BC1451" s="5"/>
      <c r="BD1451" s="5"/>
      <c r="BE1451" s="63"/>
      <c r="BF1451" s="63"/>
      <c r="BG1451" s="63"/>
      <c r="CA1451" s="317"/>
      <c r="CF1451" s="5"/>
      <c r="CG1451" s="53"/>
      <c r="CH1451" s="53"/>
      <c r="CI1451" s="53"/>
      <c r="CJ1451" s="53"/>
      <c r="CK1451" s="53"/>
      <c r="CL1451" s="53"/>
      <c r="CN1451" s="53"/>
      <c r="CO1451" s="53"/>
      <c r="CP1451" s="53"/>
      <c r="CQ1451" s="53"/>
      <c r="CR1451" s="53"/>
      <c r="CS1451" s="53"/>
      <c r="CT1451" s="5"/>
      <c r="CU1451" s="5"/>
      <c r="CV1451" s="5"/>
      <c r="CW1451" s="5"/>
      <c r="CX1451" s="5"/>
      <c r="CY1451" s="5"/>
    </row>
    <row r="1452" spans="1:103" ht="10.25" customHeight="1">
      <c r="A1452" s="216"/>
      <c r="B1452" s="217"/>
      <c r="C1452" s="218"/>
      <c r="D1452" s="219"/>
      <c r="E1452" s="217"/>
      <c r="F1452" s="217"/>
      <c r="G1452" s="217"/>
      <c r="H1452" s="220"/>
      <c r="I1452" s="217"/>
      <c r="J1452" s="217"/>
      <c r="K1452" s="217"/>
      <c r="L1452" s="217"/>
      <c r="M1452" s="217"/>
      <c r="N1452" s="217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BA1452" s="5"/>
      <c r="BB1452" s="5"/>
      <c r="BC1452" s="5"/>
      <c r="BD1452" s="5"/>
      <c r="BE1452" s="63"/>
      <c r="BF1452" s="63"/>
      <c r="BG1452" s="63"/>
      <c r="CA1452" s="317"/>
      <c r="CF1452" s="5"/>
      <c r="CG1452" s="53"/>
      <c r="CH1452" s="53"/>
      <c r="CI1452" s="53"/>
      <c r="CJ1452" s="53"/>
      <c r="CK1452" s="53"/>
      <c r="CL1452" s="53"/>
      <c r="CN1452" s="53"/>
      <c r="CO1452" s="53"/>
      <c r="CP1452" s="53"/>
      <c r="CQ1452" s="53"/>
      <c r="CR1452" s="53"/>
      <c r="CS1452" s="53"/>
      <c r="CT1452" s="5"/>
      <c r="CU1452" s="5"/>
      <c r="CV1452" s="5"/>
      <c r="CW1452" s="5"/>
      <c r="CX1452" s="5"/>
      <c r="CY1452" s="5"/>
    </row>
    <row r="1453" spans="1:103" ht="10.25" customHeight="1">
      <c r="A1453" s="216"/>
      <c r="B1453" s="217"/>
      <c r="C1453" s="218"/>
      <c r="D1453" s="219"/>
      <c r="E1453" s="217"/>
      <c r="F1453" s="217"/>
      <c r="G1453" s="217"/>
      <c r="H1453" s="220"/>
      <c r="I1453" s="217"/>
      <c r="J1453" s="217"/>
      <c r="K1453" s="217"/>
      <c r="L1453" s="217"/>
      <c r="M1453" s="217"/>
      <c r="N1453" s="217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BA1453" s="5"/>
      <c r="BB1453" s="5"/>
      <c r="BC1453" s="5"/>
      <c r="BD1453" s="5"/>
      <c r="BE1453" s="63"/>
      <c r="BF1453" s="63"/>
      <c r="BG1453" s="63"/>
      <c r="CA1453" s="317"/>
      <c r="CF1453" s="5"/>
      <c r="CG1453" s="53"/>
      <c r="CH1453" s="53"/>
      <c r="CI1453" s="53"/>
      <c r="CJ1453" s="53"/>
      <c r="CK1453" s="53"/>
      <c r="CL1453" s="53"/>
      <c r="CN1453" s="53"/>
      <c r="CO1453" s="53"/>
      <c r="CP1453" s="53"/>
      <c r="CQ1453" s="53"/>
      <c r="CR1453" s="53"/>
      <c r="CS1453" s="53"/>
      <c r="CT1453" s="5"/>
      <c r="CU1453" s="5"/>
      <c r="CV1453" s="5"/>
      <c r="CW1453" s="5"/>
      <c r="CX1453" s="5"/>
      <c r="CY1453" s="5"/>
    </row>
    <row r="1454" spans="1:103" ht="10.25" customHeight="1">
      <c r="A1454" s="216"/>
      <c r="B1454" s="217"/>
      <c r="C1454" s="218"/>
      <c r="D1454" s="219"/>
      <c r="E1454" s="217"/>
      <c r="F1454" s="217"/>
      <c r="G1454" s="217"/>
      <c r="H1454" s="220"/>
      <c r="I1454" s="217"/>
      <c r="J1454" s="217"/>
      <c r="K1454" s="217"/>
      <c r="L1454" s="217"/>
      <c r="M1454" s="217"/>
      <c r="N1454" s="217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BA1454" s="5"/>
      <c r="BB1454" s="5"/>
      <c r="BC1454" s="5"/>
      <c r="BD1454" s="5"/>
      <c r="BE1454" s="63"/>
      <c r="BF1454" s="63"/>
      <c r="BG1454" s="63"/>
      <c r="CA1454" s="317"/>
      <c r="CF1454" s="5"/>
      <c r="CG1454" s="53"/>
      <c r="CH1454" s="53"/>
      <c r="CI1454" s="53"/>
      <c r="CJ1454" s="53"/>
      <c r="CK1454" s="53"/>
      <c r="CL1454" s="53"/>
      <c r="CN1454" s="53"/>
      <c r="CO1454" s="53"/>
      <c r="CP1454" s="53"/>
      <c r="CQ1454" s="53"/>
      <c r="CR1454" s="53"/>
      <c r="CS1454" s="53"/>
      <c r="CT1454" s="5"/>
      <c r="CU1454" s="5"/>
      <c r="CV1454" s="5"/>
      <c r="CW1454" s="5"/>
      <c r="CX1454" s="5"/>
      <c r="CY1454" s="5"/>
    </row>
    <row r="1455" spans="1:103" ht="10.25" customHeight="1">
      <c r="A1455" s="216"/>
      <c r="B1455" s="217"/>
      <c r="C1455" s="218"/>
      <c r="D1455" s="219"/>
      <c r="E1455" s="217"/>
      <c r="F1455" s="217"/>
      <c r="G1455" s="217"/>
      <c r="H1455" s="220"/>
      <c r="I1455" s="217"/>
      <c r="J1455" s="217"/>
      <c r="K1455" s="217"/>
      <c r="L1455" s="217"/>
      <c r="M1455" s="217"/>
      <c r="N1455" s="217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BA1455" s="5"/>
      <c r="BB1455" s="5"/>
      <c r="BC1455" s="5"/>
      <c r="BD1455" s="5"/>
      <c r="BE1455" s="63"/>
      <c r="BF1455" s="63"/>
      <c r="BG1455" s="63"/>
      <c r="CA1455" s="317"/>
      <c r="CF1455" s="5"/>
      <c r="CG1455" s="53"/>
      <c r="CH1455" s="53"/>
      <c r="CI1455" s="53"/>
      <c r="CJ1455" s="53"/>
      <c r="CK1455" s="53"/>
      <c r="CL1455" s="53"/>
      <c r="CN1455" s="53"/>
      <c r="CO1455" s="53"/>
      <c r="CP1455" s="53"/>
      <c r="CQ1455" s="53"/>
      <c r="CR1455" s="53"/>
      <c r="CS1455" s="53"/>
      <c r="CT1455" s="5"/>
      <c r="CU1455" s="5"/>
      <c r="CV1455" s="5"/>
      <c r="CW1455" s="5"/>
      <c r="CX1455" s="5"/>
      <c r="CY1455" s="5"/>
    </row>
    <row r="1456" spans="1:103" ht="10.25" customHeight="1">
      <c r="A1456" s="216"/>
      <c r="B1456" s="217"/>
      <c r="C1456" s="218"/>
      <c r="D1456" s="219"/>
      <c r="E1456" s="217"/>
      <c r="F1456" s="217"/>
      <c r="G1456" s="217"/>
      <c r="H1456" s="220"/>
      <c r="I1456" s="217"/>
      <c r="J1456" s="217"/>
      <c r="K1456" s="217"/>
      <c r="L1456" s="217"/>
      <c r="M1456" s="217"/>
      <c r="N1456" s="217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BA1456" s="5"/>
      <c r="BB1456" s="5"/>
      <c r="BC1456" s="5"/>
      <c r="BD1456" s="5"/>
      <c r="BE1456" s="63"/>
      <c r="BF1456" s="63"/>
      <c r="BG1456" s="63"/>
      <c r="CA1456" s="317"/>
      <c r="CF1456" s="5"/>
      <c r="CG1456" s="53"/>
      <c r="CH1456" s="53"/>
      <c r="CI1456" s="53"/>
      <c r="CJ1456" s="53"/>
      <c r="CK1456" s="53"/>
      <c r="CL1456" s="53"/>
      <c r="CN1456" s="53"/>
      <c r="CO1456" s="53"/>
      <c r="CP1456" s="53"/>
      <c r="CQ1456" s="53"/>
      <c r="CR1456" s="53"/>
      <c r="CS1456" s="53"/>
      <c r="CT1456" s="5"/>
      <c r="CU1456" s="5"/>
      <c r="CV1456" s="5"/>
      <c r="CW1456" s="5"/>
      <c r="CX1456" s="5"/>
      <c r="CY1456" s="5"/>
    </row>
    <row r="1457" spans="1:103" ht="10.25" customHeight="1">
      <c r="A1457" s="216"/>
      <c r="B1457" s="217"/>
      <c r="C1457" s="218"/>
      <c r="D1457" s="219"/>
      <c r="E1457" s="217"/>
      <c r="F1457" s="217"/>
      <c r="G1457" s="217"/>
      <c r="H1457" s="220"/>
      <c r="I1457" s="217"/>
      <c r="J1457" s="217"/>
      <c r="K1457" s="217"/>
      <c r="L1457" s="217"/>
      <c r="M1457" s="217"/>
      <c r="N1457" s="217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BA1457" s="5"/>
      <c r="BB1457" s="5"/>
      <c r="BC1457" s="5"/>
      <c r="BD1457" s="5"/>
      <c r="BE1457" s="63"/>
      <c r="BF1457" s="63"/>
      <c r="BG1457" s="63"/>
      <c r="CA1457" s="317"/>
      <c r="CF1457" s="5"/>
      <c r="CG1457" s="53"/>
      <c r="CH1457" s="53"/>
      <c r="CI1457" s="53"/>
      <c r="CJ1457" s="53"/>
      <c r="CK1457" s="53"/>
      <c r="CL1457" s="53"/>
      <c r="CN1457" s="53"/>
      <c r="CO1457" s="53"/>
      <c r="CP1457" s="53"/>
      <c r="CQ1457" s="53"/>
      <c r="CR1457" s="53"/>
      <c r="CS1457" s="53"/>
      <c r="CT1457" s="5"/>
      <c r="CU1457" s="5"/>
      <c r="CV1457" s="5"/>
      <c r="CW1457" s="5"/>
      <c r="CX1457" s="5"/>
      <c r="CY1457" s="5"/>
    </row>
    <row r="1458" spans="1:103" ht="10.25" customHeight="1">
      <c r="A1458" s="216"/>
      <c r="B1458" s="217"/>
      <c r="C1458" s="218"/>
      <c r="D1458" s="219"/>
      <c r="E1458" s="217"/>
      <c r="F1458" s="217"/>
      <c r="G1458" s="217"/>
      <c r="H1458" s="220"/>
      <c r="I1458" s="217"/>
      <c r="J1458" s="217"/>
      <c r="K1458" s="217"/>
      <c r="L1458" s="217"/>
      <c r="M1458" s="217"/>
      <c r="N1458" s="217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BA1458" s="5"/>
      <c r="BB1458" s="5"/>
      <c r="BC1458" s="5"/>
      <c r="BD1458" s="5"/>
      <c r="BE1458" s="63"/>
      <c r="BF1458" s="63"/>
      <c r="BG1458" s="63"/>
      <c r="CA1458" s="317"/>
      <c r="CF1458" s="5"/>
      <c r="CG1458" s="53"/>
      <c r="CH1458" s="53"/>
      <c r="CI1458" s="53"/>
      <c r="CJ1458" s="53"/>
      <c r="CK1458" s="53"/>
      <c r="CL1458" s="53"/>
      <c r="CN1458" s="53"/>
      <c r="CO1458" s="53"/>
      <c r="CP1458" s="53"/>
      <c r="CQ1458" s="53"/>
      <c r="CR1458" s="53"/>
      <c r="CS1458" s="53"/>
      <c r="CT1458" s="5"/>
      <c r="CU1458" s="5"/>
      <c r="CV1458" s="5"/>
      <c r="CW1458" s="5"/>
      <c r="CX1458" s="5"/>
      <c r="CY1458" s="5"/>
    </row>
    <row r="1459" spans="1:103" ht="10.25" customHeight="1">
      <c r="A1459" s="216"/>
      <c r="B1459" s="217"/>
      <c r="C1459" s="218"/>
      <c r="D1459" s="219"/>
      <c r="E1459" s="217"/>
      <c r="F1459" s="217"/>
      <c r="G1459" s="217"/>
      <c r="H1459" s="220"/>
      <c r="I1459" s="217"/>
      <c r="J1459" s="217"/>
      <c r="K1459" s="217"/>
      <c r="L1459" s="217"/>
      <c r="M1459" s="217"/>
      <c r="N1459" s="217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BA1459" s="5"/>
      <c r="BB1459" s="5"/>
      <c r="BC1459" s="5"/>
      <c r="BD1459" s="5"/>
      <c r="BE1459" s="63"/>
      <c r="BF1459" s="63"/>
      <c r="BG1459" s="63"/>
      <c r="CA1459" s="256"/>
      <c r="CB1459" s="261"/>
      <c r="CC1459" s="261"/>
      <c r="CD1459" s="261"/>
      <c r="CE1459" s="261"/>
      <c r="CF1459" s="255"/>
      <c r="CG1459" s="53"/>
      <c r="CH1459" s="53"/>
      <c r="CI1459" s="53"/>
      <c r="CJ1459" s="53"/>
      <c r="CK1459" s="53"/>
      <c r="CL1459" s="53"/>
      <c r="CN1459" s="53"/>
      <c r="CO1459" s="53"/>
      <c r="CP1459" s="53"/>
      <c r="CQ1459" s="53"/>
      <c r="CR1459" s="53"/>
      <c r="CS1459" s="53"/>
      <c r="CT1459" s="261"/>
      <c r="CU1459" s="255"/>
      <c r="CV1459" s="261"/>
      <c r="CW1459" s="261"/>
      <c r="CX1459" s="261"/>
      <c r="CY1459" s="255"/>
    </row>
    <row r="1460" spans="1:103" ht="10.25" customHeight="1">
      <c r="A1460" s="216"/>
      <c r="B1460" s="217"/>
      <c r="C1460" s="218"/>
      <c r="D1460" s="219"/>
      <c r="E1460" s="217"/>
      <c r="F1460" s="217"/>
      <c r="G1460" s="217"/>
      <c r="H1460" s="220"/>
      <c r="I1460" s="217"/>
      <c r="J1460" s="217"/>
      <c r="K1460" s="217"/>
      <c r="L1460" s="217"/>
      <c r="M1460" s="217"/>
      <c r="N1460" s="217"/>
      <c r="O1460" s="44"/>
      <c r="P1460" s="44"/>
      <c r="Q1460" s="44"/>
      <c r="R1460" s="44"/>
      <c r="S1460" s="44"/>
      <c r="T1460" s="44"/>
      <c r="U1460" s="44"/>
      <c r="V1460" s="44"/>
      <c r="W1460" s="44"/>
      <c r="X1460" s="44"/>
      <c r="Y1460" s="44"/>
      <c r="Z1460" s="44"/>
      <c r="AA1460" s="44"/>
      <c r="AB1460" s="44"/>
      <c r="AC1460" s="44"/>
      <c r="AD1460" s="44"/>
      <c r="AE1460" s="44"/>
      <c r="AF1460" s="44"/>
      <c r="AG1460" s="44"/>
      <c r="AH1460" s="44"/>
      <c r="AI1460" s="44"/>
      <c r="AJ1460" s="44"/>
      <c r="AK1460" s="44"/>
      <c r="AL1460" s="44"/>
      <c r="AM1460" s="44"/>
      <c r="AN1460" s="44"/>
      <c r="AO1460" s="44"/>
      <c r="AP1460" s="44"/>
      <c r="AQ1460" s="44"/>
      <c r="BA1460" s="5"/>
      <c r="BB1460" s="5"/>
      <c r="BC1460" s="5"/>
      <c r="BD1460" s="5"/>
      <c r="BE1460" s="63"/>
      <c r="BF1460" s="63"/>
      <c r="BG1460" s="63"/>
      <c r="CA1460" s="256"/>
      <c r="CB1460" s="261"/>
      <c r="CC1460" s="261"/>
      <c r="CD1460" s="261"/>
      <c r="CE1460" s="261"/>
      <c r="CF1460" s="255"/>
      <c r="CG1460" s="53"/>
      <c r="CH1460" s="53"/>
      <c r="CI1460" s="53"/>
      <c r="CJ1460" s="53"/>
      <c r="CK1460" s="53"/>
      <c r="CL1460" s="53"/>
      <c r="CN1460" s="53"/>
      <c r="CO1460" s="53"/>
      <c r="CP1460" s="53"/>
      <c r="CQ1460" s="53"/>
      <c r="CR1460" s="53"/>
      <c r="CS1460" s="53"/>
      <c r="CT1460" s="261"/>
      <c r="CU1460" s="255"/>
      <c r="CV1460" s="261"/>
      <c r="CW1460" s="261"/>
      <c r="CX1460" s="261"/>
      <c r="CY1460" s="255"/>
    </row>
    <row r="1461" spans="1:103" ht="10.25" customHeight="1">
      <c r="A1461" s="216"/>
      <c r="B1461" s="217"/>
      <c r="C1461" s="218"/>
      <c r="D1461" s="219"/>
      <c r="E1461" s="217"/>
      <c r="F1461" s="217"/>
      <c r="G1461" s="217"/>
      <c r="H1461" s="220"/>
      <c r="I1461" s="217"/>
      <c r="J1461" s="217"/>
      <c r="K1461" s="217"/>
      <c r="L1461" s="217"/>
      <c r="M1461" s="217"/>
      <c r="N1461" s="217"/>
      <c r="O1461" s="44"/>
      <c r="P1461" s="44"/>
      <c r="Q1461" s="44"/>
      <c r="R1461" s="44"/>
      <c r="S1461" s="44"/>
      <c r="T1461" s="44"/>
      <c r="U1461" s="44"/>
      <c r="V1461" s="44"/>
      <c r="W1461" s="44"/>
      <c r="X1461" s="44"/>
      <c r="Y1461" s="44"/>
      <c r="Z1461" s="44"/>
      <c r="AA1461" s="44"/>
      <c r="AB1461" s="44"/>
      <c r="AC1461" s="44"/>
      <c r="AD1461" s="44"/>
      <c r="AE1461" s="44"/>
      <c r="AF1461" s="44"/>
      <c r="AG1461" s="44"/>
      <c r="AH1461" s="44"/>
      <c r="AI1461" s="44"/>
      <c r="AJ1461" s="44"/>
      <c r="AK1461" s="44"/>
      <c r="AL1461" s="44"/>
      <c r="AM1461" s="44"/>
      <c r="AN1461" s="44"/>
      <c r="AO1461" s="44"/>
      <c r="AP1461" s="44"/>
      <c r="AQ1461" s="44"/>
      <c r="BA1461" s="5"/>
      <c r="BB1461" s="5"/>
      <c r="BC1461" s="5"/>
      <c r="BD1461" s="5"/>
      <c r="BE1461" s="63"/>
      <c r="BF1461" s="63"/>
      <c r="BG1461" s="63"/>
      <c r="CA1461" s="256"/>
      <c r="CB1461" s="261"/>
      <c r="CC1461" s="261"/>
      <c r="CD1461" s="261"/>
      <c r="CE1461" s="261"/>
      <c r="CF1461" s="255"/>
      <c r="CG1461" s="53"/>
      <c r="CH1461" s="53"/>
      <c r="CI1461" s="53"/>
      <c r="CJ1461" s="53"/>
      <c r="CK1461" s="53"/>
      <c r="CL1461" s="53"/>
      <c r="CN1461" s="53"/>
      <c r="CO1461" s="53"/>
      <c r="CP1461" s="53"/>
      <c r="CQ1461" s="53"/>
      <c r="CR1461" s="53"/>
      <c r="CS1461" s="53"/>
      <c r="CT1461" s="261"/>
      <c r="CU1461" s="255"/>
      <c r="CV1461" s="261"/>
      <c r="CW1461" s="255"/>
      <c r="CX1461" s="261"/>
      <c r="CY1461" s="255"/>
    </row>
    <row r="1462" spans="1:103" ht="10.25" customHeight="1">
      <c r="A1462" s="216"/>
      <c r="B1462" s="217"/>
      <c r="C1462" s="218"/>
      <c r="D1462" s="219"/>
      <c r="E1462" s="217"/>
      <c r="F1462" s="217"/>
      <c r="G1462" s="217"/>
      <c r="H1462" s="220"/>
      <c r="I1462" s="217"/>
      <c r="J1462" s="217"/>
      <c r="K1462" s="217"/>
      <c r="L1462" s="217"/>
      <c r="M1462" s="217"/>
      <c r="N1462" s="217"/>
      <c r="O1462" s="44"/>
      <c r="P1462" s="44"/>
      <c r="Q1462" s="44"/>
      <c r="R1462" s="44"/>
      <c r="S1462" s="44"/>
      <c r="T1462" s="44"/>
      <c r="U1462" s="44"/>
      <c r="V1462" s="44"/>
      <c r="W1462" s="44"/>
      <c r="X1462" s="44"/>
      <c r="Y1462" s="44"/>
      <c r="Z1462" s="44"/>
      <c r="AA1462" s="44"/>
      <c r="AB1462" s="44"/>
      <c r="AC1462" s="44"/>
      <c r="AD1462" s="44"/>
      <c r="AE1462" s="44"/>
      <c r="AF1462" s="44"/>
      <c r="AG1462" s="44"/>
      <c r="AH1462" s="44"/>
      <c r="AI1462" s="44"/>
      <c r="AJ1462" s="44"/>
      <c r="AK1462" s="44"/>
      <c r="AL1462" s="44"/>
      <c r="AM1462" s="44"/>
      <c r="AN1462" s="44"/>
      <c r="AO1462" s="44"/>
      <c r="AP1462" s="44"/>
      <c r="AQ1462" s="44"/>
      <c r="BA1462" s="5"/>
      <c r="BB1462" s="5"/>
      <c r="BC1462" s="5"/>
      <c r="BD1462" s="5"/>
      <c r="BE1462" s="63"/>
      <c r="BF1462" s="63"/>
      <c r="BG1462" s="63"/>
      <c r="CA1462" s="256"/>
      <c r="CB1462" s="261"/>
      <c r="CC1462" s="261"/>
      <c r="CD1462" s="261"/>
      <c r="CE1462" s="261"/>
      <c r="CF1462" s="255"/>
      <c r="CG1462" s="53"/>
      <c r="CH1462" s="53"/>
      <c r="CI1462" s="53"/>
      <c r="CJ1462" s="53"/>
      <c r="CK1462" s="53"/>
      <c r="CL1462" s="53"/>
      <c r="CN1462" s="53"/>
      <c r="CO1462" s="53"/>
      <c r="CP1462" s="53"/>
      <c r="CQ1462" s="53"/>
      <c r="CR1462" s="53"/>
      <c r="CS1462" s="53"/>
      <c r="CT1462" s="261"/>
      <c r="CU1462" s="255"/>
      <c r="CV1462" s="255"/>
      <c r="CW1462" s="261"/>
      <c r="CX1462" s="261"/>
      <c r="CY1462" s="255"/>
    </row>
    <row r="1463" spans="1:103" ht="10.25" customHeight="1">
      <c r="A1463" s="216"/>
      <c r="B1463" s="217"/>
      <c r="C1463" s="218"/>
      <c r="D1463" s="219"/>
      <c r="E1463" s="217"/>
      <c r="F1463" s="217"/>
      <c r="G1463" s="217"/>
      <c r="H1463" s="220"/>
      <c r="I1463" s="217"/>
      <c r="J1463" s="217"/>
      <c r="K1463" s="217"/>
      <c r="L1463" s="217"/>
      <c r="M1463" s="217"/>
      <c r="N1463" s="217"/>
      <c r="O1463" s="44"/>
      <c r="P1463" s="44"/>
      <c r="Q1463" s="44"/>
      <c r="R1463" s="44"/>
      <c r="S1463" s="44"/>
      <c r="T1463" s="44"/>
      <c r="U1463" s="44"/>
      <c r="V1463" s="44"/>
      <c r="W1463" s="44"/>
      <c r="X1463" s="44"/>
      <c r="Y1463" s="44"/>
      <c r="Z1463" s="44"/>
      <c r="AA1463" s="44"/>
      <c r="AB1463" s="44"/>
      <c r="AC1463" s="44"/>
      <c r="AD1463" s="44"/>
      <c r="AE1463" s="44"/>
      <c r="AF1463" s="44"/>
      <c r="AG1463" s="44"/>
      <c r="AH1463" s="44"/>
      <c r="AI1463" s="44"/>
      <c r="AJ1463" s="44"/>
      <c r="AK1463" s="44"/>
      <c r="AL1463" s="44"/>
      <c r="AM1463" s="44"/>
      <c r="AN1463" s="44"/>
      <c r="AO1463" s="44"/>
      <c r="AP1463" s="44"/>
      <c r="AQ1463" s="44"/>
      <c r="BA1463" s="5"/>
      <c r="BB1463" s="5"/>
      <c r="BC1463" s="5"/>
      <c r="BD1463" s="5"/>
      <c r="BE1463" s="63"/>
      <c r="BF1463" s="63"/>
      <c r="BG1463" s="63"/>
      <c r="CA1463" s="256"/>
      <c r="CB1463" s="261"/>
      <c r="CC1463" s="261"/>
      <c r="CD1463" s="261"/>
      <c r="CE1463" s="261"/>
      <c r="CF1463" s="255"/>
      <c r="CG1463" s="53"/>
      <c r="CH1463" s="53"/>
      <c r="CI1463" s="53"/>
      <c r="CJ1463" s="53"/>
      <c r="CK1463" s="53"/>
      <c r="CL1463" s="53"/>
      <c r="CN1463" s="53"/>
      <c r="CO1463" s="53"/>
      <c r="CP1463" s="53"/>
      <c r="CQ1463" s="53"/>
      <c r="CR1463" s="53"/>
      <c r="CS1463" s="53"/>
      <c r="CT1463" s="261"/>
      <c r="CU1463" s="255"/>
      <c r="CV1463" s="261"/>
      <c r="CW1463" s="255"/>
      <c r="CX1463" s="261"/>
      <c r="CY1463" s="255"/>
    </row>
    <row r="1464" spans="1:103" ht="10.25" customHeight="1">
      <c r="A1464" s="216"/>
      <c r="B1464" s="217"/>
      <c r="C1464" s="218"/>
      <c r="D1464" s="219"/>
      <c r="E1464" s="217"/>
      <c r="F1464" s="217"/>
      <c r="G1464" s="217"/>
      <c r="H1464" s="220"/>
      <c r="I1464" s="217"/>
      <c r="J1464" s="217"/>
      <c r="K1464" s="217"/>
      <c r="L1464" s="217"/>
      <c r="M1464" s="217"/>
      <c r="N1464" s="217"/>
      <c r="O1464" s="44"/>
      <c r="P1464" s="44"/>
      <c r="Q1464" s="44"/>
      <c r="R1464" s="44"/>
      <c r="S1464" s="44"/>
      <c r="T1464" s="44"/>
      <c r="U1464" s="44"/>
      <c r="V1464" s="44"/>
      <c r="W1464" s="44"/>
      <c r="X1464" s="44"/>
      <c r="Y1464" s="44"/>
      <c r="Z1464" s="44"/>
      <c r="AA1464" s="44"/>
      <c r="AB1464" s="44"/>
      <c r="AC1464" s="44"/>
      <c r="AD1464" s="44"/>
      <c r="AE1464" s="44"/>
      <c r="AF1464" s="44"/>
      <c r="AG1464" s="44"/>
      <c r="AH1464" s="44"/>
      <c r="AI1464" s="44"/>
      <c r="AJ1464" s="44"/>
      <c r="AK1464" s="44"/>
      <c r="AL1464" s="44"/>
      <c r="AM1464" s="44"/>
      <c r="AN1464" s="44"/>
      <c r="AO1464" s="44"/>
      <c r="AP1464" s="44"/>
      <c r="AQ1464" s="44"/>
      <c r="BA1464" s="5"/>
      <c r="BB1464" s="5"/>
      <c r="BC1464" s="5"/>
      <c r="BD1464" s="5"/>
      <c r="BE1464" s="63"/>
      <c r="BF1464" s="63"/>
      <c r="BG1464" s="63"/>
      <c r="CA1464" s="256"/>
      <c r="CB1464" s="261"/>
      <c r="CC1464" s="261"/>
      <c r="CD1464" s="261"/>
      <c r="CE1464" s="255"/>
      <c r="CF1464" s="261"/>
      <c r="CG1464" s="53"/>
      <c r="CH1464" s="53"/>
      <c r="CI1464" s="53"/>
      <c r="CJ1464" s="53"/>
      <c r="CK1464" s="53"/>
      <c r="CL1464" s="53"/>
      <c r="CN1464" s="53"/>
      <c r="CO1464" s="53"/>
      <c r="CP1464" s="53"/>
      <c r="CQ1464" s="53"/>
      <c r="CR1464" s="53"/>
      <c r="CS1464" s="53"/>
      <c r="CT1464" s="255"/>
      <c r="CU1464" s="261"/>
      <c r="CV1464" s="255"/>
      <c r="CW1464" s="261"/>
      <c r="CX1464" s="261"/>
      <c r="CY1464" s="255"/>
    </row>
    <row r="1465" spans="1:103" ht="10.25" customHeight="1">
      <c r="A1465" s="216"/>
      <c r="B1465" s="217"/>
      <c r="C1465" s="218"/>
      <c r="D1465" s="219"/>
      <c r="E1465" s="217"/>
      <c r="F1465" s="217"/>
      <c r="G1465" s="217"/>
      <c r="H1465" s="220"/>
      <c r="I1465" s="217"/>
      <c r="J1465" s="217"/>
      <c r="K1465" s="217"/>
      <c r="L1465" s="217"/>
      <c r="M1465" s="217"/>
      <c r="N1465" s="217"/>
      <c r="O1465" s="44"/>
      <c r="P1465" s="44"/>
      <c r="Q1465" s="44"/>
      <c r="R1465" s="44"/>
      <c r="S1465" s="44"/>
      <c r="T1465" s="44"/>
      <c r="U1465" s="44"/>
      <c r="V1465" s="44"/>
      <c r="W1465" s="44"/>
      <c r="X1465" s="44"/>
      <c r="Y1465" s="44"/>
      <c r="Z1465" s="44"/>
      <c r="AA1465" s="44"/>
      <c r="AB1465" s="44"/>
      <c r="AC1465" s="44"/>
      <c r="AD1465" s="44"/>
      <c r="AE1465" s="44"/>
      <c r="AF1465" s="44"/>
      <c r="AG1465" s="44"/>
      <c r="AH1465" s="44"/>
      <c r="AI1465" s="44"/>
      <c r="AJ1465" s="44"/>
      <c r="AK1465" s="44"/>
      <c r="AL1465" s="44"/>
      <c r="AM1465" s="44"/>
      <c r="AN1465" s="44"/>
      <c r="AO1465" s="44"/>
      <c r="AP1465" s="44"/>
      <c r="AQ1465" s="44"/>
      <c r="BA1465" s="5"/>
      <c r="BB1465" s="5"/>
      <c r="BC1465" s="5"/>
      <c r="BD1465" s="5"/>
      <c r="BE1465" s="63"/>
      <c r="BF1465" s="63"/>
      <c r="BG1465" s="63"/>
      <c r="CA1465" s="256"/>
      <c r="CB1465" s="261"/>
      <c r="CC1465" s="261"/>
      <c r="CD1465" s="261"/>
      <c r="CE1465" s="255"/>
      <c r="CF1465" s="261"/>
      <c r="CG1465" s="53"/>
      <c r="CH1465" s="53"/>
      <c r="CI1465" s="53"/>
      <c r="CJ1465" s="53"/>
      <c r="CK1465" s="53"/>
      <c r="CL1465" s="53"/>
      <c r="CN1465" s="53"/>
      <c r="CO1465" s="53"/>
      <c r="CP1465" s="53"/>
      <c r="CQ1465" s="53"/>
      <c r="CR1465" s="53"/>
      <c r="CS1465" s="53"/>
      <c r="CT1465" s="255"/>
      <c r="CU1465" s="261"/>
      <c r="CV1465" s="261"/>
      <c r="CW1465" s="255"/>
      <c r="CX1465" s="261"/>
      <c r="CY1465" s="255"/>
    </row>
    <row r="1466" spans="1:103" ht="10.25" customHeight="1">
      <c r="A1466" s="216"/>
      <c r="B1466" s="217"/>
      <c r="C1466" s="218"/>
      <c r="D1466" s="219"/>
      <c r="E1466" s="217"/>
      <c r="F1466" s="217"/>
      <c r="G1466" s="217"/>
      <c r="H1466" s="220"/>
      <c r="I1466" s="217"/>
      <c r="J1466" s="217"/>
      <c r="K1466" s="217"/>
      <c r="L1466" s="217"/>
      <c r="M1466" s="217"/>
      <c r="N1466" s="217"/>
      <c r="O1466" s="44"/>
      <c r="P1466" s="44"/>
      <c r="Q1466" s="44"/>
      <c r="R1466" s="44"/>
      <c r="S1466" s="44"/>
      <c r="T1466" s="44"/>
      <c r="U1466" s="44"/>
      <c r="V1466" s="44"/>
      <c r="W1466" s="44"/>
      <c r="X1466" s="44"/>
      <c r="Y1466" s="44"/>
      <c r="Z1466" s="44"/>
      <c r="AA1466" s="44"/>
      <c r="AB1466" s="44"/>
      <c r="AC1466" s="44"/>
      <c r="AD1466" s="44"/>
      <c r="AE1466" s="44"/>
      <c r="AF1466" s="44"/>
      <c r="AG1466" s="44"/>
      <c r="AH1466" s="44"/>
      <c r="AI1466" s="44"/>
      <c r="AJ1466" s="44"/>
      <c r="AK1466" s="44"/>
      <c r="AL1466" s="44"/>
      <c r="AM1466" s="44"/>
      <c r="AN1466" s="44"/>
      <c r="AO1466" s="44"/>
      <c r="AP1466" s="44"/>
      <c r="AQ1466" s="44"/>
      <c r="BA1466" s="5"/>
      <c r="BB1466" s="5"/>
      <c r="BC1466" s="5"/>
      <c r="BD1466" s="5"/>
      <c r="BE1466" s="63"/>
      <c r="BF1466" s="63"/>
      <c r="BG1466" s="63"/>
      <c r="CA1466" s="256"/>
      <c r="CB1466" s="261"/>
      <c r="CC1466" s="261"/>
      <c r="CD1466" s="255"/>
      <c r="CE1466" s="261"/>
      <c r="CF1466" s="261"/>
      <c r="CG1466" s="53"/>
      <c r="CH1466" s="53"/>
      <c r="CI1466" s="53"/>
      <c r="CJ1466" s="53"/>
      <c r="CK1466" s="53"/>
      <c r="CL1466" s="53"/>
      <c r="CN1466" s="53"/>
      <c r="CO1466" s="53"/>
      <c r="CP1466" s="53"/>
      <c r="CQ1466" s="53"/>
      <c r="CR1466" s="53"/>
      <c r="CS1466" s="53"/>
      <c r="CT1466" s="261"/>
      <c r="CU1466" s="261"/>
      <c r="CV1466" s="255"/>
      <c r="CW1466" s="261"/>
      <c r="CX1466" s="261"/>
      <c r="CY1466" s="255"/>
    </row>
    <row r="1467" spans="1:103" ht="10.25" customHeight="1">
      <c r="A1467" s="216"/>
      <c r="B1467" s="217"/>
      <c r="C1467" s="218"/>
      <c r="D1467" s="219"/>
      <c r="E1467" s="217"/>
      <c r="F1467" s="217"/>
      <c r="G1467" s="217"/>
      <c r="H1467" s="220"/>
      <c r="I1467" s="217"/>
      <c r="J1467" s="217"/>
      <c r="K1467" s="217"/>
      <c r="L1467" s="217"/>
      <c r="M1467" s="217"/>
      <c r="N1467" s="217"/>
      <c r="O1467" s="44"/>
      <c r="P1467" s="44"/>
      <c r="Q1467" s="44"/>
      <c r="R1467" s="44"/>
      <c r="S1467" s="44"/>
      <c r="T1467" s="44"/>
      <c r="U1467" s="44"/>
      <c r="V1467" s="44"/>
      <c r="W1467" s="44"/>
      <c r="X1467" s="44"/>
      <c r="Y1467" s="44"/>
      <c r="Z1467" s="44"/>
      <c r="AA1467" s="44"/>
      <c r="AB1467" s="44"/>
      <c r="AC1467" s="44"/>
      <c r="AD1467" s="44"/>
      <c r="AE1467" s="44"/>
      <c r="AF1467" s="44"/>
      <c r="AG1467" s="44"/>
      <c r="AH1467" s="44"/>
      <c r="AI1467" s="44"/>
      <c r="AJ1467" s="44"/>
      <c r="AK1467" s="44"/>
      <c r="AL1467" s="44"/>
      <c r="AM1467" s="44"/>
      <c r="AN1467" s="44"/>
      <c r="AO1467" s="44"/>
      <c r="AP1467" s="44"/>
      <c r="AQ1467" s="44"/>
      <c r="BA1467" s="5"/>
      <c r="BB1467" s="5"/>
      <c r="BC1467" s="5"/>
      <c r="BD1467" s="5"/>
      <c r="BE1467" s="63"/>
      <c r="BF1467" s="63"/>
      <c r="BG1467" s="63"/>
      <c r="CA1467" s="256"/>
      <c r="CB1467" s="261"/>
      <c r="CC1467" s="261"/>
      <c r="CD1467" s="255"/>
      <c r="CE1467" s="261"/>
      <c r="CF1467" s="261"/>
      <c r="CG1467" s="53"/>
      <c r="CH1467" s="53"/>
      <c r="CI1467" s="53"/>
      <c r="CJ1467" s="53"/>
      <c r="CK1467" s="53"/>
      <c r="CL1467" s="53"/>
      <c r="CN1467" s="53"/>
      <c r="CO1467" s="53"/>
      <c r="CP1467" s="53"/>
      <c r="CQ1467" s="53"/>
      <c r="CR1467" s="53"/>
      <c r="CS1467" s="53"/>
      <c r="CT1467" s="261"/>
      <c r="CU1467" s="261"/>
      <c r="CV1467" s="261"/>
      <c r="CW1467" s="255"/>
      <c r="CX1467" s="261"/>
      <c r="CY1467" s="255"/>
    </row>
    <row r="1468" spans="1:103" ht="10.25" customHeight="1">
      <c r="A1468" s="216"/>
      <c r="B1468" s="217"/>
      <c r="C1468" s="218"/>
      <c r="D1468" s="219"/>
      <c r="E1468" s="217"/>
      <c r="F1468" s="217"/>
      <c r="G1468" s="217"/>
      <c r="H1468" s="220"/>
      <c r="I1468" s="217"/>
      <c r="J1468" s="217"/>
      <c r="K1468" s="217"/>
      <c r="L1468" s="217"/>
      <c r="M1468" s="217"/>
      <c r="N1468" s="217"/>
      <c r="O1468" s="44"/>
      <c r="P1468" s="44"/>
      <c r="Q1468" s="44"/>
      <c r="R1468" s="44"/>
      <c r="S1468" s="44"/>
      <c r="T1468" s="44"/>
      <c r="U1468" s="44"/>
      <c r="V1468" s="44"/>
      <c r="W1468" s="44"/>
      <c r="X1468" s="44"/>
      <c r="Y1468" s="44"/>
      <c r="Z1468" s="44"/>
      <c r="AA1468" s="44"/>
      <c r="AB1468" s="44"/>
      <c r="AC1468" s="44"/>
      <c r="AD1468" s="44"/>
      <c r="AE1468" s="44"/>
      <c r="AF1468" s="44"/>
      <c r="AG1468" s="44"/>
      <c r="AH1468" s="44"/>
      <c r="AI1468" s="44"/>
      <c r="AJ1468" s="44"/>
      <c r="AK1468" s="44"/>
      <c r="AL1468" s="44"/>
      <c r="AM1468" s="44"/>
      <c r="AN1468" s="44"/>
      <c r="AO1468" s="44"/>
      <c r="AP1468" s="44"/>
      <c r="AQ1468" s="44"/>
      <c r="BA1468" s="5"/>
      <c r="BB1468" s="5"/>
      <c r="BC1468" s="5"/>
      <c r="BD1468" s="5"/>
      <c r="BE1468" s="63"/>
      <c r="BF1468" s="63"/>
      <c r="BG1468" s="63"/>
      <c r="CA1468" s="256"/>
      <c r="CB1468" s="261"/>
      <c r="CC1468" s="261"/>
      <c r="CD1468" s="255"/>
      <c r="CE1468" s="261"/>
      <c r="CF1468" s="261"/>
      <c r="CG1468" s="53"/>
      <c r="CH1468" s="53"/>
      <c r="CI1468" s="53"/>
      <c r="CJ1468" s="53"/>
      <c r="CK1468" s="53"/>
      <c r="CL1468" s="53"/>
      <c r="CN1468" s="53"/>
      <c r="CO1468" s="53"/>
      <c r="CP1468" s="53"/>
      <c r="CQ1468" s="53"/>
      <c r="CR1468" s="53"/>
      <c r="CS1468" s="53"/>
      <c r="CT1468" s="261"/>
      <c r="CU1468" s="261"/>
      <c r="CV1468" s="261"/>
      <c r="CW1468" s="261"/>
      <c r="CX1468" s="261"/>
      <c r="CY1468" s="255"/>
    </row>
    <row r="1469" spans="1:103" ht="10.25" customHeight="1">
      <c r="A1469" s="216"/>
      <c r="B1469" s="217"/>
      <c r="C1469" s="218"/>
      <c r="D1469" s="219"/>
      <c r="E1469" s="217"/>
      <c r="F1469" s="217"/>
      <c r="G1469" s="217"/>
      <c r="H1469" s="220"/>
      <c r="I1469" s="217"/>
      <c r="J1469" s="217"/>
      <c r="K1469" s="217"/>
      <c r="L1469" s="217"/>
      <c r="M1469" s="217"/>
      <c r="N1469" s="217"/>
      <c r="O1469" s="44"/>
      <c r="P1469" s="44"/>
      <c r="Q1469" s="44"/>
      <c r="R1469" s="44"/>
      <c r="S1469" s="44"/>
      <c r="T1469" s="44"/>
      <c r="U1469" s="44"/>
      <c r="V1469" s="44"/>
      <c r="W1469" s="44"/>
      <c r="X1469" s="44"/>
      <c r="Y1469" s="44"/>
      <c r="Z1469" s="44"/>
      <c r="AA1469" s="44"/>
      <c r="AB1469" s="44"/>
      <c r="AC1469" s="44"/>
      <c r="AD1469" s="44"/>
      <c r="AE1469" s="44"/>
      <c r="AF1469" s="44"/>
      <c r="AG1469" s="44"/>
      <c r="AH1469" s="44"/>
      <c r="AI1469" s="44"/>
      <c r="AJ1469" s="44"/>
      <c r="AK1469" s="44"/>
      <c r="AL1469" s="44"/>
      <c r="AM1469" s="44"/>
      <c r="AN1469" s="44"/>
      <c r="AO1469" s="44"/>
      <c r="AP1469" s="44"/>
      <c r="AQ1469" s="44"/>
      <c r="BA1469" s="5"/>
      <c r="BB1469" s="5"/>
      <c r="BC1469" s="5"/>
      <c r="BD1469" s="5"/>
      <c r="BE1469" s="63"/>
      <c r="BF1469" s="63"/>
      <c r="BG1469" s="63"/>
      <c r="CA1469" s="256"/>
      <c r="CB1469" s="261"/>
      <c r="CC1469" s="261"/>
      <c r="CD1469" s="261"/>
      <c r="CE1469" s="261"/>
      <c r="CF1469" s="261"/>
      <c r="CG1469" s="53"/>
      <c r="CH1469" s="53"/>
      <c r="CI1469" s="53"/>
      <c r="CJ1469" s="53"/>
      <c r="CK1469" s="53"/>
      <c r="CL1469" s="53"/>
      <c r="CN1469" s="53"/>
      <c r="CO1469" s="53"/>
      <c r="CP1469" s="53"/>
      <c r="CQ1469" s="53"/>
      <c r="CR1469" s="53"/>
      <c r="CS1469" s="53"/>
      <c r="CT1469" s="261"/>
      <c r="CU1469" s="261"/>
      <c r="CV1469" s="255"/>
      <c r="CW1469" s="255"/>
      <c r="CX1469" s="261"/>
      <c r="CY1469" s="255"/>
    </row>
    <row r="1470" spans="1:103" ht="10.25" customHeight="1">
      <c r="A1470" s="216"/>
      <c r="B1470" s="217"/>
      <c r="C1470" s="218"/>
      <c r="D1470" s="219"/>
      <c r="E1470" s="217"/>
      <c r="F1470" s="217"/>
      <c r="G1470" s="217"/>
      <c r="H1470" s="220"/>
      <c r="I1470" s="217"/>
      <c r="J1470" s="217"/>
      <c r="K1470" s="217"/>
      <c r="L1470" s="217"/>
      <c r="M1470" s="217"/>
      <c r="N1470" s="217"/>
      <c r="O1470" s="44"/>
      <c r="P1470" s="44"/>
      <c r="Q1470" s="44"/>
      <c r="R1470" s="44"/>
      <c r="S1470" s="44"/>
      <c r="T1470" s="44"/>
      <c r="U1470" s="44"/>
      <c r="V1470" s="44"/>
      <c r="W1470" s="44"/>
      <c r="X1470" s="44"/>
      <c r="Y1470" s="44"/>
      <c r="Z1470" s="44"/>
      <c r="AA1470" s="44"/>
      <c r="AB1470" s="44"/>
      <c r="AC1470" s="44"/>
      <c r="AD1470" s="44"/>
      <c r="AE1470" s="44"/>
      <c r="AF1470" s="44"/>
      <c r="AG1470" s="44"/>
      <c r="AH1470" s="44"/>
      <c r="AI1470" s="44"/>
      <c r="AJ1470" s="44"/>
      <c r="AK1470" s="44"/>
      <c r="AL1470" s="44"/>
      <c r="AM1470" s="44"/>
      <c r="AN1470" s="44"/>
      <c r="AO1470" s="44"/>
      <c r="AP1470" s="44"/>
      <c r="AQ1470" s="44"/>
      <c r="BA1470" s="5"/>
      <c r="BB1470" s="5"/>
      <c r="BC1470" s="5"/>
      <c r="BD1470" s="5"/>
      <c r="BE1470" s="63"/>
      <c r="BF1470" s="63"/>
      <c r="BG1470" s="63"/>
      <c r="CA1470" s="256"/>
      <c r="CB1470" s="261"/>
      <c r="CC1470" s="261"/>
      <c r="CD1470" s="261"/>
      <c r="CE1470" s="261"/>
      <c r="CF1470" s="261"/>
      <c r="CG1470" s="53"/>
      <c r="CH1470" s="53"/>
      <c r="CI1470" s="53"/>
      <c r="CJ1470" s="53"/>
      <c r="CK1470" s="53"/>
      <c r="CL1470" s="53"/>
      <c r="CN1470" s="53"/>
      <c r="CO1470" s="53"/>
      <c r="CP1470" s="53"/>
      <c r="CQ1470" s="53"/>
      <c r="CR1470" s="53"/>
      <c r="CS1470" s="53"/>
      <c r="CT1470" s="261"/>
      <c r="CU1470" s="261"/>
      <c r="CV1470" s="261"/>
      <c r="CW1470" s="261"/>
      <c r="CX1470" s="261"/>
      <c r="CY1470" s="255"/>
    </row>
    <row r="1471" spans="1:103" ht="10.25" customHeight="1">
      <c r="A1471" s="216"/>
      <c r="B1471" s="217"/>
      <c r="C1471" s="218"/>
      <c r="D1471" s="219"/>
      <c r="E1471" s="217"/>
      <c r="F1471" s="217"/>
      <c r="G1471" s="217"/>
      <c r="H1471" s="220"/>
      <c r="I1471" s="217"/>
      <c r="J1471" s="217"/>
      <c r="K1471" s="217"/>
      <c r="L1471" s="217"/>
      <c r="M1471" s="217"/>
      <c r="N1471" s="217"/>
      <c r="O1471" s="44"/>
      <c r="P1471" s="44"/>
      <c r="Q1471" s="44"/>
      <c r="R1471" s="44"/>
      <c r="S1471" s="44"/>
      <c r="T1471" s="44"/>
      <c r="U1471" s="44"/>
      <c r="V1471" s="44"/>
      <c r="W1471" s="44"/>
      <c r="X1471" s="44"/>
      <c r="Y1471" s="44"/>
      <c r="Z1471" s="44"/>
      <c r="AA1471" s="44"/>
      <c r="AB1471" s="44"/>
      <c r="AC1471" s="44"/>
      <c r="AD1471" s="44"/>
      <c r="AE1471" s="44"/>
      <c r="AF1471" s="44"/>
      <c r="AG1471" s="44"/>
      <c r="AH1471" s="44"/>
      <c r="AI1471" s="44"/>
      <c r="AJ1471" s="44"/>
      <c r="AK1471" s="44"/>
      <c r="AL1471" s="44"/>
      <c r="AM1471" s="44"/>
      <c r="AN1471" s="44"/>
      <c r="AO1471" s="44"/>
      <c r="AP1471" s="44"/>
      <c r="AQ1471" s="44"/>
      <c r="BA1471" s="5"/>
      <c r="BB1471" s="5"/>
      <c r="BC1471" s="5"/>
      <c r="BD1471" s="5"/>
      <c r="BE1471" s="63"/>
      <c r="BF1471" s="63"/>
      <c r="BG1471" s="63"/>
      <c r="CA1471" s="256"/>
      <c r="CB1471" s="261"/>
      <c r="CC1471" s="261"/>
      <c r="CD1471" s="261"/>
      <c r="CE1471" s="261"/>
      <c r="CF1471" s="261"/>
      <c r="CG1471" s="53"/>
      <c r="CH1471" s="53"/>
      <c r="CI1471" s="53"/>
      <c r="CJ1471" s="53"/>
      <c r="CK1471" s="53"/>
      <c r="CL1471" s="53"/>
      <c r="CN1471" s="53"/>
      <c r="CO1471" s="53"/>
      <c r="CP1471" s="53"/>
      <c r="CQ1471" s="53"/>
      <c r="CR1471" s="53"/>
      <c r="CS1471" s="53"/>
      <c r="CT1471" s="261"/>
      <c r="CU1471" s="261"/>
      <c r="CV1471" s="255"/>
      <c r="CW1471" s="255"/>
      <c r="CX1471" s="261"/>
      <c r="CY1471" s="255"/>
    </row>
    <row r="1472" spans="1:103" ht="10.25" customHeight="1">
      <c r="A1472" s="216"/>
      <c r="B1472" s="217"/>
      <c r="C1472" s="218"/>
      <c r="D1472" s="219"/>
      <c r="E1472" s="217"/>
      <c r="F1472" s="217"/>
      <c r="G1472" s="217"/>
      <c r="H1472" s="220"/>
      <c r="I1472" s="217"/>
      <c r="J1472" s="217"/>
      <c r="K1472" s="217"/>
      <c r="L1472" s="217"/>
      <c r="M1472" s="217"/>
      <c r="N1472" s="217"/>
      <c r="O1472" s="44"/>
      <c r="P1472" s="44"/>
      <c r="Q1472" s="44"/>
      <c r="R1472" s="44"/>
      <c r="S1472" s="44"/>
      <c r="T1472" s="44"/>
      <c r="U1472" s="44"/>
      <c r="V1472" s="44"/>
      <c r="W1472" s="44"/>
      <c r="X1472" s="44"/>
      <c r="Y1472" s="44"/>
      <c r="Z1472" s="44"/>
      <c r="AA1472" s="44"/>
      <c r="AB1472" s="44"/>
      <c r="AC1472" s="44"/>
      <c r="AD1472" s="44"/>
      <c r="AE1472" s="44"/>
      <c r="AF1472" s="44"/>
      <c r="AG1472" s="44"/>
      <c r="AH1472" s="44"/>
      <c r="AI1472" s="44"/>
      <c r="AJ1472" s="44"/>
      <c r="AK1472" s="44"/>
      <c r="AL1472" s="44"/>
      <c r="AM1472" s="44"/>
      <c r="AN1472" s="44"/>
      <c r="AO1472" s="44"/>
      <c r="AP1472" s="44"/>
      <c r="AQ1472" s="44"/>
      <c r="BA1472" s="5"/>
      <c r="BB1472" s="5"/>
      <c r="BC1472" s="5"/>
      <c r="BD1472" s="5"/>
      <c r="BE1472" s="63"/>
      <c r="BF1472" s="63"/>
      <c r="BG1472" s="63"/>
      <c r="CA1472" s="256"/>
      <c r="CB1472" s="261"/>
      <c r="CC1472" s="261"/>
      <c r="CD1472" s="261"/>
      <c r="CE1472" s="261"/>
      <c r="CF1472" s="261"/>
      <c r="CG1472" s="53"/>
      <c r="CH1472" s="53"/>
      <c r="CI1472" s="53"/>
      <c r="CJ1472" s="53"/>
      <c r="CK1472" s="53"/>
      <c r="CL1472" s="53"/>
      <c r="CN1472" s="53"/>
      <c r="CO1472" s="53"/>
      <c r="CP1472" s="53"/>
      <c r="CQ1472" s="53"/>
      <c r="CR1472" s="53"/>
      <c r="CS1472" s="53"/>
      <c r="CT1472" s="261"/>
      <c r="CU1472" s="261"/>
      <c r="CV1472" s="261"/>
      <c r="CW1472" s="261"/>
      <c r="CX1472" s="255"/>
      <c r="CY1472" s="255"/>
    </row>
    <row r="1473" spans="1:103" ht="10.25" customHeight="1">
      <c r="A1473" s="216"/>
      <c r="B1473" s="217"/>
      <c r="C1473" s="218"/>
      <c r="D1473" s="219"/>
      <c r="E1473" s="217"/>
      <c r="F1473" s="217"/>
      <c r="G1473" s="217"/>
      <c r="H1473" s="220"/>
      <c r="I1473" s="217"/>
      <c r="J1473" s="217"/>
      <c r="K1473" s="217"/>
      <c r="L1473" s="217"/>
      <c r="M1473" s="217"/>
      <c r="N1473" s="217"/>
      <c r="O1473" s="44"/>
      <c r="P1473" s="44"/>
      <c r="Q1473" s="44"/>
      <c r="R1473" s="44"/>
      <c r="S1473" s="44"/>
      <c r="T1473" s="44"/>
      <c r="U1473" s="44"/>
      <c r="V1473" s="44"/>
      <c r="W1473" s="44"/>
      <c r="X1473" s="44"/>
      <c r="Y1473" s="44"/>
      <c r="Z1473" s="44"/>
      <c r="AA1473" s="44"/>
      <c r="AB1473" s="44"/>
      <c r="AC1473" s="44"/>
      <c r="AD1473" s="44"/>
      <c r="AE1473" s="44"/>
      <c r="AF1473" s="44"/>
      <c r="AG1473" s="44"/>
      <c r="AH1473" s="44"/>
      <c r="AI1473" s="44"/>
      <c r="AJ1473" s="44"/>
      <c r="AK1473" s="44"/>
      <c r="AL1473" s="44"/>
      <c r="AM1473" s="44"/>
      <c r="AN1473" s="44"/>
      <c r="AO1473" s="44"/>
      <c r="AP1473" s="44"/>
      <c r="AQ1473" s="44"/>
      <c r="BA1473" s="5"/>
      <c r="BB1473" s="5"/>
      <c r="BC1473" s="5"/>
      <c r="BD1473" s="5"/>
      <c r="BE1473" s="63"/>
      <c r="BF1473" s="63"/>
      <c r="BG1473" s="63"/>
      <c r="CA1473" s="256"/>
      <c r="CB1473" s="261"/>
      <c r="CC1473" s="261"/>
      <c r="CD1473" s="261"/>
      <c r="CE1473" s="261"/>
      <c r="CF1473" s="261"/>
      <c r="CG1473" s="53"/>
      <c r="CH1473" s="53"/>
      <c r="CI1473" s="53"/>
      <c r="CJ1473" s="53"/>
      <c r="CK1473" s="53"/>
      <c r="CL1473" s="53"/>
      <c r="CN1473" s="53"/>
      <c r="CO1473" s="53"/>
      <c r="CP1473" s="53"/>
      <c r="CQ1473" s="53"/>
      <c r="CR1473" s="53"/>
      <c r="CS1473" s="53"/>
      <c r="CT1473" s="261"/>
      <c r="CU1473" s="261"/>
      <c r="CV1473" s="255"/>
      <c r="CW1473" s="255"/>
      <c r="CX1473" s="261"/>
      <c r="CY1473" s="255"/>
    </row>
    <row r="1474" spans="1:103" ht="10.25" customHeight="1">
      <c r="A1474" s="216"/>
      <c r="B1474" s="217"/>
      <c r="C1474" s="218"/>
      <c r="D1474" s="219"/>
      <c r="E1474" s="217"/>
      <c r="F1474" s="217"/>
      <c r="G1474" s="217"/>
      <c r="H1474" s="220"/>
      <c r="I1474" s="217"/>
      <c r="J1474" s="217"/>
      <c r="K1474" s="217"/>
      <c r="L1474" s="217"/>
      <c r="M1474" s="217"/>
      <c r="N1474" s="217"/>
      <c r="O1474" s="44"/>
      <c r="P1474" s="44"/>
      <c r="Q1474" s="44"/>
      <c r="R1474" s="44"/>
      <c r="S1474" s="44"/>
      <c r="T1474" s="44"/>
      <c r="U1474" s="44"/>
      <c r="V1474" s="44"/>
      <c r="W1474" s="44"/>
      <c r="X1474" s="44"/>
      <c r="Y1474" s="44"/>
      <c r="Z1474" s="44"/>
      <c r="AA1474" s="44"/>
      <c r="AB1474" s="44"/>
      <c r="AC1474" s="44"/>
      <c r="AD1474" s="44"/>
      <c r="AE1474" s="44"/>
      <c r="AF1474" s="44"/>
      <c r="AG1474" s="44"/>
      <c r="AH1474" s="44"/>
      <c r="AI1474" s="44"/>
      <c r="AJ1474" s="44"/>
      <c r="AK1474" s="44"/>
      <c r="AL1474" s="44"/>
      <c r="AM1474" s="44"/>
      <c r="AN1474" s="44"/>
      <c r="AO1474" s="44"/>
      <c r="AP1474" s="44"/>
      <c r="AQ1474" s="44"/>
      <c r="BA1474" s="5"/>
      <c r="BB1474" s="5"/>
      <c r="BC1474" s="5"/>
      <c r="BD1474" s="5"/>
      <c r="BE1474" s="63"/>
      <c r="BF1474" s="63"/>
      <c r="BG1474" s="63"/>
      <c r="CA1474" s="256"/>
      <c r="CB1474" s="261"/>
      <c r="CC1474" s="261"/>
      <c r="CD1474" s="261"/>
      <c r="CE1474" s="261"/>
      <c r="CF1474" s="261"/>
      <c r="CG1474" s="53"/>
      <c r="CH1474" s="53"/>
      <c r="CI1474" s="53"/>
      <c r="CJ1474" s="53"/>
      <c r="CK1474" s="53"/>
      <c r="CL1474" s="53"/>
      <c r="CN1474" s="53"/>
      <c r="CO1474" s="53"/>
      <c r="CP1474" s="53"/>
      <c r="CQ1474" s="53"/>
      <c r="CR1474" s="53"/>
      <c r="CS1474" s="53"/>
      <c r="CT1474" s="261"/>
      <c r="CU1474" s="261"/>
      <c r="CV1474" s="261"/>
      <c r="CW1474" s="261"/>
      <c r="CX1474" s="261"/>
      <c r="CY1474" s="255"/>
    </row>
    <row r="1475" spans="1:103" ht="10.25" customHeight="1">
      <c r="A1475" s="216"/>
      <c r="B1475" s="217"/>
      <c r="C1475" s="218"/>
      <c r="D1475" s="219"/>
      <c r="E1475" s="217"/>
      <c r="F1475" s="217"/>
      <c r="G1475" s="217"/>
      <c r="H1475" s="220"/>
      <c r="I1475" s="217"/>
      <c r="J1475" s="217"/>
      <c r="K1475" s="217"/>
      <c r="L1475" s="217"/>
      <c r="M1475" s="217"/>
      <c r="N1475" s="217"/>
      <c r="O1475" s="44"/>
      <c r="P1475" s="44"/>
      <c r="Q1475" s="44"/>
      <c r="R1475" s="44"/>
      <c r="S1475" s="44"/>
      <c r="T1475" s="44"/>
      <c r="U1475" s="44"/>
      <c r="V1475" s="44"/>
      <c r="W1475" s="44"/>
      <c r="X1475" s="44"/>
      <c r="Y1475" s="44"/>
      <c r="Z1475" s="44"/>
      <c r="AA1475" s="44"/>
      <c r="AB1475" s="44"/>
      <c r="AC1475" s="44"/>
      <c r="AD1475" s="44"/>
      <c r="AE1475" s="44"/>
      <c r="AF1475" s="44"/>
      <c r="AG1475" s="44"/>
      <c r="AH1475" s="44"/>
      <c r="AI1475" s="44"/>
      <c r="AJ1475" s="44"/>
      <c r="AK1475" s="44"/>
      <c r="AL1475" s="44"/>
      <c r="AM1475" s="44"/>
      <c r="AN1475" s="44"/>
      <c r="AO1475" s="44"/>
      <c r="AP1475" s="44"/>
      <c r="AQ1475" s="44"/>
      <c r="BA1475" s="5"/>
      <c r="BB1475" s="5"/>
      <c r="BC1475" s="5"/>
      <c r="BD1475" s="5"/>
      <c r="BE1475" s="63"/>
      <c r="BF1475" s="63"/>
      <c r="BG1475" s="63"/>
      <c r="CA1475" s="256"/>
      <c r="CB1475" s="261"/>
      <c r="CC1475" s="261"/>
      <c r="CD1475" s="261"/>
      <c r="CE1475" s="261"/>
      <c r="CF1475" s="261"/>
      <c r="CG1475" s="53"/>
      <c r="CH1475" s="53"/>
      <c r="CI1475" s="53"/>
      <c r="CJ1475" s="53"/>
      <c r="CK1475" s="53"/>
      <c r="CL1475" s="53"/>
      <c r="CN1475" s="53"/>
      <c r="CO1475" s="53"/>
      <c r="CP1475" s="53"/>
      <c r="CQ1475" s="53"/>
      <c r="CR1475" s="53"/>
      <c r="CS1475" s="53"/>
      <c r="CT1475" s="261"/>
      <c r="CU1475" s="261"/>
      <c r="CV1475" s="261"/>
      <c r="CW1475" s="255"/>
      <c r="CX1475" s="261"/>
      <c r="CY1475" s="255"/>
    </row>
    <row r="1476" spans="1:103" ht="10.25" customHeight="1">
      <c r="A1476" s="216"/>
      <c r="B1476" s="217"/>
      <c r="C1476" s="218"/>
      <c r="D1476" s="219"/>
      <c r="E1476" s="217"/>
      <c r="F1476" s="217"/>
      <c r="G1476" s="217"/>
      <c r="H1476" s="220"/>
      <c r="I1476" s="217"/>
      <c r="J1476" s="217"/>
      <c r="K1476" s="217"/>
      <c r="L1476" s="217"/>
      <c r="M1476" s="217"/>
      <c r="N1476" s="217"/>
      <c r="O1476" s="44"/>
      <c r="P1476" s="44"/>
      <c r="Q1476" s="44"/>
      <c r="R1476" s="44"/>
      <c r="S1476" s="44"/>
      <c r="T1476" s="44"/>
      <c r="U1476" s="44"/>
      <c r="V1476" s="44"/>
      <c r="W1476" s="44"/>
      <c r="X1476" s="44"/>
      <c r="Y1476" s="44"/>
      <c r="Z1476" s="44"/>
      <c r="AA1476" s="44"/>
      <c r="AB1476" s="44"/>
      <c r="AC1476" s="44"/>
      <c r="AD1476" s="44"/>
      <c r="AE1476" s="44"/>
      <c r="AF1476" s="44"/>
      <c r="AG1476" s="44"/>
      <c r="AH1476" s="44"/>
      <c r="AI1476" s="44"/>
      <c r="AJ1476" s="44"/>
      <c r="AK1476" s="44"/>
      <c r="AL1476" s="44"/>
      <c r="AM1476" s="44"/>
      <c r="AN1476" s="44"/>
      <c r="AO1476" s="44"/>
      <c r="AP1476" s="44"/>
      <c r="AQ1476" s="44"/>
      <c r="BA1476" s="5"/>
      <c r="BB1476" s="5"/>
      <c r="BC1476" s="5"/>
      <c r="BD1476" s="5"/>
      <c r="BE1476" s="63"/>
      <c r="BF1476" s="63"/>
      <c r="BG1476" s="63"/>
      <c r="CA1476" s="256"/>
      <c r="CB1476" s="261"/>
      <c r="CC1476" s="261"/>
      <c r="CD1476" s="261"/>
      <c r="CE1476" s="261"/>
      <c r="CF1476" s="261"/>
      <c r="CG1476" s="53"/>
      <c r="CH1476" s="53"/>
      <c r="CI1476" s="53"/>
      <c r="CJ1476" s="53"/>
      <c r="CK1476" s="53"/>
      <c r="CL1476" s="53"/>
      <c r="CN1476" s="53"/>
      <c r="CO1476" s="53"/>
      <c r="CP1476" s="53"/>
      <c r="CQ1476" s="53"/>
      <c r="CR1476" s="53"/>
      <c r="CS1476" s="53"/>
      <c r="CT1476" s="261"/>
      <c r="CU1476" s="261"/>
      <c r="CV1476" s="261"/>
      <c r="CW1476" s="261"/>
      <c r="CX1476" s="261"/>
      <c r="CY1476" s="255"/>
    </row>
    <row r="1477" spans="1:103" ht="10.25" customHeight="1">
      <c r="A1477" s="216"/>
      <c r="B1477" s="217"/>
      <c r="C1477" s="218"/>
      <c r="D1477" s="219"/>
      <c r="E1477" s="217"/>
      <c r="F1477" s="217"/>
      <c r="G1477" s="217"/>
      <c r="H1477" s="220"/>
      <c r="I1477" s="217"/>
      <c r="J1477" s="217"/>
      <c r="K1477" s="217"/>
      <c r="L1477" s="217"/>
      <c r="M1477" s="217"/>
      <c r="N1477" s="217"/>
      <c r="O1477" s="44"/>
      <c r="P1477" s="44"/>
      <c r="Q1477" s="44"/>
      <c r="R1477" s="44"/>
      <c r="S1477" s="44"/>
      <c r="T1477" s="44"/>
      <c r="U1477" s="44"/>
      <c r="V1477" s="44"/>
      <c r="W1477" s="44"/>
      <c r="X1477" s="44"/>
      <c r="Y1477" s="44"/>
      <c r="Z1477" s="44"/>
      <c r="AA1477" s="44"/>
      <c r="AB1477" s="44"/>
      <c r="AC1477" s="44"/>
      <c r="AD1477" s="44"/>
      <c r="AE1477" s="44"/>
      <c r="AF1477" s="44"/>
      <c r="AG1477" s="44"/>
      <c r="AH1477" s="44"/>
      <c r="AI1477" s="44"/>
      <c r="AJ1477" s="44"/>
      <c r="AK1477" s="44"/>
      <c r="AL1477" s="44"/>
      <c r="AM1477" s="44"/>
      <c r="AN1477" s="44"/>
      <c r="AO1477" s="44"/>
      <c r="AP1477" s="44"/>
      <c r="AQ1477" s="44"/>
      <c r="BA1477" s="5"/>
      <c r="BB1477" s="5"/>
      <c r="BC1477" s="5"/>
      <c r="BD1477" s="5"/>
      <c r="BE1477" s="63"/>
      <c r="BF1477" s="63"/>
      <c r="BG1477" s="63"/>
      <c r="CA1477" s="256"/>
      <c r="CB1477" s="261"/>
      <c r="CC1477" s="261"/>
      <c r="CD1477" s="261"/>
      <c r="CE1477" s="261"/>
      <c r="CF1477" s="261"/>
      <c r="CG1477" s="53"/>
      <c r="CH1477" s="53"/>
      <c r="CI1477" s="53"/>
      <c r="CJ1477" s="53"/>
      <c r="CK1477" s="53"/>
      <c r="CL1477" s="53"/>
      <c r="CN1477" s="53"/>
      <c r="CO1477" s="53"/>
      <c r="CP1477" s="53"/>
      <c r="CQ1477" s="53"/>
      <c r="CR1477" s="53"/>
      <c r="CS1477" s="53"/>
      <c r="CT1477" s="261"/>
      <c r="CU1477" s="261"/>
      <c r="CV1477" s="255"/>
      <c r="CW1477" s="255"/>
      <c r="CX1477" s="261"/>
      <c r="CY1477" s="255"/>
    </row>
    <row r="1478" spans="1:103" ht="10.25" customHeight="1">
      <c r="A1478" s="216"/>
      <c r="B1478" s="217"/>
      <c r="C1478" s="218"/>
      <c r="D1478" s="219"/>
      <c r="E1478" s="217"/>
      <c r="F1478" s="217"/>
      <c r="G1478" s="217"/>
      <c r="H1478" s="220"/>
      <c r="I1478" s="217"/>
      <c r="J1478" s="217"/>
      <c r="K1478" s="217"/>
      <c r="L1478" s="217"/>
      <c r="M1478" s="217"/>
      <c r="N1478" s="217"/>
      <c r="O1478" s="44"/>
      <c r="P1478" s="44"/>
      <c r="Q1478" s="44"/>
      <c r="R1478" s="44"/>
      <c r="S1478" s="44"/>
      <c r="T1478" s="44"/>
      <c r="U1478" s="44"/>
      <c r="V1478" s="44"/>
      <c r="W1478" s="44"/>
      <c r="X1478" s="44"/>
      <c r="Y1478" s="44"/>
      <c r="Z1478" s="44"/>
      <c r="AA1478" s="44"/>
      <c r="AB1478" s="44"/>
      <c r="AC1478" s="44"/>
      <c r="AD1478" s="44"/>
      <c r="AE1478" s="44"/>
      <c r="AF1478" s="44"/>
      <c r="AG1478" s="44"/>
      <c r="AH1478" s="44"/>
      <c r="AI1478" s="44"/>
      <c r="AJ1478" s="44"/>
      <c r="AK1478" s="44"/>
      <c r="AL1478" s="44"/>
      <c r="AM1478" s="44"/>
      <c r="AN1478" s="44"/>
      <c r="AO1478" s="44"/>
      <c r="AP1478" s="44"/>
      <c r="AQ1478" s="44"/>
      <c r="BA1478" s="5"/>
      <c r="BB1478" s="5"/>
      <c r="BC1478" s="5"/>
      <c r="BD1478" s="5"/>
      <c r="BE1478" s="63"/>
      <c r="BF1478" s="63"/>
      <c r="BG1478" s="63"/>
      <c r="CA1478" s="256"/>
      <c r="CB1478" s="261"/>
      <c r="CC1478" s="261"/>
      <c r="CD1478" s="261"/>
      <c r="CE1478" s="261"/>
      <c r="CF1478" s="261"/>
      <c r="CG1478" s="53"/>
      <c r="CH1478" s="53"/>
      <c r="CI1478" s="53"/>
      <c r="CJ1478" s="53"/>
      <c r="CK1478" s="53"/>
      <c r="CL1478" s="53"/>
      <c r="CN1478" s="53"/>
      <c r="CO1478" s="53"/>
      <c r="CP1478" s="53"/>
      <c r="CQ1478" s="53"/>
      <c r="CR1478" s="53"/>
      <c r="CS1478" s="53"/>
      <c r="CT1478" s="261"/>
      <c r="CU1478" s="261"/>
      <c r="CV1478" s="261"/>
      <c r="CW1478" s="261"/>
      <c r="CX1478" s="261"/>
      <c r="CY1478" s="255"/>
    </row>
    <row r="1479" spans="1:103" ht="10.25" customHeight="1">
      <c r="A1479" s="216"/>
      <c r="B1479" s="217"/>
      <c r="C1479" s="218"/>
      <c r="D1479" s="219"/>
      <c r="E1479" s="217"/>
      <c r="F1479" s="217"/>
      <c r="G1479" s="217"/>
      <c r="H1479" s="220"/>
      <c r="I1479" s="217"/>
      <c r="J1479" s="217"/>
      <c r="K1479" s="217"/>
      <c r="L1479" s="217"/>
      <c r="M1479" s="217"/>
      <c r="N1479" s="217"/>
      <c r="O1479" s="44"/>
      <c r="P1479" s="44"/>
      <c r="Q1479" s="44"/>
      <c r="R1479" s="44"/>
      <c r="S1479" s="44"/>
      <c r="T1479" s="44"/>
      <c r="U1479" s="44"/>
      <c r="V1479" s="44"/>
      <c r="W1479" s="44"/>
      <c r="X1479" s="44"/>
      <c r="Y1479" s="44"/>
      <c r="Z1479" s="44"/>
      <c r="AA1479" s="44"/>
      <c r="AB1479" s="44"/>
      <c r="AC1479" s="44"/>
      <c r="AD1479" s="44"/>
      <c r="AE1479" s="44"/>
      <c r="AF1479" s="44"/>
      <c r="AG1479" s="44"/>
      <c r="AH1479" s="44"/>
      <c r="AI1479" s="44"/>
      <c r="AJ1479" s="44"/>
      <c r="AK1479" s="44"/>
      <c r="AL1479" s="44"/>
      <c r="AM1479" s="44"/>
      <c r="AN1479" s="44"/>
      <c r="AO1479" s="44"/>
      <c r="AP1479" s="44"/>
      <c r="AQ1479" s="44"/>
      <c r="BA1479" s="5"/>
      <c r="BB1479" s="5"/>
      <c r="BC1479" s="5"/>
      <c r="BD1479" s="5"/>
      <c r="BE1479" s="63"/>
      <c r="BF1479" s="63"/>
      <c r="BG1479" s="63"/>
      <c r="CA1479" s="256"/>
      <c r="CB1479" s="261"/>
      <c r="CC1479" s="261"/>
      <c r="CD1479" s="261"/>
      <c r="CE1479" s="261"/>
      <c r="CF1479" s="261"/>
      <c r="CG1479" s="53"/>
      <c r="CH1479" s="53"/>
      <c r="CI1479" s="53"/>
      <c r="CJ1479" s="53"/>
      <c r="CK1479" s="53"/>
      <c r="CL1479" s="53"/>
      <c r="CN1479" s="53"/>
      <c r="CO1479" s="53"/>
      <c r="CP1479" s="53"/>
      <c r="CQ1479" s="53"/>
      <c r="CR1479" s="53"/>
      <c r="CS1479" s="53"/>
      <c r="CT1479" s="261"/>
      <c r="CU1479" s="261"/>
      <c r="CV1479" s="255"/>
      <c r="CW1479" s="255"/>
      <c r="CX1479" s="255"/>
      <c r="CY1479" s="255"/>
    </row>
    <row r="1480" spans="1:103" ht="10.25" customHeight="1">
      <c r="A1480" s="216"/>
      <c r="B1480" s="217"/>
      <c r="C1480" s="218"/>
      <c r="D1480" s="219"/>
      <c r="E1480" s="217"/>
      <c r="F1480" s="217"/>
      <c r="G1480" s="217"/>
      <c r="H1480" s="220"/>
      <c r="I1480" s="217"/>
      <c r="J1480" s="217"/>
      <c r="K1480" s="217"/>
      <c r="L1480" s="217"/>
      <c r="M1480" s="217"/>
      <c r="N1480" s="217"/>
      <c r="O1480" s="44"/>
      <c r="P1480" s="44"/>
      <c r="Q1480" s="44"/>
      <c r="R1480" s="44"/>
      <c r="S1480" s="44"/>
      <c r="T1480" s="44"/>
      <c r="U1480" s="44"/>
      <c r="V1480" s="44"/>
      <c r="W1480" s="44"/>
      <c r="X1480" s="44"/>
      <c r="Y1480" s="44"/>
      <c r="Z1480" s="44"/>
      <c r="AA1480" s="44"/>
      <c r="AB1480" s="44"/>
      <c r="AC1480" s="44"/>
      <c r="AD1480" s="44"/>
      <c r="AE1480" s="44"/>
      <c r="AF1480" s="44"/>
      <c r="AG1480" s="44"/>
      <c r="AH1480" s="44"/>
      <c r="AI1480" s="44"/>
      <c r="AJ1480" s="44"/>
      <c r="AK1480" s="44"/>
      <c r="AL1480" s="44"/>
      <c r="AM1480" s="44"/>
      <c r="AN1480" s="44"/>
      <c r="AO1480" s="44"/>
      <c r="AP1480" s="44"/>
      <c r="AQ1480" s="44"/>
      <c r="BA1480" s="5"/>
      <c r="BB1480" s="5"/>
      <c r="BC1480" s="5"/>
      <c r="BD1480" s="5"/>
      <c r="BE1480" s="63"/>
      <c r="BF1480" s="63"/>
      <c r="BG1480" s="63"/>
      <c r="CA1480" s="256"/>
      <c r="CB1480" s="261"/>
      <c r="CC1480" s="261"/>
      <c r="CD1480" s="261"/>
      <c r="CE1480" s="261"/>
      <c r="CF1480" s="261"/>
      <c r="CG1480" s="53"/>
      <c r="CH1480" s="53"/>
      <c r="CI1480" s="53"/>
      <c r="CJ1480" s="53"/>
      <c r="CK1480" s="53"/>
      <c r="CL1480" s="53"/>
      <c r="CN1480" s="53"/>
      <c r="CO1480" s="53"/>
      <c r="CP1480" s="53"/>
      <c r="CQ1480" s="53"/>
      <c r="CR1480" s="53"/>
      <c r="CS1480" s="53"/>
      <c r="CT1480" s="261"/>
      <c r="CU1480" s="261"/>
      <c r="CV1480" s="261"/>
      <c r="CW1480" s="255"/>
      <c r="CX1480" s="261"/>
      <c r="CY1480" s="255"/>
    </row>
    <row r="1481" spans="1:103" ht="10.25" customHeight="1">
      <c r="A1481" s="216"/>
      <c r="B1481" s="217"/>
      <c r="C1481" s="218"/>
      <c r="D1481" s="219"/>
      <c r="E1481" s="217"/>
      <c r="F1481" s="217"/>
      <c r="G1481" s="217"/>
      <c r="H1481" s="220"/>
      <c r="I1481" s="217"/>
      <c r="J1481" s="217"/>
      <c r="K1481" s="217"/>
      <c r="L1481" s="217"/>
      <c r="M1481" s="217"/>
      <c r="N1481" s="217"/>
      <c r="O1481" s="44"/>
      <c r="P1481" s="44"/>
      <c r="Q1481" s="44"/>
      <c r="R1481" s="44"/>
      <c r="S1481" s="44"/>
      <c r="T1481" s="44"/>
      <c r="U1481" s="44"/>
      <c r="V1481" s="44"/>
      <c r="W1481" s="44"/>
      <c r="X1481" s="44"/>
      <c r="Y1481" s="44"/>
      <c r="Z1481" s="44"/>
      <c r="AA1481" s="44"/>
      <c r="AB1481" s="44"/>
      <c r="AC1481" s="44"/>
      <c r="AD1481" s="44"/>
      <c r="AE1481" s="44"/>
      <c r="AF1481" s="44"/>
      <c r="AG1481" s="44"/>
      <c r="AH1481" s="44"/>
      <c r="AI1481" s="44"/>
      <c r="AJ1481" s="44"/>
      <c r="AK1481" s="44"/>
      <c r="AL1481" s="44"/>
      <c r="AM1481" s="44"/>
      <c r="AN1481" s="44"/>
      <c r="AO1481" s="44"/>
      <c r="AP1481" s="44"/>
      <c r="AQ1481" s="44"/>
      <c r="BA1481" s="5"/>
      <c r="BB1481" s="5"/>
      <c r="BC1481" s="5"/>
      <c r="BD1481" s="5"/>
      <c r="BE1481" s="63"/>
      <c r="BF1481" s="63"/>
      <c r="BG1481" s="63"/>
      <c r="CA1481" s="256"/>
      <c r="CB1481" s="261"/>
      <c r="CC1481" s="261"/>
      <c r="CD1481" s="261"/>
      <c r="CE1481" s="261"/>
      <c r="CF1481" s="261"/>
      <c r="CG1481" s="53"/>
      <c r="CH1481" s="53"/>
      <c r="CI1481" s="53"/>
      <c r="CJ1481" s="53"/>
      <c r="CK1481" s="53"/>
      <c r="CL1481" s="53"/>
      <c r="CN1481" s="53"/>
      <c r="CO1481" s="53"/>
      <c r="CP1481" s="53"/>
      <c r="CQ1481" s="53"/>
      <c r="CR1481" s="53"/>
      <c r="CS1481" s="53"/>
      <c r="CT1481" s="261"/>
      <c r="CU1481" s="261"/>
      <c r="CV1481" s="255"/>
      <c r="CW1481" s="255"/>
      <c r="CX1481" s="261"/>
      <c r="CY1481" s="255"/>
    </row>
    <row r="1482" spans="1:103" ht="10.25" customHeight="1">
      <c r="A1482" s="216"/>
      <c r="B1482" s="217"/>
      <c r="C1482" s="218"/>
      <c r="D1482" s="219"/>
      <c r="E1482" s="217"/>
      <c r="F1482" s="217"/>
      <c r="G1482" s="217"/>
      <c r="H1482" s="220"/>
      <c r="I1482" s="217"/>
      <c r="J1482" s="217"/>
      <c r="K1482" s="217"/>
      <c r="L1482" s="217"/>
      <c r="M1482" s="217"/>
      <c r="N1482" s="217"/>
      <c r="O1482" s="44"/>
      <c r="P1482" s="44"/>
      <c r="Q1482" s="44"/>
      <c r="R1482" s="44"/>
      <c r="S1482" s="44"/>
      <c r="T1482" s="44"/>
      <c r="U1482" s="44"/>
      <c r="V1482" s="44"/>
      <c r="W1482" s="44"/>
      <c r="X1482" s="44"/>
      <c r="Y1482" s="44"/>
      <c r="Z1482" s="44"/>
      <c r="AA1482" s="44"/>
      <c r="AB1482" s="44"/>
      <c r="AC1482" s="44"/>
      <c r="AD1482" s="44"/>
      <c r="AE1482" s="44"/>
      <c r="AF1482" s="44"/>
      <c r="AG1482" s="44"/>
      <c r="AH1482" s="44"/>
      <c r="AI1482" s="44"/>
      <c r="AJ1482" s="44"/>
      <c r="AK1482" s="44"/>
      <c r="AL1482" s="44"/>
      <c r="AM1482" s="44"/>
      <c r="AN1482" s="44"/>
      <c r="AO1482" s="44"/>
      <c r="AP1482" s="44"/>
      <c r="AQ1482" s="44"/>
      <c r="BA1482" s="5"/>
      <c r="BB1482" s="5"/>
      <c r="BC1482" s="5"/>
      <c r="BD1482" s="5"/>
      <c r="BE1482" s="63"/>
      <c r="BF1482" s="63"/>
      <c r="BG1482" s="63"/>
      <c r="CA1482" s="256"/>
      <c r="CB1482" s="261"/>
      <c r="CC1482" s="261"/>
      <c r="CD1482" s="261"/>
      <c r="CE1482" s="261"/>
      <c r="CF1482" s="261"/>
      <c r="CG1482" s="53"/>
      <c r="CH1482" s="53"/>
      <c r="CI1482" s="53"/>
      <c r="CJ1482" s="53"/>
      <c r="CK1482" s="53"/>
      <c r="CL1482" s="53"/>
      <c r="CN1482" s="53"/>
      <c r="CO1482" s="53"/>
      <c r="CP1482" s="53"/>
      <c r="CQ1482" s="53"/>
      <c r="CR1482" s="53"/>
      <c r="CS1482" s="53"/>
      <c r="CT1482" s="261"/>
      <c r="CU1482" s="261"/>
      <c r="CV1482" s="261"/>
      <c r="CW1482" s="261"/>
      <c r="CX1482" s="261"/>
      <c r="CY1482" s="255"/>
    </row>
    <row r="1483" spans="1:103" ht="10.25" customHeight="1">
      <c r="A1483" s="216"/>
      <c r="B1483" s="217"/>
      <c r="C1483" s="218"/>
      <c r="D1483" s="219"/>
      <c r="E1483" s="217"/>
      <c r="F1483" s="217"/>
      <c r="G1483" s="217"/>
      <c r="H1483" s="220"/>
      <c r="I1483" s="217"/>
      <c r="J1483" s="217"/>
      <c r="K1483" s="217"/>
      <c r="L1483" s="217"/>
      <c r="M1483" s="217"/>
      <c r="N1483" s="217"/>
      <c r="O1483" s="44"/>
      <c r="P1483" s="44"/>
      <c r="Q1483" s="44"/>
      <c r="R1483" s="44"/>
      <c r="S1483" s="44"/>
      <c r="T1483" s="44"/>
      <c r="U1483" s="44"/>
      <c r="V1483" s="44"/>
      <c r="W1483" s="44"/>
      <c r="X1483" s="44"/>
      <c r="Y1483" s="44"/>
      <c r="Z1483" s="44"/>
      <c r="AA1483" s="44"/>
      <c r="AB1483" s="44"/>
      <c r="AC1483" s="44"/>
      <c r="AD1483" s="44"/>
      <c r="AE1483" s="44"/>
      <c r="AF1483" s="44"/>
      <c r="AG1483" s="44"/>
      <c r="AH1483" s="44"/>
      <c r="AI1483" s="44"/>
      <c r="AJ1483" s="44"/>
      <c r="AK1483" s="44"/>
      <c r="AL1483" s="44"/>
      <c r="AM1483" s="44"/>
      <c r="AN1483" s="44"/>
      <c r="AO1483" s="44"/>
      <c r="AP1483" s="44"/>
      <c r="AQ1483" s="44"/>
      <c r="BA1483" s="5"/>
      <c r="BB1483" s="5"/>
      <c r="BC1483" s="5"/>
      <c r="BD1483" s="5"/>
      <c r="BE1483" s="63"/>
      <c r="BF1483" s="63"/>
      <c r="BG1483" s="63"/>
      <c r="CA1483" s="256"/>
      <c r="CB1483" s="261"/>
      <c r="CC1483" s="261"/>
      <c r="CD1483" s="261"/>
      <c r="CE1483" s="261"/>
      <c r="CF1483" s="261"/>
      <c r="CG1483" s="53"/>
      <c r="CH1483" s="53"/>
      <c r="CI1483" s="53"/>
      <c r="CJ1483" s="53"/>
      <c r="CK1483" s="53"/>
      <c r="CL1483" s="53"/>
      <c r="CN1483" s="53"/>
      <c r="CO1483" s="53"/>
      <c r="CP1483" s="53"/>
      <c r="CQ1483" s="53"/>
      <c r="CR1483" s="53"/>
      <c r="CS1483" s="53"/>
      <c r="CT1483" s="261"/>
      <c r="CU1483" s="261"/>
      <c r="CV1483" s="255"/>
      <c r="CW1483" s="255"/>
      <c r="CX1483" s="261"/>
      <c r="CY1483" s="255"/>
    </row>
    <row r="1484" spans="1:103" ht="10.25" customHeight="1">
      <c r="A1484" s="216"/>
      <c r="B1484" s="217"/>
      <c r="C1484" s="218"/>
      <c r="D1484" s="219"/>
      <c r="E1484" s="217"/>
      <c r="F1484" s="217"/>
      <c r="G1484" s="217"/>
      <c r="H1484" s="220"/>
      <c r="I1484" s="217"/>
      <c r="J1484" s="217"/>
      <c r="K1484" s="217"/>
      <c r="L1484" s="217"/>
      <c r="M1484" s="217"/>
      <c r="N1484" s="217"/>
      <c r="O1484" s="44"/>
      <c r="P1484" s="44"/>
      <c r="Q1484" s="44"/>
      <c r="R1484" s="44"/>
      <c r="S1484" s="44"/>
      <c r="T1484" s="44"/>
      <c r="U1484" s="44"/>
      <c r="V1484" s="44"/>
      <c r="W1484" s="44"/>
      <c r="X1484" s="44"/>
      <c r="Y1484" s="44"/>
      <c r="Z1484" s="44"/>
      <c r="AA1484" s="44"/>
      <c r="AB1484" s="44"/>
      <c r="AC1484" s="44"/>
      <c r="AD1484" s="44"/>
      <c r="AE1484" s="44"/>
      <c r="AF1484" s="44"/>
      <c r="AG1484" s="44"/>
      <c r="AH1484" s="44"/>
      <c r="AI1484" s="44"/>
      <c r="AJ1484" s="44"/>
      <c r="AK1484" s="44"/>
      <c r="AL1484" s="44"/>
      <c r="AM1484" s="44"/>
      <c r="AN1484" s="44"/>
      <c r="AO1484" s="44"/>
      <c r="AP1484" s="44"/>
      <c r="AQ1484" s="44"/>
      <c r="BA1484" s="5"/>
      <c r="BB1484" s="5"/>
      <c r="BC1484" s="5"/>
      <c r="BD1484" s="5"/>
      <c r="BE1484" s="63"/>
      <c r="BF1484" s="63"/>
      <c r="BG1484" s="63"/>
      <c r="CA1484" s="256"/>
      <c r="CB1484" s="261"/>
      <c r="CC1484" s="261"/>
      <c r="CD1484" s="261"/>
      <c r="CE1484" s="261"/>
      <c r="CF1484" s="255"/>
      <c r="CG1484" s="53"/>
      <c r="CH1484" s="53"/>
      <c r="CI1484" s="53"/>
      <c r="CJ1484" s="53"/>
      <c r="CK1484" s="53"/>
      <c r="CL1484" s="53"/>
      <c r="CN1484" s="53"/>
      <c r="CO1484" s="53"/>
      <c r="CP1484" s="53"/>
      <c r="CQ1484" s="53"/>
      <c r="CR1484" s="53"/>
      <c r="CS1484" s="53"/>
      <c r="CT1484" s="261"/>
      <c r="CU1484" s="255"/>
      <c r="CV1484" s="261"/>
      <c r="CW1484" s="261"/>
      <c r="CX1484" s="261"/>
      <c r="CY1484" s="255"/>
    </row>
    <row r="1485" spans="1:103" ht="10.25" customHeight="1">
      <c r="A1485" s="216"/>
      <c r="B1485" s="217"/>
      <c r="C1485" s="218"/>
      <c r="D1485" s="219"/>
      <c r="E1485" s="217"/>
      <c r="F1485" s="217"/>
      <c r="G1485" s="217"/>
      <c r="H1485" s="220"/>
      <c r="I1485" s="217"/>
      <c r="J1485" s="217"/>
      <c r="K1485" s="217"/>
      <c r="L1485" s="217"/>
      <c r="M1485" s="217"/>
      <c r="N1485" s="217"/>
      <c r="O1485" s="44"/>
      <c r="P1485" s="44"/>
      <c r="Q1485" s="44"/>
      <c r="R1485" s="44"/>
      <c r="S1485" s="44"/>
      <c r="T1485" s="44"/>
      <c r="U1485" s="44"/>
      <c r="V1485" s="44"/>
      <c r="W1485" s="44"/>
      <c r="X1485" s="44"/>
      <c r="Y1485" s="44"/>
      <c r="Z1485" s="44"/>
      <c r="AA1485" s="44"/>
      <c r="AB1485" s="44"/>
      <c r="AC1485" s="44"/>
      <c r="AD1485" s="44"/>
      <c r="AE1485" s="44"/>
      <c r="AF1485" s="44"/>
      <c r="AG1485" s="44"/>
      <c r="AH1485" s="44"/>
      <c r="AI1485" s="44"/>
      <c r="AJ1485" s="44"/>
      <c r="AK1485" s="44"/>
      <c r="AL1485" s="44"/>
      <c r="AM1485" s="44"/>
      <c r="AN1485" s="44"/>
      <c r="AO1485" s="44"/>
      <c r="AP1485" s="44"/>
      <c r="AQ1485" s="44"/>
      <c r="BA1485" s="5"/>
      <c r="BB1485" s="5"/>
      <c r="BC1485" s="5"/>
      <c r="BD1485" s="5"/>
      <c r="BE1485" s="63"/>
      <c r="BF1485" s="63"/>
      <c r="BG1485" s="63"/>
      <c r="CA1485" s="256"/>
      <c r="CB1485" s="261"/>
      <c r="CC1485" s="261"/>
      <c r="CD1485" s="261"/>
      <c r="CE1485" s="261"/>
      <c r="CF1485" s="255"/>
      <c r="CG1485" s="53"/>
      <c r="CH1485" s="53"/>
      <c r="CI1485" s="53"/>
      <c r="CJ1485" s="53"/>
      <c r="CK1485" s="53"/>
      <c r="CL1485" s="53"/>
      <c r="CN1485" s="53"/>
      <c r="CO1485" s="53"/>
      <c r="CP1485" s="53"/>
      <c r="CQ1485" s="53"/>
      <c r="CR1485" s="53"/>
      <c r="CS1485" s="53"/>
      <c r="CT1485" s="261"/>
      <c r="CU1485" s="255"/>
      <c r="CV1485" s="255"/>
      <c r="CW1485" s="255"/>
      <c r="CX1485" s="261"/>
      <c r="CY1485" s="255"/>
    </row>
    <row r="1486" spans="1:103" ht="10.25" customHeight="1">
      <c r="A1486" s="216"/>
      <c r="B1486" s="217"/>
      <c r="C1486" s="218"/>
      <c r="D1486" s="219"/>
      <c r="E1486" s="217"/>
      <c r="F1486" s="217"/>
      <c r="G1486" s="217"/>
      <c r="H1486" s="220"/>
      <c r="I1486" s="217"/>
      <c r="J1486" s="217"/>
      <c r="K1486" s="217"/>
      <c r="L1486" s="217"/>
      <c r="M1486" s="217"/>
      <c r="N1486" s="217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BA1486" s="5"/>
      <c r="BB1486" s="5"/>
      <c r="BC1486" s="5"/>
      <c r="BD1486" s="5"/>
      <c r="BE1486" s="63"/>
      <c r="BF1486" s="63"/>
      <c r="BG1486" s="63"/>
      <c r="CA1486" s="256"/>
      <c r="CB1486" s="261"/>
      <c r="CC1486" s="261"/>
      <c r="CD1486" s="261"/>
      <c r="CE1486" s="255"/>
      <c r="CF1486" s="261"/>
      <c r="CG1486" s="53"/>
      <c r="CH1486" s="53"/>
      <c r="CI1486" s="53"/>
      <c r="CJ1486" s="53"/>
      <c r="CK1486" s="53"/>
      <c r="CL1486" s="53"/>
      <c r="CN1486" s="53"/>
      <c r="CO1486" s="53"/>
      <c r="CP1486" s="53"/>
      <c r="CQ1486" s="53"/>
      <c r="CR1486" s="53"/>
      <c r="CS1486" s="53"/>
      <c r="CT1486" s="255"/>
      <c r="CU1486" s="261"/>
      <c r="CV1486" s="261"/>
      <c r="CW1486" s="261"/>
      <c r="CX1486" s="261"/>
      <c r="CY1486" s="255"/>
    </row>
    <row r="1487" spans="1:103" ht="10.25" customHeight="1">
      <c r="A1487" s="216"/>
      <c r="B1487" s="217"/>
      <c r="C1487" s="218"/>
      <c r="D1487" s="219"/>
      <c r="E1487" s="217"/>
      <c r="F1487" s="217"/>
      <c r="G1487" s="217"/>
      <c r="H1487" s="220"/>
      <c r="I1487" s="217"/>
      <c r="J1487" s="217"/>
      <c r="K1487" s="217"/>
      <c r="L1487" s="217"/>
      <c r="M1487" s="217"/>
      <c r="N1487" s="217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BA1487" s="5"/>
      <c r="BB1487" s="5"/>
      <c r="BC1487" s="5"/>
      <c r="BD1487" s="5"/>
      <c r="BE1487" s="63"/>
      <c r="BF1487" s="63"/>
      <c r="BG1487" s="63"/>
      <c r="CA1487" s="256"/>
      <c r="CB1487" s="261"/>
      <c r="CC1487" s="261"/>
      <c r="CD1487" s="261"/>
      <c r="CE1487" s="255"/>
      <c r="CF1487" s="261"/>
      <c r="CG1487" s="53"/>
      <c r="CH1487" s="53"/>
      <c r="CI1487" s="53"/>
      <c r="CJ1487" s="53"/>
      <c r="CK1487" s="53"/>
      <c r="CL1487" s="53"/>
      <c r="CN1487" s="53"/>
      <c r="CO1487" s="53"/>
      <c r="CP1487" s="53"/>
      <c r="CQ1487" s="53"/>
      <c r="CR1487" s="53"/>
      <c r="CS1487" s="53"/>
      <c r="CT1487" s="255"/>
      <c r="CU1487" s="261"/>
      <c r="CV1487" s="255"/>
      <c r="CW1487" s="255"/>
      <c r="CX1487" s="261"/>
      <c r="CY1487" s="255"/>
    </row>
    <row r="1488" spans="1:103" ht="10.25" customHeight="1">
      <c r="A1488" s="216"/>
      <c r="B1488" s="217"/>
      <c r="C1488" s="218"/>
      <c r="D1488" s="219"/>
      <c r="E1488" s="217"/>
      <c r="F1488" s="217"/>
      <c r="G1488" s="217"/>
      <c r="H1488" s="220"/>
      <c r="I1488" s="217"/>
      <c r="J1488" s="217"/>
      <c r="K1488" s="217"/>
      <c r="L1488" s="217"/>
      <c r="M1488" s="217"/>
      <c r="N1488" s="217"/>
      <c r="O1488" s="44"/>
      <c r="P1488" s="44"/>
      <c r="Q1488" s="44"/>
      <c r="R1488" s="44"/>
      <c r="S1488" s="44"/>
      <c r="T1488" s="44"/>
      <c r="U1488" s="44"/>
      <c r="V1488" s="44"/>
      <c r="W1488" s="44"/>
      <c r="X1488" s="44"/>
      <c r="Y1488" s="44"/>
      <c r="Z1488" s="44"/>
      <c r="AA1488" s="44"/>
      <c r="AB1488" s="44"/>
      <c r="AC1488" s="44"/>
      <c r="AD1488" s="44"/>
      <c r="AE1488" s="44"/>
      <c r="AF1488" s="44"/>
      <c r="AG1488" s="44"/>
      <c r="AH1488" s="44"/>
      <c r="AI1488" s="44"/>
      <c r="AJ1488" s="44"/>
      <c r="AK1488" s="44"/>
      <c r="AL1488" s="44"/>
      <c r="AM1488" s="44"/>
      <c r="AN1488" s="44"/>
      <c r="AO1488" s="44"/>
      <c r="AP1488" s="44"/>
      <c r="AQ1488" s="44"/>
      <c r="BA1488" s="5"/>
      <c r="BB1488" s="5"/>
      <c r="BC1488" s="5"/>
      <c r="BD1488" s="5"/>
      <c r="BE1488" s="63"/>
      <c r="BF1488" s="63"/>
      <c r="BG1488" s="63"/>
      <c r="CA1488" s="256"/>
      <c r="CB1488" s="261"/>
      <c r="CC1488" s="261"/>
      <c r="CD1488" s="261"/>
      <c r="CE1488" s="261"/>
      <c r="CF1488" s="261"/>
      <c r="CG1488" s="53"/>
      <c r="CH1488" s="53"/>
      <c r="CI1488" s="53"/>
      <c r="CJ1488" s="53"/>
      <c r="CK1488" s="53"/>
      <c r="CL1488" s="53"/>
      <c r="CN1488" s="53"/>
      <c r="CO1488" s="53"/>
      <c r="CP1488" s="53"/>
      <c r="CQ1488" s="53"/>
      <c r="CR1488" s="53"/>
      <c r="CS1488" s="53"/>
      <c r="CT1488" s="261"/>
      <c r="CU1488" s="261"/>
      <c r="CV1488" s="261"/>
      <c r="CW1488" s="261"/>
      <c r="CX1488" s="255"/>
      <c r="CY1488" s="255"/>
    </row>
    <row r="1489" spans="1:103" ht="10.25" customHeight="1">
      <c r="A1489" s="216"/>
      <c r="B1489" s="217"/>
      <c r="C1489" s="218"/>
      <c r="D1489" s="219"/>
      <c r="E1489" s="217"/>
      <c r="F1489" s="217"/>
      <c r="G1489" s="217"/>
      <c r="H1489" s="220"/>
      <c r="I1489" s="217"/>
      <c r="J1489" s="217"/>
      <c r="K1489" s="217"/>
      <c r="L1489" s="217"/>
      <c r="M1489" s="217"/>
      <c r="N1489" s="217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44"/>
      <c r="AL1489" s="44"/>
      <c r="AM1489" s="44"/>
      <c r="AN1489" s="44"/>
      <c r="AO1489" s="44"/>
      <c r="AP1489" s="44"/>
      <c r="AQ1489" s="44"/>
      <c r="BA1489" s="5"/>
      <c r="BB1489" s="5"/>
      <c r="BC1489" s="5"/>
      <c r="BD1489" s="5"/>
      <c r="BE1489" s="63"/>
      <c r="BF1489" s="63"/>
      <c r="BG1489" s="63"/>
      <c r="CA1489" s="256"/>
      <c r="CB1489" s="261"/>
      <c r="CC1489" s="261"/>
      <c r="CD1489" s="261"/>
      <c r="CE1489" s="261"/>
      <c r="CF1489" s="261"/>
      <c r="CG1489" s="53"/>
      <c r="CH1489" s="53"/>
      <c r="CI1489" s="53"/>
      <c r="CJ1489" s="53"/>
      <c r="CK1489" s="53"/>
      <c r="CL1489" s="53"/>
      <c r="CN1489" s="53"/>
      <c r="CO1489" s="53"/>
      <c r="CP1489" s="53"/>
      <c r="CQ1489" s="53"/>
      <c r="CR1489" s="53"/>
      <c r="CS1489" s="53"/>
      <c r="CT1489" s="261"/>
      <c r="CU1489" s="261"/>
      <c r="CV1489" s="255"/>
      <c r="CW1489" s="255"/>
      <c r="CX1489" s="261"/>
      <c r="CY1489" s="255"/>
    </row>
    <row r="1490" spans="1:103" ht="10.25" customHeight="1">
      <c r="A1490" s="216"/>
      <c r="B1490" s="217"/>
      <c r="C1490" s="218"/>
      <c r="D1490" s="219"/>
      <c r="E1490" s="217"/>
      <c r="F1490" s="217"/>
      <c r="G1490" s="217"/>
      <c r="H1490" s="220"/>
      <c r="I1490" s="217"/>
      <c r="J1490" s="217"/>
      <c r="K1490" s="217"/>
      <c r="L1490" s="217"/>
      <c r="M1490" s="217"/>
      <c r="N1490" s="217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BA1490" s="5"/>
      <c r="BB1490" s="5"/>
      <c r="BC1490" s="5"/>
      <c r="BD1490" s="5"/>
      <c r="BE1490" s="63"/>
      <c r="BF1490" s="63"/>
      <c r="BG1490" s="63"/>
      <c r="CA1490" s="256"/>
      <c r="CB1490" s="261"/>
      <c r="CC1490" s="261"/>
      <c r="CD1490" s="261"/>
      <c r="CE1490" s="261"/>
      <c r="CF1490" s="261"/>
      <c r="CG1490" s="53"/>
      <c r="CH1490" s="53"/>
      <c r="CI1490" s="53"/>
      <c r="CJ1490" s="53"/>
      <c r="CK1490" s="53"/>
      <c r="CL1490" s="53"/>
      <c r="CN1490" s="53"/>
      <c r="CO1490" s="53"/>
      <c r="CP1490" s="53"/>
      <c r="CQ1490" s="53"/>
      <c r="CR1490" s="53"/>
      <c r="CS1490" s="53"/>
      <c r="CT1490" s="261"/>
      <c r="CU1490" s="261"/>
      <c r="CV1490" s="261"/>
      <c r="CW1490" s="255"/>
      <c r="CX1490" s="261"/>
      <c r="CY1490" s="255"/>
    </row>
    <row r="1491" spans="1:103" ht="10.25" customHeight="1">
      <c r="A1491" s="216"/>
      <c r="B1491" s="217"/>
      <c r="C1491" s="218"/>
      <c r="D1491" s="219"/>
      <c r="E1491" s="217"/>
      <c r="F1491" s="217"/>
      <c r="G1491" s="217"/>
      <c r="H1491" s="220"/>
      <c r="I1491" s="217"/>
      <c r="J1491" s="217"/>
      <c r="K1491" s="217"/>
      <c r="L1491" s="217"/>
      <c r="M1491" s="217"/>
      <c r="N1491" s="217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BA1491" s="5"/>
      <c r="BB1491" s="5"/>
      <c r="BC1491" s="5"/>
      <c r="BD1491" s="5"/>
      <c r="BE1491" s="63"/>
      <c r="BF1491" s="63"/>
      <c r="BG1491" s="63"/>
      <c r="CA1491" s="256"/>
      <c r="CB1491" s="261"/>
      <c r="CC1491" s="261"/>
      <c r="CD1491" s="261"/>
      <c r="CE1491" s="261"/>
      <c r="CF1491" s="261"/>
      <c r="CG1491" s="53"/>
      <c r="CH1491" s="53"/>
      <c r="CI1491" s="53"/>
      <c r="CJ1491" s="53"/>
      <c r="CK1491" s="53"/>
      <c r="CL1491" s="53"/>
      <c r="CN1491" s="53"/>
      <c r="CO1491" s="53"/>
      <c r="CP1491" s="53"/>
      <c r="CQ1491" s="53"/>
      <c r="CR1491" s="53"/>
      <c r="CS1491" s="53"/>
      <c r="CT1491" s="261"/>
      <c r="CU1491" s="261"/>
      <c r="CV1491" s="255"/>
      <c r="CW1491" s="255"/>
      <c r="CX1491" s="261"/>
      <c r="CY1491" s="255"/>
    </row>
    <row r="1492" spans="1:103" ht="10.25" customHeight="1">
      <c r="A1492" s="216"/>
      <c r="B1492" s="217"/>
      <c r="C1492" s="218"/>
      <c r="D1492" s="219"/>
      <c r="E1492" s="217"/>
      <c r="F1492" s="217"/>
      <c r="G1492" s="217"/>
      <c r="H1492" s="220"/>
      <c r="I1492" s="217"/>
      <c r="J1492" s="217"/>
      <c r="K1492" s="217"/>
      <c r="L1492" s="217"/>
      <c r="M1492" s="217"/>
      <c r="N1492" s="217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BA1492" s="5"/>
      <c r="BB1492" s="5"/>
      <c r="BC1492" s="5"/>
      <c r="BD1492" s="5"/>
      <c r="BE1492" s="63"/>
      <c r="BF1492" s="63"/>
      <c r="BG1492" s="63"/>
      <c r="CA1492" s="256"/>
      <c r="CB1492" s="261"/>
      <c r="CC1492" s="261"/>
      <c r="CD1492" s="261"/>
      <c r="CE1492" s="261"/>
      <c r="CF1492" s="261"/>
      <c r="CG1492" s="53"/>
      <c r="CH1492" s="53"/>
      <c r="CI1492" s="53"/>
      <c r="CJ1492" s="53"/>
      <c r="CK1492" s="53"/>
      <c r="CL1492" s="53"/>
      <c r="CN1492" s="53"/>
      <c r="CO1492" s="53"/>
      <c r="CP1492" s="53"/>
      <c r="CQ1492" s="53"/>
      <c r="CR1492" s="53"/>
      <c r="CS1492" s="53"/>
      <c r="CT1492" s="261"/>
      <c r="CU1492" s="261"/>
      <c r="CV1492" s="261"/>
      <c r="CW1492" s="261"/>
      <c r="CX1492" s="261"/>
      <c r="CY1492" s="255"/>
    </row>
    <row r="1493" spans="1:103" ht="10.25" customHeight="1">
      <c r="A1493" s="216"/>
      <c r="B1493" s="217"/>
      <c r="C1493" s="218"/>
      <c r="D1493" s="219"/>
      <c r="E1493" s="217"/>
      <c r="F1493" s="217"/>
      <c r="G1493" s="217"/>
      <c r="H1493" s="220"/>
      <c r="I1493" s="217"/>
      <c r="J1493" s="217"/>
      <c r="K1493" s="217"/>
      <c r="L1493" s="217"/>
      <c r="M1493" s="217"/>
      <c r="N1493" s="217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BA1493" s="5"/>
      <c r="BB1493" s="5"/>
      <c r="BC1493" s="5"/>
      <c r="BD1493" s="5"/>
      <c r="BE1493" s="63"/>
      <c r="BF1493" s="63"/>
      <c r="BG1493" s="63"/>
      <c r="CA1493" s="256"/>
      <c r="CB1493" s="261"/>
      <c r="CC1493" s="261"/>
      <c r="CD1493" s="255"/>
      <c r="CE1493" s="261"/>
      <c r="CF1493" s="261"/>
      <c r="CG1493" s="53"/>
      <c r="CH1493" s="53"/>
      <c r="CI1493" s="53"/>
      <c r="CJ1493" s="53"/>
      <c r="CK1493" s="53"/>
      <c r="CL1493" s="53"/>
      <c r="CN1493" s="53"/>
      <c r="CO1493" s="53"/>
      <c r="CP1493" s="53"/>
      <c r="CQ1493" s="53"/>
      <c r="CR1493" s="53"/>
      <c r="CS1493" s="53"/>
      <c r="CT1493" s="261"/>
      <c r="CU1493" s="261"/>
      <c r="CV1493" s="261"/>
      <c r="CW1493" s="261"/>
      <c r="CX1493" s="261"/>
      <c r="CY1493" s="255"/>
    </row>
    <row r="1494" spans="1:103" ht="10.25" customHeight="1">
      <c r="A1494" s="216"/>
      <c r="B1494" s="217"/>
      <c r="C1494" s="218"/>
      <c r="D1494" s="219"/>
      <c r="E1494" s="217"/>
      <c r="F1494" s="217"/>
      <c r="G1494" s="217"/>
      <c r="H1494" s="220"/>
      <c r="I1494" s="217"/>
      <c r="J1494" s="217"/>
      <c r="K1494" s="217"/>
      <c r="L1494" s="217"/>
      <c r="M1494" s="217"/>
      <c r="N1494" s="217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BA1494" s="5"/>
      <c r="BB1494" s="5"/>
      <c r="BC1494" s="5"/>
      <c r="BD1494" s="5"/>
      <c r="BE1494" s="63"/>
      <c r="BF1494" s="63"/>
      <c r="BG1494" s="63"/>
      <c r="CA1494" s="256"/>
      <c r="CB1494" s="261"/>
      <c r="CC1494" s="261"/>
      <c r="CD1494" s="255"/>
      <c r="CE1494" s="261"/>
      <c r="CF1494" s="261"/>
      <c r="CG1494" s="53"/>
      <c r="CH1494" s="53"/>
      <c r="CI1494" s="53"/>
      <c r="CJ1494" s="53"/>
      <c r="CK1494" s="53"/>
      <c r="CL1494" s="53"/>
      <c r="CN1494" s="53"/>
      <c r="CO1494" s="53"/>
      <c r="CP1494" s="53"/>
      <c r="CQ1494" s="53"/>
      <c r="CR1494" s="53"/>
      <c r="CS1494" s="53"/>
      <c r="CT1494" s="261"/>
      <c r="CU1494" s="261"/>
      <c r="CV1494" s="261"/>
      <c r="CW1494" s="261"/>
      <c r="CX1494" s="261"/>
      <c r="CY1494" s="255"/>
    </row>
    <row r="1495" spans="1:103" ht="10.25" customHeight="1">
      <c r="A1495" s="216"/>
      <c r="B1495" s="217"/>
      <c r="C1495" s="218"/>
      <c r="D1495" s="219"/>
      <c r="E1495" s="217"/>
      <c r="F1495" s="217"/>
      <c r="G1495" s="217"/>
      <c r="H1495" s="220"/>
      <c r="I1495" s="217"/>
      <c r="J1495" s="217"/>
      <c r="K1495" s="217"/>
      <c r="L1495" s="217"/>
      <c r="M1495" s="217"/>
      <c r="N1495" s="217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BA1495" s="5"/>
      <c r="BB1495" s="5"/>
      <c r="BC1495" s="5"/>
      <c r="BD1495" s="5"/>
      <c r="BE1495" s="63"/>
      <c r="BF1495" s="63"/>
      <c r="BG1495" s="63"/>
      <c r="CA1495" s="256"/>
      <c r="CB1495" s="261"/>
      <c r="CC1495" s="261"/>
      <c r="CD1495" s="255"/>
      <c r="CE1495" s="261"/>
      <c r="CF1495" s="261"/>
      <c r="CG1495" s="53"/>
      <c r="CH1495" s="53"/>
      <c r="CI1495" s="53"/>
      <c r="CJ1495" s="53"/>
      <c r="CK1495" s="53"/>
      <c r="CL1495" s="53"/>
      <c r="CN1495" s="53"/>
      <c r="CO1495" s="53"/>
      <c r="CP1495" s="53"/>
      <c r="CQ1495" s="53"/>
      <c r="CR1495" s="53"/>
      <c r="CS1495" s="53"/>
      <c r="CT1495" s="261"/>
      <c r="CU1495" s="261"/>
      <c r="CV1495" s="261"/>
      <c r="CW1495" s="261"/>
      <c r="CX1495" s="261"/>
      <c r="CY1495" s="255"/>
    </row>
    <row r="1496" spans="1:103" ht="10.25" customHeight="1">
      <c r="A1496" s="216"/>
      <c r="B1496" s="217"/>
      <c r="C1496" s="218"/>
      <c r="D1496" s="219"/>
      <c r="E1496" s="217"/>
      <c r="F1496" s="217"/>
      <c r="G1496" s="217"/>
      <c r="H1496" s="220"/>
      <c r="I1496" s="217"/>
      <c r="J1496" s="217"/>
      <c r="K1496" s="217"/>
      <c r="L1496" s="217"/>
      <c r="M1496" s="217"/>
      <c r="N1496" s="217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BA1496" s="5"/>
      <c r="BB1496" s="5"/>
      <c r="BC1496" s="5"/>
      <c r="BD1496" s="5"/>
      <c r="BE1496" s="63"/>
      <c r="BF1496" s="63"/>
      <c r="BG1496" s="63"/>
      <c r="CA1496" s="256"/>
      <c r="CB1496" s="261"/>
      <c r="CC1496" s="255"/>
      <c r="CD1496" s="261"/>
      <c r="CE1496" s="261"/>
      <c r="CF1496" s="261"/>
      <c r="CG1496" s="53"/>
      <c r="CH1496" s="53"/>
      <c r="CI1496" s="53"/>
      <c r="CJ1496" s="53"/>
      <c r="CK1496" s="53"/>
      <c r="CL1496" s="53"/>
      <c r="CN1496" s="53"/>
      <c r="CO1496" s="53"/>
      <c r="CP1496" s="53"/>
      <c r="CQ1496" s="53"/>
      <c r="CR1496" s="53"/>
      <c r="CS1496" s="53"/>
      <c r="CT1496" s="261"/>
      <c r="CU1496" s="261"/>
      <c r="CV1496" s="261"/>
      <c r="CW1496" s="261"/>
      <c r="CX1496" s="261"/>
      <c r="CY1496" s="255"/>
    </row>
    <row r="1497" spans="1:103" ht="10.25" customHeight="1">
      <c r="A1497" s="216"/>
      <c r="B1497" s="217"/>
      <c r="C1497" s="218"/>
      <c r="D1497" s="219"/>
      <c r="E1497" s="217"/>
      <c r="F1497" s="217"/>
      <c r="G1497" s="217"/>
      <c r="H1497" s="220"/>
      <c r="I1497" s="217"/>
      <c r="J1497" s="217"/>
      <c r="K1497" s="217"/>
      <c r="L1497" s="217"/>
      <c r="M1497" s="217"/>
      <c r="N1497" s="217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BA1497" s="5"/>
      <c r="BB1497" s="5"/>
      <c r="BC1497" s="5"/>
      <c r="BD1497" s="5"/>
      <c r="BE1497" s="63"/>
      <c r="BF1497" s="63"/>
      <c r="BG1497" s="63"/>
      <c r="CA1497" s="256"/>
      <c r="CB1497" s="261"/>
      <c r="CC1497" s="255"/>
      <c r="CD1497" s="261"/>
      <c r="CE1497" s="261"/>
      <c r="CF1497" s="261"/>
      <c r="CG1497" s="53"/>
      <c r="CH1497" s="53"/>
      <c r="CI1497" s="53"/>
      <c r="CJ1497" s="53"/>
      <c r="CK1497" s="53"/>
      <c r="CL1497" s="53"/>
      <c r="CN1497" s="53"/>
      <c r="CO1497" s="53"/>
      <c r="CP1497" s="53"/>
      <c r="CQ1497" s="53"/>
      <c r="CR1497" s="53"/>
      <c r="CS1497" s="53"/>
      <c r="CT1497" s="261"/>
      <c r="CU1497" s="261"/>
      <c r="CV1497" s="261"/>
      <c r="CW1497" s="261"/>
      <c r="CX1497" s="261"/>
      <c r="CY1497" s="255"/>
    </row>
    <row r="1498" spans="1:103" ht="10.25" customHeight="1">
      <c r="A1498" s="371"/>
      <c r="B1498" s="371"/>
      <c r="C1498" s="371"/>
      <c r="D1498" s="269"/>
      <c r="L1498" s="269"/>
      <c r="M1498" s="269"/>
      <c r="N1498" s="269"/>
      <c r="O1498" s="63"/>
      <c r="P1498" s="63"/>
      <c r="Q1498" s="63"/>
      <c r="R1498" s="63"/>
      <c r="S1498" s="63"/>
      <c r="T1498" s="63"/>
      <c r="U1498" s="63"/>
      <c r="V1498" s="63"/>
      <c r="W1498" s="63"/>
      <c r="X1498" s="63"/>
      <c r="Y1498" s="63"/>
      <c r="Z1498" s="63"/>
      <c r="AA1498" s="63"/>
      <c r="AB1498" s="63"/>
      <c r="AC1498" s="63"/>
      <c r="AD1498" s="63"/>
      <c r="AE1498" s="63"/>
      <c r="AF1498" s="63"/>
      <c r="AG1498" s="63"/>
      <c r="AH1498" s="63"/>
      <c r="AI1498" s="63"/>
      <c r="AJ1498" s="63"/>
      <c r="AK1498" s="63"/>
      <c r="AL1498" s="63"/>
      <c r="AM1498" s="63"/>
      <c r="AN1498" s="63"/>
      <c r="AO1498" s="63"/>
      <c r="AP1498" s="63"/>
      <c r="AQ1498" s="63"/>
      <c r="CA1498" s="256"/>
      <c r="CB1498" s="261"/>
      <c r="CC1498" s="255"/>
      <c r="CD1498" s="261"/>
      <c r="CE1498" s="261"/>
      <c r="CF1498" s="261"/>
      <c r="CG1498" s="261"/>
      <c r="CH1498" s="261"/>
      <c r="CI1498" s="261"/>
      <c r="CJ1498" s="261"/>
      <c r="CK1498" s="261"/>
      <c r="CL1498" s="255"/>
      <c r="CN1498" s="256"/>
      <c r="CO1498" s="256"/>
      <c r="CP1498" s="261"/>
      <c r="CQ1498" s="261"/>
      <c r="CR1498" s="255"/>
      <c r="CS1498" s="261"/>
      <c r="CT1498" s="261"/>
      <c r="CU1498" s="261"/>
      <c r="CV1498" s="261"/>
      <c r="CW1498" s="261"/>
      <c r="CX1498" s="261"/>
      <c r="CY1498" s="255"/>
    </row>
    <row r="1499" spans="1:103" ht="12.65" customHeight="1">
      <c r="A1499" s="270"/>
      <c r="C1499" s="271"/>
      <c r="D1499" s="372"/>
      <c r="E1499" s="372"/>
      <c r="F1499" s="272"/>
      <c r="G1499" s="272"/>
      <c r="H1499" s="273"/>
      <c r="L1499" s="269"/>
      <c r="M1499" s="269"/>
      <c r="N1499" s="269"/>
      <c r="O1499" s="63"/>
      <c r="P1499" s="63"/>
      <c r="Q1499" s="63"/>
      <c r="R1499" s="63"/>
      <c r="S1499" s="63"/>
      <c r="T1499" s="63"/>
      <c r="U1499" s="63"/>
      <c r="V1499" s="63"/>
      <c r="W1499" s="63"/>
      <c r="X1499" s="63"/>
      <c r="Y1499" s="63"/>
      <c r="Z1499" s="63"/>
      <c r="AA1499" s="63"/>
      <c r="AB1499" s="63"/>
      <c r="AC1499" s="63"/>
      <c r="AD1499" s="63"/>
      <c r="AE1499" s="63"/>
      <c r="AF1499" s="63"/>
      <c r="AG1499" s="63"/>
      <c r="AH1499" s="63"/>
      <c r="AI1499" s="63"/>
      <c r="AJ1499" s="63"/>
      <c r="AK1499" s="63"/>
      <c r="AL1499" s="63"/>
      <c r="AM1499" s="63"/>
      <c r="AN1499" s="63"/>
      <c r="AO1499" s="63"/>
      <c r="AP1499" s="63"/>
      <c r="AQ1499" s="63"/>
      <c r="CA1499" s="256"/>
      <c r="CB1499" s="261"/>
      <c r="CC1499" s="255"/>
      <c r="CD1499" s="261"/>
      <c r="CE1499" s="261"/>
      <c r="CF1499" s="261"/>
      <c r="CG1499" s="261"/>
      <c r="CH1499" s="261"/>
      <c r="CI1499" s="261"/>
      <c r="CJ1499" s="261"/>
      <c r="CK1499" s="255"/>
      <c r="CL1499" s="255"/>
      <c r="CN1499" s="256"/>
      <c r="CO1499" s="256"/>
      <c r="CP1499" s="261"/>
      <c r="CQ1499" s="261"/>
      <c r="CR1499" s="255"/>
      <c r="CS1499" s="261"/>
      <c r="CT1499" s="261"/>
      <c r="CU1499" s="261"/>
      <c r="CV1499" s="261"/>
      <c r="CW1499" s="261"/>
      <c r="CX1499" s="255"/>
      <c r="CY1499" s="255"/>
    </row>
    <row r="1500" spans="1:103" ht="10.25" customHeight="1">
      <c r="A1500" s="270"/>
      <c r="D1500" s="372"/>
      <c r="E1500" s="372"/>
      <c r="F1500" s="272"/>
      <c r="G1500" s="272"/>
      <c r="H1500" s="273"/>
      <c r="L1500" s="269"/>
      <c r="M1500" s="269"/>
      <c r="N1500" s="269"/>
      <c r="O1500" s="63"/>
      <c r="P1500" s="63"/>
      <c r="Q1500" s="63"/>
      <c r="R1500" s="63"/>
      <c r="S1500" s="63"/>
      <c r="T1500" s="63"/>
      <c r="U1500" s="63"/>
      <c r="V1500" s="63"/>
      <c r="W1500" s="63"/>
      <c r="X1500" s="63"/>
      <c r="Y1500" s="63"/>
      <c r="Z1500" s="63"/>
      <c r="AA1500" s="63"/>
      <c r="AB1500" s="63"/>
      <c r="AC1500" s="63"/>
      <c r="AD1500" s="63"/>
      <c r="AE1500" s="63"/>
      <c r="AF1500" s="63"/>
      <c r="AG1500" s="63"/>
      <c r="AH1500" s="63"/>
      <c r="AI1500" s="63"/>
      <c r="AJ1500" s="63"/>
      <c r="AK1500" s="63"/>
      <c r="AL1500" s="63"/>
      <c r="AM1500" s="63"/>
      <c r="AN1500" s="63"/>
      <c r="AO1500" s="63"/>
      <c r="AP1500" s="63"/>
      <c r="AQ1500" s="63"/>
      <c r="CA1500" s="256"/>
      <c r="CB1500" s="261"/>
      <c r="CC1500" s="255"/>
      <c r="CD1500" s="261"/>
      <c r="CE1500" s="261"/>
      <c r="CF1500" s="261"/>
      <c r="CG1500" s="261"/>
      <c r="CH1500" s="261"/>
      <c r="CI1500" s="261"/>
      <c r="CJ1500" s="261"/>
      <c r="CK1500" s="261"/>
      <c r="CL1500" s="255"/>
      <c r="CN1500" s="256"/>
      <c r="CO1500" s="256"/>
      <c r="CP1500" s="261"/>
      <c r="CQ1500" s="261"/>
      <c r="CR1500" s="255"/>
      <c r="CS1500" s="261"/>
      <c r="CT1500" s="261"/>
      <c r="CU1500" s="261"/>
      <c r="CV1500" s="261"/>
      <c r="CW1500" s="261"/>
      <c r="CX1500" s="261"/>
      <c r="CY1500" s="255"/>
    </row>
    <row r="1501" spans="1:103" ht="10.25" customHeight="1">
      <c r="C1501" s="270"/>
      <c r="D1501" s="274"/>
      <c r="E1501" s="214"/>
      <c r="F1501" s="272"/>
      <c r="G1501" s="272"/>
      <c r="H1501" s="272"/>
      <c r="I1501" s="273"/>
      <c r="J1501" s="273"/>
      <c r="K1501" s="273"/>
      <c r="L1501" s="275"/>
      <c r="M1501" s="269"/>
      <c r="N1501" s="269"/>
      <c r="O1501" s="63"/>
      <c r="P1501" s="63"/>
      <c r="Q1501" s="63"/>
      <c r="R1501" s="63"/>
      <c r="S1501" s="63"/>
      <c r="T1501" s="63"/>
      <c r="U1501" s="63"/>
      <c r="V1501" s="63"/>
      <c r="W1501" s="63"/>
      <c r="X1501" s="63"/>
      <c r="Y1501" s="63"/>
      <c r="Z1501" s="63"/>
      <c r="AA1501" s="63"/>
      <c r="AB1501" s="63"/>
      <c r="AC1501" s="63"/>
      <c r="AD1501" s="63"/>
      <c r="AE1501" s="63"/>
      <c r="AF1501" s="63"/>
      <c r="AG1501" s="63"/>
      <c r="AH1501" s="63"/>
      <c r="AI1501" s="63"/>
      <c r="AJ1501" s="63"/>
      <c r="AK1501" s="63"/>
      <c r="AL1501" s="63"/>
      <c r="AM1501" s="63"/>
      <c r="AN1501" s="63"/>
      <c r="AO1501" s="63"/>
      <c r="AP1501" s="63"/>
      <c r="AQ1501" s="63"/>
      <c r="CA1501" s="256"/>
      <c r="CB1501" s="261"/>
      <c r="CC1501" s="255"/>
      <c r="CD1501" s="261"/>
      <c r="CE1501" s="261"/>
      <c r="CF1501" s="261"/>
      <c r="CG1501" s="261"/>
      <c r="CH1501" s="261"/>
      <c r="CI1501" s="261"/>
      <c r="CJ1501" s="261"/>
      <c r="CK1501" s="261"/>
      <c r="CL1501" s="255"/>
      <c r="CN1501" s="256"/>
      <c r="CO1501" s="256"/>
      <c r="CP1501" s="261"/>
      <c r="CQ1501" s="261"/>
      <c r="CR1501" s="255"/>
      <c r="CS1501" s="261"/>
      <c r="CT1501" s="261"/>
      <c r="CU1501" s="261"/>
      <c r="CV1501" s="261"/>
      <c r="CW1501" s="261"/>
      <c r="CX1501" s="261"/>
      <c r="CY1501" s="255"/>
    </row>
    <row r="1502" spans="1:103" ht="10.25" customHeight="1">
      <c r="A1502" s="270"/>
      <c r="D1502" s="372"/>
      <c r="E1502" s="372"/>
      <c r="F1502" s="272"/>
      <c r="G1502" s="272"/>
      <c r="H1502" s="272"/>
      <c r="I1502" s="273"/>
      <c r="J1502" s="273"/>
      <c r="K1502" s="273"/>
      <c r="L1502" s="275"/>
      <c r="M1502" s="269"/>
      <c r="N1502" s="269"/>
      <c r="O1502" s="63"/>
      <c r="P1502" s="63"/>
      <c r="Q1502" s="63"/>
      <c r="R1502" s="63"/>
      <c r="S1502" s="63"/>
      <c r="T1502" s="63"/>
      <c r="U1502" s="63"/>
      <c r="V1502" s="63"/>
      <c r="W1502" s="63"/>
      <c r="X1502" s="63"/>
      <c r="Y1502" s="63"/>
      <c r="Z1502" s="63"/>
      <c r="AA1502" s="63"/>
      <c r="AB1502" s="63"/>
      <c r="AC1502" s="63"/>
      <c r="AD1502" s="63"/>
      <c r="AE1502" s="63"/>
      <c r="AF1502" s="63"/>
      <c r="AG1502" s="63"/>
      <c r="AH1502" s="63"/>
      <c r="AI1502" s="63"/>
      <c r="AJ1502" s="63"/>
      <c r="AK1502" s="63"/>
      <c r="AL1502" s="63"/>
      <c r="AM1502" s="63"/>
      <c r="AN1502" s="63"/>
      <c r="AO1502" s="63"/>
      <c r="AP1502" s="63"/>
      <c r="AQ1502" s="63"/>
      <c r="CA1502" s="256"/>
      <c r="CB1502" s="261"/>
      <c r="CC1502" s="255"/>
      <c r="CD1502" s="261"/>
      <c r="CE1502" s="261"/>
      <c r="CF1502" s="261"/>
      <c r="CG1502" s="261"/>
      <c r="CH1502" s="261"/>
      <c r="CI1502" s="255"/>
      <c r="CJ1502" s="255"/>
      <c r="CK1502" s="261"/>
      <c r="CL1502" s="255"/>
      <c r="CN1502" s="256"/>
      <c r="CO1502" s="256"/>
      <c r="CP1502" s="261"/>
      <c r="CQ1502" s="261"/>
      <c r="CR1502" s="255"/>
      <c r="CS1502" s="261"/>
      <c r="CT1502" s="261"/>
      <c r="CU1502" s="261"/>
      <c r="CV1502" s="261"/>
      <c r="CW1502" s="255"/>
      <c r="CX1502" s="261"/>
      <c r="CY1502" s="255"/>
    </row>
    <row r="1503" spans="1:103" ht="10.25" customHeight="1">
      <c r="A1503" s="270"/>
      <c r="D1503" s="372"/>
      <c r="E1503" s="372"/>
      <c r="F1503" s="272"/>
      <c r="G1503" s="272"/>
      <c r="H1503" s="272"/>
      <c r="I1503" s="273"/>
      <c r="J1503" s="273"/>
      <c r="K1503" s="273"/>
      <c r="L1503" s="275"/>
      <c r="M1503" s="269"/>
      <c r="N1503" s="269"/>
      <c r="O1503" s="63"/>
      <c r="P1503" s="63"/>
      <c r="Q1503" s="63"/>
      <c r="R1503" s="63"/>
      <c r="S1503" s="63"/>
      <c r="T1503" s="63"/>
      <c r="U1503" s="63"/>
      <c r="V1503" s="63"/>
      <c r="W1503" s="63"/>
      <c r="X1503" s="63"/>
      <c r="Y1503" s="63"/>
      <c r="Z1503" s="63"/>
      <c r="AA1503" s="63"/>
      <c r="AB1503" s="63"/>
      <c r="AC1503" s="63"/>
      <c r="AD1503" s="63"/>
      <c r="AE1503" s="63"/>
      <c r="AF1503" s="63"/>
      <c r="AG1503" s="63"/>
      <c r="AH1503" s="63"/>
      <c r="AI1503" s="63"/>
      <c r="AJ1503" s="63"/>
      <c r="AK1503" s="63"/>
      <c r="AL1503" s="63"/>
      <c r="AM1503" s="63"/>
      <c r="AN1503" s="63"/>
      <c r="AO1503" s="63"/>
      <c r="AP1503" s="63"/>
      <c r="AQ1503" s="63"/>
      <c r="CA1503" s="256"/>
      <c r="CB1503" s="261"/>
      <c r="CC1503" s="255"/>
      <c r="CD1503" s="261"/>
      <c r="CE1503" s="261"/>
      <c r="CF1503" s="261"/>
      <c r="CG1503" s="255"/>
      <c r="CH1503" s="255"/>
      <c r="CI1503" s="261"/>
      <c r="CJ1503" s="261"/>
      <c r="CK1503" s="261"/>
      <c r="CL1503" s="255"/>
      <c r="CN1503" s="256"/>
      <c r="CO1503" s="256"/>
      <c r="CP1503" s="261"/>
      <c r="CQ1503" s="261"/>
      <c r="CR1503" s="255"/>
      <c r="CS1503" s="261"/>
      <c r="CT1503" s="261"/>
      <c r="CU1503" s="261"/>
      <c r="CV1503" s="255"/>
      <c r="CW1503" s="261"/>
      <c r="CX1503" s="261"/>
      <c r="CY1503" s="255"/>
    </row>
    <row r="1504" spans="1:103" ht="10.25" customHeight="1">
      <c r="A1504" s="270"/>
      <c r="D1504" s="372"/>
      <c r="E1504" s="372"/>
      <c r="F1504" s="272"/>
      <c r="G1504" s="272"/>
      <c r="H1504" s="272"/>
      <c r="I1504" s="273"/>
      <c r="J1504" s="273"/>
      <c r="K1504" s="273"/>
      <c r="L1504" s="275"/>
      <c r="M1504" s="269"/>
      <c r="N1504" s="269"/>
      <c r="O1504" s="63"/>
      <c r="P1504" s="63"/>
      <c r="Q1504" s="63"/>
      <c r="R1504" s="63"/>
      <c r="S1504" s="63"/>
      <c r="T1504" s="63"/>
      <c r="U1504" s="63"/>
      <c r="V1504" s="63"/>
      <c r="W1504" s="63"/>
      <c r="X1504" s="63"/>
      <c r="Y1504" s="63"/>
      <c r="Z1504" s="63"/>
      <c r="AA1504" s="63"/>
      <c r="AB1504" s="63"/>
      <c r="AC1504" s="63"/>
      <c r="AD1504" s="63"/>
      <c r="AE1504" s="63"/>
      <c r="AF1504" s="63"/>
      <c r="AG1504" s="63"/>
      <c r="AH1504" s="63"/>
      <c r="AI1504" s="63"/>
      <c r="AJ1504" s="63"/>
      <c r="AK1504" s="63"/>
      <c r="AL1504" s="63"/>
      <c r="AM1504" s="63"/>
      <c r="AN1504" s="63"/>
      <c r="AO1504" s="63"/>
      <c r="AP1504" s="63"/>
      <c r="AQ1504" s="63"/>
      <c r="CA1504" s="256"/>
      <c r="CB1504" s="261"/>
      <c r="CC1504" s="255"/>
      <c r="CD1504" s="261"/>
      <c r="CE1504" s="261"/>
      <c r="CF1504" s="261"/>
      <c r="CG1504" s="255"/>
      <c r="CH1504" s="255"/>
      <c r="CI1504" s="261"/>
      <c r="CJ1504" s="261"/>
      <c r="CK1504" s="261"/>
      <c r="CL1504" s="255"/>
      <c r="CN1504" s="256"/>
      <c r="CO1504" s="256"/>
      <c r="CP1504" s="261"/>
      <c r="CQ1504" s="261"/>
      <c r="CR1504" s="255"/>
      <c r="CS1504" s="261"/>
      <c r="CT1504" s="261"/>
      <c r="CU1504" s="261"/>
      <c r="CV1504" s="255"/>
      <c r="CW1504" s="261"/>
      <c r="CX1504" s="261"/>
      <c r="CY1504" s="255"/>
    </row>
    <row r="1505" spans="1:103" ht="10.25" customHeight="1">
      <c r="A1505" s="270"/>
      <c r="D1505" s="372"/>
      <c r="E1505" s="372"/>
      <c r="F1505" s="272"/>
      <c r="G1505" s="272"/>
      <c r="H1505" s="272"/>
      <c r="I1505" s="375"/>
      <c r="J1505" s="375"/>
      <c r="K1505" s="375"/>
      <c r="L1505" s="375"/>
      <c r="M1505" s="269"/>
      <c r="N1505" s="269"/>
      <c r="O1505" s="63"/>
      <c r="P1505" s="63"/>
      <c r="Q1505" s="63"/>
      <c r="R1505" s="63"/>
      <c r="S1505" s="63"/>
      <c r="T1505" s="63"/>
      <c r="U1505" s="63"/>
      <c r="V1505" s="63"/>
      <c r="W1505" s="63"/>
      <c r="X1505" s="63"/>
      <c r="Y1505" s="63"/>
      <c r="Z1505" s="63"/>
      <c r="AA1505" s="63"/>
      <c r="AB1505" s="63"/>
      <c r="AC1505" s="63"/>
      <c r="AD1505" s="63"/>
      <c r="AE1505" s="63"/>
      <c r="AF1505" s="63"/>
      <c r="AG1505" s="63"/>
      <c r="AH1505" s="63"/>
      <c r="AI1505" s="63"/>
      <c r="AJ1505" s="63"/>
      <c r="AK1505" s="63"/>
      <c r="AL1505" s="63"/>
      <c r="AM1505" s="63"/>
      <c r="AN1505" s="63"/>
      <c r="AO1505" s="63"/>
      <c r="AP1505" s="63"/>
      <c r="AQ1505" s="63"/>
      <c r="CA1505" s="256"/>
      <c r="CB1505" s="261"/>
      <c r="CC1505" s="255"/>
      <c r="CD1505" s="261"/>
      <c r="CE1505" s="261"/>
      <c r="CF1505" s="261"/>
      <c r="CG1505" s="261"/>
      <c r="CH1505" s="261"/>
      <c r="CI1505" s="261"/>
      <c r="CJ1505" s="261"/>
      <c r="CK1505" s="261"/>
      <c r="CL1505" s="255"/>
      <c r="CN1505" s="256"/>
      <c r="CO1505" s="256"/>
      <c r="CP1505" s="261"/>
      <c r="CQ1505" s="261"/>
      <c r="CR1505" s="255"/>
      <c r="CS1505" s="261"/>
      <c r="CT1505" s="261"/>
      <c r="CU1505" s="261"/>
      <c r="CV1505" s="261"/>
      <c r="CW1505" s="261"/>
      <c r="CX1505" s="261"/>
      <c r="CY1505" s="255"/>
    </row>
    <row r="1506" spans="1:103" ht="10.25" customHeight="1">
      <c r="A1506" s="270"/>
      <c r="D1506" s="372"/>
      <c r="E1506" s="372"/>
      <c r="H1506" s="209"/>
      <c r="I1506" s="213"/>
      <c r="J1506" s="213"/>
      <c r="K1506" s="213"/>
      <c r="L1506" s="213"/>
      <c r="M1506" s="213"/>
      <c r="N1506" s="213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  <c r="AQ1506" s="5"/>
      <c r="CA1506" s="256"/>
      <c r="CB1506" s="261"/>
      <c r="CC1506" s="255"/>
      <c r="CD1506" s="261"/>
      <c r="CE1506" s="261"/>
      <c r="CF1506" s="261"/>
      <c r="CG1506" s="261"/>
      <c r="CH1506" s="261"/>
      <c r="CI1506" s="261"/>
      <c r="CJ1506" s="261"/>
      <c r="CK1506" s="261"/>
      <c r="CL1506" s="255"/>
      <c r="CN1506" s="256"/>
      <c r="CO1506" s="256"/>
      <c r="CP1506" s="261"/>
      <c r="CQ1506" s="261"/>
      <c r="CR1506" s="255"/>
      <c r="CS1506" s="261"/>
      <c r="CT1506" s="261"/>
      <c r="CU1506" s="261"/>
      <c r="CV1506" s="261"/>
      <c r="CW1506" s="261"/>
      <c r="CX1506" s="261"/>
      <c r="CY1506" s="255"/>
    </row>
    <row r="1507" spans="1:103" ht="10.25" customHeight="1">
      <c r="A1507" s="270"/>
      <c r="C1507" s="269"/>
      <c r="D1507" s="275"/>
      <c r="E1507" s="275"/>
      <c r="F1507" s="209"/>
      <c r="G1507" s="209"/>
      <c r="H1507" s="209"/>
      <c r="I1507" s="209"/>
      <c r="J1507" s="209"/>
      <c r="K1507" s="209"/>
      <c r="L1507" s="376"/>
      <c r="M1507" s="376"/>
      <c r="N1507" s="279"/>
      <c r="O1507" s="51"/>
      <c r="P1507" s="51"/>
      <c r="Q1507" s="51"/>
      <c r="R1507" s="51"/>
      <c r="S1507" s="51"/>
      <c r="T1507" s="51"/>
      <c r="U1507" s="51"/>
      <c r="V1507" s="51"/>
      <c r="W1507" s="51"/>
      <c r="X1507" s="51"/>
      <c r="Y1507" s="51"/>
      <c r="Z1507" s="51"/>
      <c r="AA1507" s="51"/>
      <c r="AB1507" s="51"/>
      <c r="AC1507" s="51"/>
      <c r="AD1507" s="51"/>
      <c r="AE1507" s="51"/>
      <c r="AF1507" s="51"/>
      <c r="AG1507" s="51"/>
      <c r="AH1507" s="51"/>
      <c r="AI1507" s="51"/>
      <c r="AJ1507" s="51"/>
      <c r="AK1507" s="51"/>
      <c r="AL1507" s="51"/>
      <c r="AM1507" s="51"/>
      <c r="AN1507" s="51"/>
      <c r="AO1507" s="51"/>
      <c r="AP1507" s="51"/>
      <c r="AQ1507" s="51"/>
      <c r="CA1507" s="256"/>
      <c r="CB1507" s="261"/>
      <c r="CC1507" s="255"/>
      <c r="CD1507" s="261"/>
      <c r="CE1507" s="261"/>
      <c r="CF1507" s="261"/>
      <c r="CG1507" s="261"/>
      <c r="CH1507" s="261"/>
      <c r="CI1507" s="261"/>
      <c r="CJ1507" s="261"/>
      <c r="CK1507" s="261"/>
      <c r="CL1507" s="255"/>
      <c r="CN1507" s="256"/>
      <c r="CO1507" s="256"/>
      <c r="CP1507" s="261"/>
      <c r="CQ1507" s="261"/>
      <c r="CR1507" s="255"/>
      <c r="CS1507" s="261"/>
      <c r="CT1507" s="261"/>
      <c r="CU1507" s="261"/>
      <c r="CV1507" s="261"/>
      <c r="CW1507" s="261"/>
      <c r="CX1507" s="261"/>
      <c r="CY1507" s="255"/>
    </row>
    <row r="1508" spans="1:103" ht="10.25" customHeight="1">
      <c r="A1508" s="270"/>
      <c r="C1508" s="269"/>
      <c r="D1508" s="269"/>
      <c r="F1508" s="209"/>
      <c r="G1508" s="209"/>
      <c r="H1508" s="276"/>
      <c r="I1508" s="276"/>
      <c r="J1508" s="276"/>
      <c r="K1508" s="276"/>
      <c r="L1508" s="374"/>
      <c r="M1508" s="374"/>
      <c r="N1508" s="213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  <c r="AQ1508" s="5"/>
      <c r="CA1508" s="256"/>
      <c r="CB1508" s="261"/>
      <c r="CC1508" s="255"/>
      <c r="CD1508" s="261"/>
      <c r="CE1508" s="261"/>
      <c r="CF1508" s="261"/>
      <c r="CG1508" s="261"/>
      <c r="CH1508" s="261"/>
      <c r="CI1508" s="261"/>
      <c r="CJ1508" s="261"/>
      <c r="CK1508" s="261"/>
      <c r="CL1508" s="255"/>
      <c r="CN1508" s="256"/>
      <c r="CO1508" s="256"/>
      <c r="CP1508" s="261"/>
      <c r="CQ1508" s="261"/>
      <c r="CR1508" s="255"/>
      <c r="CS1508" s="261"/>
      <c r="CT1508" s="261"/>
      <c r="CU1508" s="261"/>
      <c r="CV1508" s="261"/>
      <c r="CW1508" s="261"/>
      <c r="CX1508" s="261"/>
      <c r="CY1508" s="255"/>
    </row>
    <row r="1509" spans="1:103" ht="10.25" customHeight="1">
      <c r="A1509" s="270"/>
      <c r="D1509" s="269"/>
      <c r="F1509" s="208"/>
      <c r="G1509" s="208"/>
      <c r="H1509" s="277"/>
      <c r="I1509" s="277"/>
      <c r="J1509" s="277"/>
      <c r="K1509" s="277"/>
      <c r="L1509" s="372"/>
      <c r="M1509" s="372"/>
      <c r="N1509" s="214"/>
      <c r="O1509" s="41"/>
      <c r="P1509" s="41"/>
      <c r="Q1509" s="41"/>
      <c r="R1509" s="41"/>
      <c r="S1509" s="41"/>
      <c r="T1509" s="41"/>
      <c r="U1509" s="41"/>
      <c r="V1509" s="41"/>
      <c r="W1509" s="41"/>
      <c r="X1509" s="41"/>
      <c r="Y1509" s="41"/>
      <c r="Z1509" s="41"/>
      <c r="AA1509" s="41"/>
      <c r="AB1509" s="41"/>
      <c r="AC1509" s="41"/>
      <c r="AD1509" s="41"/>
      <c r="AE1509" s="41"/>
      <c r="AF1509" s="41"/>
      <c r="AG1509" s="41"/>
      <c r="AH1509" s="41"/>
      <c r="AI1509" s="41"/>
      <c r="AJ1509" s="41"/>
      <c r="AK1509" s="41"/>
      <c r="AL1509" s="41"/>
      <c r="AM1509" s="41"/>
      <c r="AN1509" s="41"/>
      <c r="AO1509" s="41"/>
      <c r="AP1509" s="41"/>
      <c r="AQ1509" s="41"/>
      <c r="CA1509" s="256"/>
      <c r="CB1509" s="261"/>
      <c r="CC1509" s="255"/>
      <c r="CD1509" s="261"/>
      <c r="CE1509" s="261"/>
      <c r="CF1509" s="261"/>
      <c r="CG1509" s="261"/>
      <c r="CH1509" s="261"/>
      <c r="CI1509" s="261"/>
      <c r="CJ1509" s="261"/>
      <c r="CK1509" s="261"/>
      <c r="CL1509" s="255"/>
      <c r="CN1509" s="256"/>
      <c r="CO1509" s="256"/>
      <c r="CP1509" s="261"/>
      <c r="CQ1509" s="261"/>
      <c r="CR1509" s="255"/>
      <c r="CS1509" s="261"/>
      <c r="CT1509" s="261"/>
      <c r="CU1509" s="261"/>
      <c r="CV1509" s="261"/>
      <c r="CW1509" s="261"/>
      <c r="CX1509" s="261"/>
      <c r="CY1509" s="255"/>
    </row>
    <row r="1510" spans="1:103" ht="10.25" customHeight="1">
      <c r="CA1510" s="256"/>
      <c r="CB1510" s="261"/>
      <c r="CC1510" s="255"/>
      <c r="CD1510" s="261"/>
      <c r="CE1510" s="261"/>
      <c r="CF1510" s="255"/>
      <c r="CG1510" s="261"/>
      <c r="CH1510" s="261"/>
      <c r="CI1510" s="261"/>
      <c r="CJ1510" s="261"/>
      <c r="CK1510" s="261"/>
      <c r="CL1510" s="255"/>
      <c r="CN1510" s="256"/>
      <c r="CO1510" s="256"/>
      <c r="CP1510" s="261"/>
      <c r="CQ1510" s="261"/>
      <c r="CR1510" s="255"/>
      <c r="CS1510" s="261"/>
      <c r="CT1510" s="261"/>
      <c r="CU1510" s="255"/>
      <c r="CV1510" s="261"/>
      <c r="CW1510" s="261"/>
      <c r="CX1510" s="261"/>
      <c r="CY1510" s="255"/>
    </row>
    <row r="1511" spans="1:103" ht="10.25" customHeight="1">
      <c r="C1511" s="278"/>
      <c r="CA1511" s="256"/>
      <c r="CB1511" s="261"/>
      <c r="CC1511" s="255"/>
      <c r="CD1511" s="261"/>
      <c r="CE1511" s="261"/>
      <c r="CF1511" s="255"/>
      <c r="CG1511" s="261"/>
      <c r="CH1511" s="261"/>
      <c r="CI1511" s="261"/>
      <c r="CJ1511" s="261"/>
      <c r="CK1511" s="261"/>
      <c r="CL1511" s="255"/>
      <c r="CN1511" s="256"/>
      <c r="CO1511" s="256"/>
      <c r="CP1511" s="261"/>
      <c r="CQ1511" s="261"/>
      <c r="CR1511" s="255"/>
      <c r="CS1511" s="261"/>
      <c r="CT1511" s="261"/>
      <c r="CU1511" s="255"/>
      <c r="CV1511" s="261"/>
      <c r="CW1511" s="261"/>
      <c r="CX1511" s="261"/>
      <c r="CY1511" s="255"/>
    </row>
    <row r="1512" spans="1:103" ht="10.25" customHeight="1">
      <c r="C1512" s="278"/>
      <c r="F1512" s="377"/>
      <c r="G1512" s="377"/>
      <c r="H1512" s="377"/>
      <c r="I1512" s="377"/>
      <c r="J1512" s="377"/>
      <c r="K1512" s="377"/>
      <c r="L1512" s="377"/>
      <c r="M1512" s="377"/>
      <c r="N1512" s="269"/>
      <c r="O1512" s="63"/>
      <c r="P1512" s="63"/>
      <c r="Q1512" s="63"/>
      <c r="R1512" s="63"/>
      <c r="S1512" s="63"/>
      <c r="T1512" s="63"/>
      <c r="U1512" s="63"/>
      <c r="V1512" s="63"/>
      <c r="W1512" s="63"/>
      <c r="X1512" s="63"/>
      <c r="Y1512" s="63"/>
      <c r="Z1512" s="63"/>
      <c r="AA1512" s="63"/>
      <c r="AB1512" s="63"/>
      <c r="AC1512" s="63"/>
      <c r="AD1512" s="63"/>
      <c r="AE1512" s="63"/>
      <c r="AF1512" s="63"/>
      <c r="AG1512" s="63"/>
      <c r="AH1512" s="63"/>
      <c r="AI1512" s="63"/>
      <c r="AJ1512" s="63"/>
      <c r="AK1512" s="63"/>
      <c r="AL1512" s="63"/>
      <c r="AM1512" s="63"/>
      <c r="AN1512" s="63"/>
      <c r="AO1512" s="63"/>
      <c r="AP1512" s="63"/>
      <c r="AQ1512" s="63"/>
      <c r="CA1512" s="256"/>
      <c r="CB1512" s="261"/>
      <c r="CC1512" s="255"/>
      <c r="CD1512" s="261"/>
      <c r="CE1512" s="261"/>
      <c r="CF1512" s="255"/>
      <c r="CG1512" s="261"/>
      <c r="CH1512" s="261"/>
      <c r="CI1512" s="261"/>
      <c r="CJ1512" s="261"/>
      <c r="CK1512" s="261"/>
      <c r="CL1512" s="255"/>
      <c r="CN1512" s="256"/>
      <c r="CO1512" s="256"/>
      <c r="CP1512" s="261"/>
      <c r="CQ1512" s="261"/>
      <c r="CR1512" s="255"/>
      <c r="CS1512" s="261"/>
      <c r="CT1512" s="261"/>
      <c r="CU1512" s="255"/>
      <c r="CV1512" s="261"/>
      <c r="CW1512" s="261"/>
      <c r="CX1512" s="261"/>
      <c r="CY1512" s="255"/>
    </row>
    <row r="1513" spans="1:103" ht="10.4" customHeight="1">
      <c r="C1513" s="278"/>
      <c r="F1513" s="377"/>
      <c r="G1513" s="377"/>
      <c r="H1513" s="377"/>
      <c r="I1513" s="377"/>
      <c r="J1513" s="377"/>
      <c r="K1513" s="377"/>
      <c r="L1513" s="377"/>
      <c r="M1513" s="377"/>
      <c r="N1513" s="269"/>
      <c r="O1513" s="63"/>
      <c r="P1513" s="63"/>
      <c r="Q1513" s="63"/>
      <c r="R1513" s="63"/>
      <c r="S1513" s="63"/>
      <c r="T1513" s="63"/>
      <c r="U1513" s="63"/>
      <c r="V1513" s="63"/>
      <c r="W1513" s="63"/>
      <c r="X1513" s="63"/>
      <c r="Y1513" s="63"/>
      <c r="Z1513" s="63"/>
      <c r="AA1513" s="63"/>
      <c r="AB1513" s="63"/>
      <c r="AC1513" s="63"/>
      <c r="AD1513" s="63"/>
      <c r="AE1513" s="63"/>
      <c r="AF1513" s="63"/>
      <c r="AG1513" s="63"/>
      <c r="AH1513" s="63"/>
      <c r="AI1513" s="63"/>
      <c r="AJ1513" s="63"/>
      <c r="AK1513" s="63"/>
      <c r="AL1513" s="63"/>
      <c r="AM1513" s="63"/>
      <c r="AN1513" s="63"/>
      <c r="AO1513" s="63"/>
      <c r="AP1513" s="63"/>
      <c r="AQ1513" s="63"/>
      <c r="AS1513" s="236"/>
      <c r="BE1513" s="63"/>
      <c r="BF1513" s="63"/>
      <c r="BG1513" s="63"/>
      <c r="BK1513" s="317"/>
      <c r="BL1513" s="5"/>
      <c r="BM1513" s="5"/>
      <c r="BN1513" s="5"/>
      <c r="BO1513" s="5"/>
      <c r="BP1513" s="5"/>
      <c r="BQ1513" s="5"/>
      <c r="BR1513" s="5"/>
      <c r="BS1513" s="5"/>
      <c r="BT1513" s="5"/>
      <c r="BV1513" s="317"/>
      <c r="CF1513" s="5"/>
      <c r="CG1513" s="5"/>
      <c r="CH1513" s="5"/>
      <c r="CI1513" s="5"/>
      <c r="CJ1513" s="5"/>
      <c r="CK1513" s="5"/>
      <c r="CL1513" s="5"/>
    </row>
    <row r="1514" spans="1:103" ht="10.25" customHeight="1">
      <c r="A1514" s="377"/>
      <c r="B1514" s="377"/>
      <c r="C1514" s="377"/>
      <c r="D1514" s="377"/>
      <c r="E1514" s="377"/>
      <c r="F1514" s="377"/>
      <c r="G1514" s="377"/>
      <c r="H1514" s="377"/>
      <c r="I1514" s="377"/>
      <c r="J1514" s="377"/>
      <c r="K1514" s="377"/>
      <c r="L1514" s="377"/>
      <c r="M1514" s="377"/>
      <c r="N1514" s="269"/>
      <c r="O1514" s="63"/>
      <c r="P1514" s="63"/>
      <c r="Q1514" s="63"/>
      <c r="R1514" s="63"/>
      <c r="S1514" s="63"/>
      <c r="T1514" s="63"/>
      <c r="U1514" s="63"/>
      <c r="V1514" s="63"/>
      <c r="W1514" s="63"/>
      <c r="X1514" s="63"/>
      <c r="Y1514" s="63"/>
      <c r="Z1514" s="63"/>
      <c r="AA1514" s="63"/>
      <c r="AB1514" s="63"/>
      <c r="AC1514" s="63"/>
      <c r="AD1514" s="63"/>
      <c r="AE1514" s="63"/>
      <c r="AF1514" s="63"/>
      <c r="AG1514" s="63"/>
      <c r="AH1514" s="63"/>
      <c r="AI1514" s="63"/>
      <c r="AJ1514" s="63"/>
      <c r="AK1514" s="63"/>
      <c r="AL1514" s="63"/>
      <c r="AM1514" s="63"/>
      <c r="AN1514" s="63"/>
      <c r="AO1514" s="63"/>
      <c r="AP1514" s="63"/>
      <c r="AQ1514" s="63"/>
      <c r="BE1514" s="63"/>
      <c r="BF1514" s="63"/>
      <c r="BG1514" s="63"/>
      <c r="BK1514" s="317"/>
      <c r="BL1514" s="5"/>
      <c r="BM1514" s="5"/>
      <c r="BN1514" s="5"/>
      <c r="BO1514" s="5"/>
      <c r="BP1514" s="5"/>
      <c r="BQ1514" s="5"/>
      <c r="BR1514" s="5"/>
      <c r="BS1514" s="5"/>
      <c r="BT1514" s="5"/>
      <c r="BV1514" s="317"/>
      <c r="CF1514" s="5"/>
      <c r="CG1514" s="5"/>
      <c r="CH1514" s="5"/>
      <c r="CI1514" s="5"/>
      <c r="CJ1514" s="5"/>
      <c r="CK1514" s="5"/>
      <c r="CL1514" s="5"/>
    </row>
    <row r="1515" spans="1:103" ht="10.25" customHeight="1">
      <c r="A1515" s="376"/>
      <c r="B1515" s="376"/>
      <c r="C1515" s="376"/>
      <c r="D1515" s="376"/>
      <c r="E1515" s="376"/>
      <c r="F1515" s="376"/>
      <c r="G1515" s="376"/>
      <c r="H1515" s="376"/>
      <c r="I1515" s="376"/>
      <c r="J1515" s="376"/>
      <c r="K1515" s="376"/>
      <c r="L1515" s="376"/>
      <c r="M1515" s="376"/>
      <c r="N1515" s="279"/>
      <c r="O1515" s="51"/>
      <c r="P1515" s="51"/>
      <c r="Q1515" s="51"/>
      <c r="R1515" s="51"/>
      <c r="S1515" s="51"/>
      <c r="T1515" s="51"/>
      <c r="U1515" s="51"/>
      <c r="V1515" s="51"/>
      <c r="W1515" s="51"/>
      <c r="X1515" s="51"/>
      <c r="Y1515" s="51"/>
      <c r="Z1515" s="51"/>
      <c r="AA1515" s="51"/>
      <c r="AB1515" s="51"/>
      <c r="AC1515" s="51"/>
      <c r="AD1515" s="51"/>
      <c r="AE1515" s="51"/>
      <c r="AF1515" s="51"/>
      <c r="AG1515" s="51"/>
      <c r="AH1515" s="51"/>
      <c r="AI1515" s="51"/>
      <c r="AJ1515" s="51"/>
      <c r="AK1515" s="51"/>
      <c r="AL1515" s="51"/>
      <c r="AM1515" s="51"/>
      <c r="AN1515" s="51"/>
      <c r="AO1515" s="51"/>
      <c r="AP1515" s="51"/>
      <c r="AQ1515" s="51"/>
      <c r="BE1515" s="63"/>
      <c r="BF1515" s="63"/>
      <c r="BG1515" s="63"/>
      <c r="BK1515" s="317"/>
      <c r="BL1515" s="5"/>
      <c r="BM1515" s="5"/>
      <c r="BN1515" s="5"/>
      <c r="BO1515" s="5"/>
      <c r="BP1515" s="5"/>
      <c r="BQ1515" s="5"/>
      <c r="BR1515" s="5"/>
      <c r="BS1515" s="5"/>
      <c r="BT1515" s="5"/>
      <c r="BV1515" s="317"/>
      <c r="CF1515" s="5"/>
      <c r="CG1515" s="5"/>
      <c r="CH1515" s="5"/>
      <c r="CI1515" s="5"/>
      <c r="CJ1515" s="5"/>
      <c r="CK1515" s="5"/>
      <c r="CL1515" s="5"/>
    </row>
    <row r="1516" spans="1:103" ht="10.25" customHeight="1">
      <c r="A1516" s="374"/>
      <c r="B1516" s="374"/>
      <c r="C1516" s="374"/>
      <c r="D1516" s="374"/>
      <c r="E1516" s="374"/>
      <c r="F1516" s="374"/>
      <c r="G1516" s="374"/>
      <c r="H1516" s="374"/>
      <c r="I1516" s="374"/>
      <c r="J1516" s="374"/>
      <c r="K1516" s="374"/>
      <c r="L1516" s="374"/>
      <c r="M1516" s="374"/>
      <c r="N1516" s="213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  <c r="AQ1516" s="5"/>
      <c r="BE1516" s="63"/>
      <c r="BF1516" s="63"/>
      <c r="BG1516" s="63"/>
      <c r="BK1516" s="317"/>
      <c r="BL1516" s="5"/>
      <c r="BM1516" s="5"/>
      <c r="BN1516" s="5"/>
      <c r="BO1516" s="5"/>
      <c r="BP1516" s="5"/>
      <c r="BQ1516" s="5"/>
      <c r="BR1516" s="5"/>
      <c r="BS1516" s="5"/>
      <c r="BT1516" s="5"/>
      <c r="BV1516" s="317"/>
      <c r="CF1516" s="5"/>
      <c r="CG1516" s="5"/>
      <c r="CH1516" s="5"/>
      <c r="CI1516" s="5"/>
      <c r="CJ1516" s="5"/>
      <c r="CK1516" s="5"/>
      <c r="CL1516" s="5"/>
    </row>
    <row r="1517" spans="1:103" ht="6" customHeight="1">
      <c r="A1517" s="208"/>
      <c r="B1517" s="209"/>
      <c r="C1517" s="209"/>
      <c r="D1517" s="209"/>
      <c r="E1517" s="209"/>
      <c r="F1517" s="280"/>
      <c r="G1517" s="280"/>
      <c r="H1517" s="280"/>
      <c r="I1517" s="280"/>
      <c r="J1517" s="280"/>
      <c r="K1517" s="280"/>
      <c r="L1517" s="280"/>
      <c r="M1517" s="280"/>
      <c r="N1517" s="280"/>
      <c r="O1517" s="42"/>
      <c r="P1517" s="42"/>
      <c r="Q1517" s="42"/>
      <c r="R1517" s="42"/>
      <c r="S1517" s="42"/>
      <c r="T1517" s="42"/>
      <c r="U1517" s="42"/>
      <c r="V1517" s="42"/>
      <c r="W1517" s="42"/>
      <c r="X1517" s="42"/>
      <c r="Y1517" s="42"/>
      <c r="Z1517" s="42"/>
      <c r="AA1517" s="42"/>
      <c r="AB1517" s="42"/>
      <c r="AC1517" s="42"/>
      <c r="AD1517" s="42"/>
      <c r="AE1517" s="42"/>
      <c r="AF1517" s="42"/>
      <c r="AG1517" s="42"/>
      <c r="AH1517" s="42"/>
      <c r="AI1517" s="42"/>
      <c r="AJ1517" s="42"/>
      <c r="AK1517" s="42"/>
      <c r="AL1517" s="42"/>
      <c r="AM1517" s="42"/>
      <c r="AN1517" s="42"/>
      <c r="AO1517" s="42"/>
      <c r="AP1517" s="42"/>
      <c r="AQ1517" s="42"/>
      <c r="BK1517" s="317"/>
      <c r="BL1517" s="5"/>
      <c r="BM1517" s="5"/>
      <c r="BN1517" s="5"/>
      <c r="BO1517" s="5"/>
      <c r="BP1517" s="5"/>
      <c r="BQ1517" s="5"/>
      <c r="BR1517" s="5"/>
      <c r="BS1517" s="5"/>
      <c r="BT1517" s="5"/>
      <c r="BV1517" s="317"/>
      <c r="CF1517" s="5"/>
      <c r="CG1517" s="5"/>
      <c r="CH1517" s="5"/>
      <c r="CI1517" s="5"/>
      <c r="CJ1517" s="5"/>
      <c r="CK1517" s="5"/>
      <c r="CL1517" s="5"/>
    </row>
    <row r="1518" spans="1:103" ht="10.25" customHeight="1">
      <c r="A1518" s="208"/>
      <c r="B1518" s="209"/>
      <c r="C1518" s="209"/>
      <c r="D1518" s="210"/>
      <c r="E1518" s="211"/>
      <c r="F1518" s="369"/>
      <c r="G1518" s="369"/>
      <c r="H1518" s="369"/>
      <c r="I1518" s="369"/>
      <c r="J1518" s="369"/>
      <c r="K1518" s="369"/>
      <c r="L1518" s="369"/>
      <c r="M1518" s="230"/>
      <c r="N1518" s="230"/>
      <c r="O1518" s="235"/>
      <c r="P1518" s="235"/>
      <c r="Q1518" s="235"/>
      <c r="R1518" s="235"/>
      <c r="S1518" s="235"/>
      <c r="T1518" s="235"/>
      <c r="U1518" s="235"/>
      <c r="V1518" s="235"/>
      <c r="W1518" s="235"/>
      <c r="X1518" s="235"/>
      <c r="Y1518" s="235"/>
      <c r="Z1518" s="235"/>
      <c r="AA1518" s="235"/>
      <c r="AB1518" s="235"/>
      <c r="AC1518" s="235"/>
      <c r="AD1518" s="235"/>
      <c r="AE1518" s="235"/>
      <c r="AF1518" s="235"/>
      <c r="AG1518" s="235"/>
      <c r="AH1518" s="235"/>
      <c r="AI1518" s="235"/>
      <c r="AJ1518" s="235"/>
      <c r="AK1518" s="235"/>
      <c r="AL1518" s="235"/>
      <c r="AM1518" s="235"/>
      <c r="AN1518" s="235"/>
      <c r="AO1518" s="235"/>
      <c r="AP1518" s="235"/>
      <c r="AQ1518" s="235"/>
      <c r="BK1518" s="317"/>
      <c r="BL1518" s="5"/>
      <c r="BM1518" s="5"/>
      <c r="BN1518" s="5"/>
      <c r="BO1518" s="5"/>
      <c r="BP1518" s="5"/>
      <c r="BQ1518" s="5"/>
      <c r="BR1518" s="5"/>
      <c r="BS1518" s="5"/>
      <c r="BT1518" s="5"/>
      <c r="BV1518" s="317"/>
      <c r="CF1518" s="5"/>
      <c r="CG1518" s="5"/>
      <c r="CH1518" s="5"/>
      <c r="CI1518" s="5"/>
      <c r="CJ1518" s="5"/>
      <c r="CK1518" s="5"/>
      <c r="CL1518" s="5"/>
    </row>
    <row r="1519" spans="1:103" ht="2" customHeight="1">
      <c r="A1519" s="209"/>
      <c r="B1519" s="209"/>
      <c r="C1519" s="212"/>
      <c r="D1519" s="213"/>
      <c r="E1519" s="209"/>
      <c r="F1519" s="209"/>
      <c r="G1519" s="209"/>
      <c r="H1519" s="209"/>
      <c r="I1519" s="209"/>
      <c r="J1519" s="209"/>
      <c r="K1519" s="209"/>
      <c r="L1519" s="209"/>
      <c r="M1519" s="209"/>
      <c r="N1519" s="209"/>
      <c r="O1519" s="46"/>
      <c r="P1519" s="46"/>
      <c r="Q1519" s="46"/>
      <c r="R1519" s="46"/>
      <c r="S1519" s="46"/>
      <c r="T1519" s="46"/>
      <c r="U1519" s="46"/>
      <c r="V1519" s="46"/>
      <c r="W1519" s="46"/>
      <c r="X1519" s="46"/>
      <c r="Y1519" s="46"/>
      <c r="Z1519" s="46"/>
      <c r="AA1519" s="46"/>
      <c r="AB1519" s="46"/>
      <c r="AC1519" s="46"/>
      <c r="AD1519" s="46"/>
      <c r="AE1519" s="46"/>
      <c r="AF1519" s="46"/>
      <c r="AG1519" s="46"/>
      <c r="AH1519" s="46"/>
      <c r="AI1519" s="46"/>
      <c r="AJ1519" s="46"/>
      <c r="AK1519" s="46"/>
      <c r="AL1519" s="46"/>
      <c r="AM1519" s="46"/>
      <c r="AN1519" s="46"/>
      <c r="AO1519" s="46"/>
      <c r="AP1519" s="46"/>
      <c r="AQ1519" s="46"/>
      <c r="BK1519" s="317"/>
      <c r="BL1519" s="5"/>
      <c r="BM1519" s="5"/>
      <c r="BN1519" s="5"/>
      <c r="BO1519" s="5"/>
      <c r="BP1519" s="5"/>
      <c r="BQ1519" s="5"/>
      <c r="BR1519" s="5"/>
      <c r="BS1519" s="5"/>
      <c r="BT1519" s="5"/>
      <c r="BV1519" s="317"/>
      <c r="CF1519" s="5"/>
      <c r="CG1519" s="5"/>
      <c r="CH1519" s="5"/>
      <c r="CI1519" s="5"/>
      <c r="CJ1519" s="5"/>
      <c r="CK1519" s="5"/>
      <c r="CL1519" s="5"/>
    </row>
    <row r="1520" spans="1:103" ht="26.4" customHeight="1">
      <c r="A1520" s="374"/>
      <c r="B1520" s="374"/>
      <c r="C1520" s="374"/>
      <c r="D1520" s="372"/>
      <c r="E1520" s="373"/>
      <c r="F1520" s="370"/>
      <c r="G1520" s="215"/>
      <c r="H1520" s="373"/>
      <c r="I1520" s="370"/>
      <c r="J1520" s="370"/>
      <c r="K1520" s="370"/>
      <c r="L1520" s="373"/>
      <c r="M1520" s="374"/>
      <c r="N1520" s="213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  <c r="AQ1520" s="5"/>
      <c r="BK1520" s="317"/>
      <c r="BL1520" s="5"/>
      <c r="BM1520" s="5"/>
      <c r="BN1520" s="5"/>
      <c r="BO1520" s="5"/>
      <c r="BP1520" s="5"/>
      <c r="BQ1520" s="5"/>
      <c r="BR1520" s="5"/>
      <c r="BS1520" s="5"/>
      <c r="BT1520" s="5"/>
      <c r="BV1520" s="317"/>
      <c r="CF1520" s="5"/>
      <c r="CG1520" s="5"/>
      <c r="CH1520" s="5"/>
      <c r="CI1520" s="5"/>
      <c r="CJ1520" s="5"/>
      <c r="CK1520" s="5"/>
      <c r="CL1520" s="5"/>
    </row>
    <row r="1521" spans="1:103" ht="9.65" customHeight="1">
      <c r="A1521" s="374"/>
      <c r="B1521" s="374"/>
      <c r="C1521" s="374"/>
      <c r="D1521" s="372"/>
      <c r="E1521" s="373"/>
      <c r="F1521" s="370"/>
      <c r="G1521" s="215"/>
      <c r="H1521" s="373"/>
      <c r="I1521" s="233"/>
      <c r="J1521" s="233"/>
      <c r="K1521" s="233"/>
      <c r="L1521" s="373"/>
      <c r="M1521" s="374"/>
      <c r="N1521" s="213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BK1521" s="317"/>
      <c r="BL1521" s="5"/>
      <c r="BM1521" s="5"/>
      <c r="BN1521" s="5"/>
      <c r="BO1521" s="5"/>
      <c r="BP1521" s="5"/>
      <c r="BQ1521" s="5"/>
      <c r="BR1521" s="5"/>
      <c r="BS1521" s="5"/>
      <c r="BT1521" s="5"/>
      <c r="BV1521" s="317"/>
      <c r="CF1521" s="5"/>
      <c r="CG1521" s="5"/>
      <c r="CH1521" s="5"/>
      <c r="CI1521" s="5"/>
      <c r="CJ1521" s="5"/>
      <c r="CK1521" s="5"/>
      <c r="CL1521" s="5"/>
    </row>
    <row r="1522" spans="1:103" ht="10.25" customHeight="1">
      <c r="A1522" s="216"/>
      <c r="B1522" s="217"/>
      <c r="C1522" s="218"/>
      <c r="D1522" s="219"/>
      <c r="E1522" s="217"/>
      <c r="F1522" s="217"/>
      <c r="G1522" s="217"/>
      <c r="H1522" s="220"/>
      <c r="I1522" s="217"/>
      <c r="J1522" s="217"/>
      <c r="K1522" s="217"/>
      <c r="L1522" s="217"/>
      <c r="M1522" s="217"/>
      <c r="N1522" s="217"/>
      <c r="O1522" s="44"/>
      <c r="P1522" s="44"/>
      <c r="Q1522" s="44"/>
      <c r="R1522" s="44"/>
      <c r="S1522" s="44"/>
      <c r="T1522" s="44"/>
      <c r="U1522" s="44"/>
      <c r="V1522" s="44"/>
      <c r="W1522" s="44"/>
      <c r="X1522" s="44"/>
      <c r="Y1522" s="44"/>
      <c r="Z1522" s="44"/>
      <c r="AA1522" s="44"/>
      <c r="AB1522" s="44"/>
      <c r="AC1522" s="44"/>
      <c r="AD1522" s="44"/>
      <c r="AE1522" s="44"/>
      <c r="AF1522" s="44"/>
      <c r="AG1522" s="44"/>
      <c r="AH1522" s="44"/>
      <c r="AI1522" s="44"/>
      <c r="AJ1522" s="44"/>
      <c r="AK1522" s="44"/>
      <c r="AL1522" s="44"/>
      <c r="AM1522" s="44"/>
      <c r="AN1522" s="44"/>
      <c r="AO1522" s="44"/>
      <c r="AP1522" s="44"/>
      <c r="AQ1522" s="44"/>
      <c r="BA1522" s="5"/>
      <c r="BB1522" s="5"/>
      <c r="BC1522" s="5"/>
      <c r="BD1522" s="5"/>
      <c r="BE1522" s="63"/>
      <c r="BF1522" s="63"/>
      <c r="BG1522" s="63"/>
      <c r="BK1522" s="317"/>
      <c r="BL1522" s="5"/>
      <c r="BM1522" s="5"/>
      <c r="BN1522" s="5"/>
      <c r="BO1522" s="5"/>
      <c r="BP1522" s="5"/>
      <c r="BQ1522" s="5"/>
      <c r="BR1522" s="5"/>
      <c r="BS1522" s="5"/>
      <c r="BT1522" s="5"/>
      <c r="BV1522" s="317"/>
      <c r="CF1522" s="5"/>
      <c r="CG1522" s="53"/>
      <c r="CH1522" s="53"/>
      <c r="CI1522" s="53"/>
      <c r="CJ1522" s="53"/>
      <c r="CK1522" s="53"/>
      <c r="CL1522" s="53"/>
      <c r="CN1522" s="53"/>
      <c r="CO1522" s="53"/>
      <c r="CP1522" s="53"/>
      <c r="CQ1522" s="53"/>
      <c r="CR1522" s="53"/>
      <c r="CS1522" s="53"/>
    </row>
    <row r="1523" spans="1:103" ht="10.25" customHeight="1">
      <c r="A1523" s="216"/>
      <c r="B1523" s="217"/>
      <c r="C1523" s="218"/>
      <c r="D1523" s="219"/>
      <c r="E1523" s="217"/>
      <c r="F1523" s="217"/>
      <c r="G1523" s="217"/>
      <c r="H1523" s="220"/>
      <c r="I1523" s="217"/>
      <c r="J1523" s="217"/>
      <c r="K1523" s="217"/>
      <c r="L1523" s="217"/>
      <c r="M1523" s="217"/>
      <c r="N1523" s="217"/>
      <c r="O1523" s="44"/>
      <c r="P1523" s="44"/>
      <c r="Q1523" s="44"/>
      <c r="R1523" s="44"/>
      <c r="S1523" s="44"/>
      <c r="T1523" s="44"/>
      <c r="U1523" s="44"/>
      <c r="V1523" s="44"/>
      <c r="W1523" s="44"/>
      <c r="X1523" s="44"/>
      <c r="Y1523" s="44"/>
      <c r="Z1523" s="44"/>
      <c r="AA1523" s="44"/>
      <c r="AB1523" s="44"/>
      <c r="AC1523" s="44"/>
      <c r="AD1523" s="44"/>
      <c r="AE1523" s="44"/>
      <c r="AF1523" s="44"/>
      <c r="AG1523" s="44"/>
      <c r="AH1523" s="44"/>
      <c r="AI1523" s="44"/>
      <c r="AJ1523" s="44"/>
      <c r="AK1523" s="44"/>
      <c r="AL1523" s="44"/>
      <c r="AM1523" s="44"/>
      <c r="AN1523" s="44"/>
      <c r="AO1523" s="44"/>
      <c r="AP1523" s="44"/>
      <c r="AQ1523" s="44"/>
      <c r="BA1523" s="5"/>
      <c r="BB1523" s="5"/>
      <c r="BC1523" s="5"/>
      <c r="BD1523" s="5"/>
      <c r="BE1523" s="63"/>
      <c r="BF1523" s="63"/>
      <c r="BG1523" s="63"/>
      <c r="BK1523" s="317"/>
      <c r="BL1523" s="5"/>
      <c r="BM1523" s="5"/>
      <c r="BN1523" s="5"/>
      <c r="BO1523" s="5"/>
      <c r="BP1523" s="5"/>
      <c r="BQ1523" s="5"/>
      <c r="BR1523" s="5"/>
      <c r="BS1523" s="5"/>
      <c r="BT1523" s="5"/>
      <c r="BV1523" s="317"/>
      <c r="CF1523" s="5"/>
      <c r="CG1523" s="53"/>
      <c r="CH1523" s="53"/>
      <c r="CI1523" s="53"/>
      <c r="CJ1523" s="53"/>
      <c r="CK1523" s="53"/>
      <c r="CL1523" s="53"/>
      <c r="CN1523" s="53"/>
      <c r="CO1523" s="53"/>
      <c r="CP1523" s="53"/>
      <c r="CQ1523" s="53"/>
      <c r="CR1523" s="53"/>
      <c r="CS1523" s="53"/>
    </row>
    <row r="1524" spans="1:103" ht="10.25" customHeight="1">
      <c r="A1524" s="216"/>
      <c r="B1524" s="217"/>
      <c r="C1524" s="218"/>
      <c r="D1524" s="219"/>
      <c r="E1524" s="217"/>
      <c r="F1524" s="217"/>
      <c r="G1524" s="217"/>
      <c r="H1524" s="220"/>
      <c r="I1524" s="217"/>
      <c r="J1524" s="217"/>
      <c r="K1524" s="217"/>
      <c r="L1524" s="217"/>
      <c r="M1524" s="217"/>
      <c r="N1524" s="217"/>
      <c r="O1524" s="44"/>
      <c r="P1524" s="44"/>
      <c r="Q1524" s="44"/>
      <c r="R1524" s="44"/>
      <c r="S1524" s="44"/>
      <c r="T1524" s="44"/>
      <c r="U1524" s="44"/>
      <c r="V1524" s="44"/>
      <c r="W1524" s="44"/>
      <c r="X1524" s="44"/>
      <c r="Y1524" s="44"/>
      <c r="Z1524" s="44"/>
      <c r="AA1524" s="44"/>
      <c r="AB1524" s="44"/>
      <c r="AC1524" s="44"/>
      <c r="AD1524" s="44"/>
      <c r="AE1524" s="44"/>
      <c r="AF1524" s="44"/>
      <c r="AG1524" s="44"/>
      <c r="AH1524" s="44"/>
      <c r="AI1524" s="44"/>
      <c r="AJ1524" s="44"/>
      <c r="AK1524" s="44"/>
      <c r="AL1524" s="44"/>
      <c r="AM1524" s="44"/>
      <c r="AN1524" s="44"/>
      <c r="AO1524" s="44"/>
      <c r="AP1524" s="44"/>
      <c r="AQ1524" s="44"/>
      <c r="BA1524" s="5"/>
      <c r="BB1524" s="5"/>
      <c r="BC1524" s="5"/>
      <c r="BD1524" s="5"/>
      <c r="BE1524" s="63"/>
      <c r="BF1524" s="63"/>
      <c r="BG1524" s="63"/>
      <c r="BK1524" s="317"/>
      <c r="BL1524" s="5"/>
      <c r="BM1524" s="5"/>
      <c r="BN1524" s="5"/>
      <c r="BO1524" s="5"/>
      <c r="BP1524" s="5"/>
      <c r="BQ1524" s="5"/>
      <c r="BR1524" s="5"/>
      <c r="BS1524" s="5"/>
      <c r="BT1524" s="5"/>
      <c r="BV1524" s="317"/>
      <c r="CF1524" s="5"/>
      <c r="CG1524" s="53"/>
      <c r="CH1524" s="53"/>
      <c r="CI1524" s="53"/>
      <c r="CJ1524" s="53"/>
      <c r="CK1524" s="53"/>
      <c r="CL1524" s="53"/>
      <c r="CN1524" s="53"/>
      <c r="CO1524" s="53"/>
      <c r="CP1524" s="53"/>
      <c r="CQ1524" s="53"/>
      <c r="CR1524" s="53"/>
      <c r="CS1524" s="53"/>
    </row>
    <row r="1525" spans="1:103" ht="10.25" customHeight="1">
      <c r="A1525" s="216"/>
      <c r="B1525" s="217"/>
      <c r="C1525" s="218"/>
      <c r="D1525" s="219"/>
      <c r="E1525" s="217"/>
      <c r="F1525" s="217"/>
      <c r="G1525" s="217"/>
      <c r="H1525" s="220"/>
      <c r="I1525" s="217"/>
      <c r="J1525" s="217"/>
      <c r="K1525" s="217"/>
      <c r="L1525" s="217"/>
      <c r="M1525" s="217"/>
      <c r="N1525" s="217"/>
      <c r="O1525" s="44"/>
      <c r="P1525" s="44"/>
      <c r="Q1525" s="44"/>
      <c r="R1525" s="44"/>
      <c r="S1525" s="44"/>
      <c r="T1525" s="44"/>
      <c r="U1525" s="44"/>
      <c r="V1525" s="44"/>
      <c r="W1525" s="44"/>
      <c r="X1525" s="44"/>
      <c r="Y1525" s="44"/>
      <c r="Z1525" s="44"/>
      <c r="AA1525" s="44"/>
      <c r="AB1525" s="44"/>
      <c r="AC1525" s="44"/>
      <c r="AD1525" s="44"/>
      <c r="AE1525" s="44"/>
      <c r="AF1525" s="44"/>
      <c r="AG1525" s="44"/>
      <c r="AH1525" s="44"/>
      <c r="AI1525" s="44"/>
      <c r="AJ1525" s="44"/>
      <c r="AK1525" s="44"/>
      <c r="AL1525" s="44"/>
      <c r="AM1525" s="44"/>
      <c r="AN1525" s="44"/>
      <c r="AO1525" s="44"/>
      <c r="AP1525" s="44"/>
      <c r="AQ1525" s="44"/>
      <c r="BA1525" s="5"/>
      <c r="BB1525" s="5"/>
      <c r="BC1525" s="5"/>
      <c r="BD1525" s="5"/>
      <c r="BE1525" s="63"/>
      <c r="BF1525" s="63"/>
      <c r="BG1525" s="63"/>
      <c r="BK1525" s="317"/>
      <c r="BL1525" s="5"/>
      <c r="BM1525" s="5"/>
      <c r="BN1525" s="5"/>
      <c r="BO1525" s="5"/>
      <c r="BP1525" s="5"/>
      <c r="BQ1525" s="5"/>
      <c r="BR1525" s="5"/>
      <c r="BS1525" s="5"/>
      <c r="BT1525" s="5"/>
      <c r="BV1525" s="317"/>
      <c r="CF1525" s="5"/>
      <c r="CG1525" s="53"/>
      <c r="CH1525" s="53"/>
      <c r="CI1525" s="53"/>
      <c r="CJ1525" s="53"/>
      <c r="CK1525" s="53"/>
      <c r="CL1525" s="53"/>
      <c r="CN1525" s="53"/>
      <c r="CO1525" s="53"/>
      <c r="CP1525" s="53"/>
      <c r="CQ1525" s="53"/>
      <c r="CR1525" s="53"/>
      <c r="CS1525" s="53"/>
    </row>
    <row r="1526" spans="1:103" ht="10.25" customHeight="1">
      <c r="A1526" s="216"/>
      <c r="B1526" s="217"/>
      <c r="C1526" s="218"/>
      <c r="D1526" s="219"/>
      <c r="E1526" s="217"/>
      <c r="F1526" s="217"/>
      <c r="G1526" s="217"/>
      <c r="H1526" s="220"/>
      <c r="I1526" s="217"/>
      <c r="J1526" s="217"/>
      <c r="K1526" s="217"/>
      <c r="L1526" s="217"/>
      <c r="M1526" s="217"/>
      <c r="N1526" s="217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BA1526" s="5"/>
      <c r="BB1526" s="5"/>
      <c r="BC1526" s="5"/>
      <c r="BD1526" s="5"/>
      <c r="BE1526" s="63"/>
      <c r="BF1526" s="63"/>
      <c r="BG1526" s="63"/>
      <c r="BK1526" s="317"/>
      <c r="BL1526" s="5"/>
      <c r="BM1526" s="5"/>
      <c r="BN1526" s="5"/>
      <c r="BO1526" s="5"/>
      <c r="BP1526" s="5"/>
      <c r="BQ1526" s="5"/>
      <c r="BR1526" s="5"/>
      <c r="BS1526" s="5"/>
      <c r="BT1526" s="5"/>
      <c r="BV1526" s="317"/>
      <c r="CF1526" s="5"/>
      <c r="CG1526" s="53"/>
      <c r="CH1526" s="53"/>
      <c r="CI1526" s="53"/>
      <c r="CJ1526" s="53"/>
      <c r="CK1526" s="53"/>
      <c r="CL1526" s="53"/>
      <c r="CN1526" s="53"/>
      <c r="CO1526" s="53"/>
      <c r="CP1526" s="53"/>
      <c r="CQ1526" s="53"/>
      <c r="CR1526" s="53"/>
      <c r="CS1526" s="53"/>
    </row>
    <row r="1527" spans="1:103" ht="10.25" customHeight="1">
      <c r="A1527" s="216"/>
      <c r="B1527" s="217"/>
      <c r="C1527" s="218"/>
      <c r="D1527" s="219"/>
      <c r="E1527" s="217"/>
      <c r="F1527" s="217"/>
      <c r="G1527" s="217"/>
      <c r="H1527" s="220"/>
      <c r="I1527" s="217"/>
      <c r="J1527" s="217"/>
      <c r="K1527" s="217"/>
      <c r="L1527" s="217"/>
      <c r="M1527" s="217"/>
      <c r="N1527" s="217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BA1527" s="5"/>
      <c r="BB1527" s="5"/>
      <c r="BC1527" s="5"/>
      <c r="BD1527" s="5"/>
      <c r="BE1527" s="63"/>
      <c r="BF1527" s="63"/>
      <c r="BG1527" s="63"/>
      <c r="BK1527" s="317"/>
      <c r="BL1527" s="5"/>
      <c r="BM1527" s="5"/>
      <c r="BN1527" s="5"/>
      <c r="BO1527" s="5"/>
      <c r="BP1527" s="5"/>
      <c r="BQ1527" s="5"/>
      <c r="BR1527" s="5"/>
      <c r="BS1527" s="5"/>
      <c r="BT1527" s="5"/>
      <c r="BV1527" s="317"/>
      <c r="CF1527" s="5"/>
      <c r="CG1527" s="53"/>
      <c r="CH1527" s="53"/>
      <c r="CI1527" s="53"/>
      <c r="CJ1527" s="53"/>
      <c r="CK1527" s="53"/>
      <c r="CL1527" s="53"/>
      <c r="CN1527" s="53"/>
      <c r="CO1527" s="53"/>
      <c r="CP1527" s="53"/>
      <c r="CQ1527" s="53"/>
      <c r="CR1527" s="53"/>
      <c r="CS1527" s="53"/>
    </row>
    <row r="1528" spans="1:103" ht="10.25" customHeight="1">
      <c r="A1528" s="216"/>
      <c r="B1528" s="217"/>
      <c r="C1528" s="218"/>
      <c r="D1528" s="219"/>
      <c r="E1528" s="217"/>
      <c r="F1528" s="217"/>
      <c r="G1528" s="217"/>
      <c r="H1528" s="220"/>
      <c r="I1528" s="217"/>
      <c r="J1528" s="217"/>
      <c r="K1528" s="217"/>
      <c r="L1528" s="217"/>
      <c r="M1528" s="217"/>
      <c r="N1528" s="217"/>
      <c r="O1528" s="44"/>
      <c r="P1528" s="44"/>
      <c r="Q1528" s="44"/>
      <c r="R1528" s="44"/>
      <c r="S1528" s="44"/>
      <c r="T1528" s="44"/>
      <c r="U1528" s="44"/>
      <c r="V1528" s="44"/>
      <c r="W1528" s="44"/>
      <c r="X1528" s="44"/>
      <c r="Y1528" s="44"/>
      <c r="Z1528" s="44"/>
      <c r="AA1528" s="44"/>
      <c r="AB1528" s="44"/>
      <c r="AC1528" s="44"/>
      <c r="AD1528" s="44"/>
      <c r="AE1528" s="44"/>
      <c r="AF1528" s="44"/>
      <c r="AG1528" s="44"/>
      <c r="AH1528" s="44"/>
      <c r="AI1528" s="44"/>
      <c r="AJ1528" s="44"/>
      <c r="AK1528" s="44"/>
      <c r="AL1528" s="44"/>
      <c r="AM1528" s="44"/>
      <c r="AN1528" s="44"/>
      <c r="AO1528" s="44"/>
      <c r="AP1528" s="44"/>
      <c r="AQ1528" s="44"/>
      <c r="BA1528" s="5"/>
      <c r="BB1528" s="5"/>
      <c r="BC1528" s="5"/>
      <c r="BD1528" s="5"/>
      <c r="BE1528" s="63"/>
      <c r="BF1528" s="63"/>
      <c r="BG1528" s="63"/>
      <c r="BK1528" s="317"/>
      <c r="BL1528" s="5"/>
      <c r="BM1528" s="5"/>
      <c r="BN1528" s="5"/>
      <c r="BO1528" s="5"/>
      <c r="BP1528" s="5"/>
      <c r="BQ1528" s="5"/>
      <c r="BR1528" s="5"/>
      <c r="BS1528" s="5"/>
      <c r="BT1528" s="5"/>
      <c r="BV1528" s="317"/>
      <c r="CF1528" s="5"/>
      <c r="CG1528" s="53"/>
      <c r="CH1528" s="53"/>
      <c r="CI1528" s="53"/>
      <c r="CJ1528" s="53"/>
      <c r="CK1528" s="53"/>
      <c r="CL1528" s="53"/>
      <c r="CN1528" s="53"/>
      <c r="CO1528" s="53"/>
      <c r="CP1528" s="53"/>
      <c r="CQ1528" s="53"/>
      <c r="CR1528" s="53"/>
      <c r="CS1528" s="53"/>
    </row>
    <row r="1529" spans="1:103" ht="10.25" customHeight="1">
      <c r="A1529" s="216"/>
      <c r="B1529" s="217"/>
      <c r="C1529" s="218"/>
      <c r="D1529" s="219"/>
      <c r="E1529" s="217"/>
      <c r="F1529" s="217"/>
      <c r="G1529" s="217"/>
      <c r="H1529" s="220"/>
      <c r="I1529" s="217"/>
      <c r="J1529" s="217"/>
      <c r="K1529" s="217"/>
      <c r="L1529" s="217"/>
      <c r="M1529" s="217"/>
      <c r="N1529" s="217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44"/>
      <c r="AL1529" s="44"/>
      <c r="AM1529" s="44"/>
      <c r="AN1529" s="44"/>
      <c r="AO1529" s="44"/>
      <c r="AP1529" s="44"/>
      <c r="AQ1529" s="44"/>
      <c r="AW1529" s="63"/>
      <c r="AX1529" s="63"/>
      <c r="AY1529" s="63"/>
      <c r="AZ1529" s="63"/>
      <c r="BA1529" s="5"/>
      <c r="BB1529" s="5"/>
      <c r="BC1529" s="5"/>
      <c r="BD1529" s="5"/>
      <c r="BE1529" s="63"/>
      <c r="BF1529" s="63"/>
      <c r="BG1529" s="63"/>
      <c r="BV1529" s="317"/>
      <c r="CF1529" s="5"/>
      <c r="CG1529" s="53"/>
      <c r="CH1529" s="53"/>
      <c r="CI1529" s="53"/>
      <c r="CJ1529" s="53"/>
      <c r="CK1529" s="53"/>
      <c r="CL1529" s="53"/>
      <c r="CN1529" s="53"/>
      <c r="CO1529" s="53"/>
      <c r="CP1529" s="53"/>
      <c r="CQ1529" s="53"/>
      <c r="CR1529" s="53"/>
      <c r="CS1529" s="53"/>
    </row>
    <row r="1530" spans="1:103" ht="10.25" customHeight="1">
      <c r="A1530" s="216"/>
      <c r="B1530" s="217"/>
      <c r="C1530" s="218"/>
      <c r="D1530" s="219"/>
      <c r="E1530" s="217"/>
      <c r="F1530" s="217"/>
      <c r="G1530" s="217"/>
      <c r="H1530" s="220"/>
      <c r="I1530" s="217"/>
      <c r="J1530" s="217"/>
      <c r="K1530" s="217"/>
      <c r="L1530" s="217"/>
      <c r="M1530" s="217"/>
      <c r="N1530" s="217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W1530" s="63"/>
      <c r="AX1530" s="63"/>
      <c r="AY1530" s="63"/>
      <c r="AZ1530" s="63"/>
      <c r="BA1530" s="5"/>
      <c r="BB1530" s="5"/>
      <c r="BC1530" s="5"/>
      <c r="BD1530" s="5"/>
      <c r="BE1530" s="63"/>
      <c r="BF1530" s="63"/>
      <c r="BG1530" s="63"/>
      <c r="BV1530" s="317"/>
      <c r="CF1530" s="5"/>
      <c r="CG1530" s="53"/>
      <c r="CH1530" s="53"/>
      <c r="CI1530" s="53"/>
      <c r="CJ1530" s="53"/>
      <c r="CK1530" s="53"/>
      <c r="CL1530" s="53"/>
      <c r="CN1530" s="53"/>
      <c r="CO1530" s="53"/>
      <c r="CP1530" s="53"/>
      <c r="CQ1530" s="53"/>
      <c r="CR1530" s="53"/>
      <c r="CS1530" s="53"/>
    </row>
    <row r="1531" spans="1:103" ht="10.25" customHeight="1">
      <c r="A1531" s="216"/>
      <c r="B1531" s="217"/>
      <c r="C1531" s="218"/>
      <c r="D1531" s="219"/>
      <c r="E1531" s="217"/>
      <c r="F1531" s="217"/>
      <c r="G1531" s="217"/>
      <c r="H1531" s="220"/>
      <c r="I1531" s="217"/>
      <c r="J1531" s="217"/>
      <c r="K1531" s="217"/>
      <c r="L1531" s="217"/>
      <c r="M1531" s="217"/>
      <c r="N1531" s="217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W1531" s="63"/>
      <c r="AX1531" s="63"/>
      <c r="AY1531" s="63"/>
      <c r="AZ1531" s="63"/>
      <c r="BA1531" s="5"/>
      <c r="BB1531" s="5"/>
      <c r="BC1531" s="5"/>
      <c r="BD1531" s="5"/>
      <c r="BE1531" s="63"/>
      <c r="BF1531" s="63"/>
      <c r="BG1531" s="63"/>
      <c r="BV1531" s="317"/>
      <c r="CF1531" s="5"/>
      <c r="CG1531" s="53"/>
      <c r="CH1531" s="53"/>
      <c r="CI1531" s="53"/>
      <c r="CJ1531" s="53"/>
      <c r="CK1531" s="53"/>
      <c r="CL1531" s="53"/>
      <c r="CN1531" s="53"/>
      <c r="CO1531" s="53"/>
      <c r="CP1531" s="53"/>
      <c r="CQ1531" s="53"/>
      <c r="CR1531" s="53"/>
      <c r="CS1531" s="53"/>
      <c r="CT1531" s="5"/>
      <c r="CU1531" s="5"/>
      <c r="CV1531" s="5"/>
      <c r="CW1531" s="5"/>
      <c r="CX1531" s="5"/>
      <c r="CY1531" s="5"/>
    </row>
    <row r="1532" spans="1:103" ht="10.25" customHeight="1">
      <c r="A1532" s="216"/>
      <c r="B1532" s="217"/>
      <c r="C1532" s="218"/>
      <c r="D1532" s="219"/>
      <c r="E1532" s="217"/>
      <c r="F1532" s="217"/>
      <c r="G1532" s="217"/>
      <c r="H1532" s="220"/>
      <c r="I1532" s="217"/>
      <c r="J1532" s="217"/>
      <c r="K1532" s="217"/>
      <c r="L1532" s="217"/>
      <c r="M1532" s="217"/>
      <c r="N1532" s="217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W1532" s="63"/>
      <c r="AX1532" s="63"/>
      <c r="AY1532" s="63"/>
      <c r="AZ1532" s="63"/>
      <c r="BA1532" s="5"/>
      <c r="BB1532" s="5"/>
      <c r="BC1532" s="5"/>
      <c r="BD1532" s="5"/>
      <c r="BE1532" s="63"/>
      <c r="BF1532" s="63"/>
      <c r="BG1532" s="63"/>
      <c r="BV1532" s="317"/>
      <c r="CF1532" s="5"/>
      <c r="CG1532" s="53"/>
      <c r="CH1532" s="53"/>
      <c r="CI1532" s="53"/>
      <c r="CJ1532" s="53"/>
      <c r="CK1532" s="53"/>
      <c r="CL1532" s="53"/>
      <c r="CN1532" s="53"/>
      <c r="CO1532" s="53"/>
      <c r="CP1532" s="53"/>
      <c r="CQ1532" s="53"/>
      <c r="CR1532" s="53"/>
      <c r="CS1532" s="53"/>
      <c r="CT1532" s="5"/>
      <c r="CU1532" s="5"/>
      <c r="CV1532" s="5"/>
      <c r="CW1532" s="5"/>
      <c r="CX1532" s="5"/>
      <c r="CY1532" s="5"/>
    </row>
    <row r="1533" spans="1:103" ht="10.25" customHeight="1">
      <c r="A1533" s="216"/>
      <c r="B1533" s="217"/>
      <c r="C1533" s="218"/>
      <c r="D1533" s="219"/>
      <c r="E1533" s="217"/>
      <c r="F1533" s="217"/>
      <c r="G1533" s="217"/>
      <c r="H1533" s="220"/>
      <c r="I1533" s="217"/>
      <c r="J1533" s="217"/>
      <c r="K1533" s="217"/>
      <c r="L1533" s="217"/>
      <c r="M1533" s="217"/>
      <c r="N1533" s="217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W1533" s="63"/>
      <c r="AX1533" s="63"/>
      <c r="AY1533" s="63"/>
      <c r="AZ1533" s="63"/>
      <c r="BA1533" s="5"/>
      <c r="BB1533" s="5"/>
      <c r="BC1533" s="5"/>
      <c r="BD1533" s="5"/>
      <c r="BE1533" s="63"/>
      <c r="BF1533" s="63"/>
      <c r="BG1533" s="63"/>
      <c r="BV1533" s="317"/>
      <c r="CF1533" s="5"/>
      <c r="CG1533" s="53"/>
      <c r="CH1533" s="53"/>
      <c r="CI1533" s="53"/>
      <c r="CJ1533" s="53"/>
      <c r="CK1533" s="53"/>
      <c r="CL1533" s="53"/>
      <c r="CN1533" s="53"/>
      <c r="CO1533" s="53"/>
      <c r="CP1533" s="53"/>
      <c r="CQ1533" s="53"/>
      <c r="CR1533" s="53"/>
      <c r="CS1533" s="53"/>
      <c r="CT1533" s="5"/>
      <c r="CU1533" s="5"/>
      <c r="CV1533" s="5"/>
      <c r="CW1533" s="5"/>
      <c r="CX1533" s="5"/>
      <c r="CY1533" s="5"/>
    </row>
    <row r="1534" spans="1:103" ht="10.25" customHeight="1">
      <c r="A1534" s="216"/>
      <c r="B1534" s="217"/>
      <c r="C1534" s="218"/>
      <c r="D1534" s="219"/>
      <c r="E1534" s="217"/>
      <c r="F1534" s="217"/>
      <c r="G1534" s="217"/>
      <c r="H1534" s="220"/>
      <c r="I1534" s="217"/>
      <c r="J1534" s="217"/>
      <c r="K1534" s="217"/>
      <c r="L1534" s="217"/>
      <c r="M1534" s="217"/>
      <c r="N1534" s="217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BA1534" s="5"/>
      <c r="BB1534" s="5"/>
      <c r="BC1534" s="5"/>
      <c r="BD1534" s="5"/>
      <c r="BE1534" s="63"/>
      <c r="BF1534" s="63"/>
      <c r="BG1534" s="63"/>
      <c r="BV1534" s="317"/>
      <c r="CF1534" s="5"/>
      <c r="CG1534" s="53"/>
      <c r="CH1534" s="53"/>
      <c r="CI1534" s="53"/>
      <c r="CJ1534" s="53"/>
      <c r="CK1534" s="53"/>
      <c r="CL1534" s="53"/>
      <c r="CN1534" s="53"/>
      <c r="CO1534" s="53"/>
      <c r="CP1534" s="53"/>
      <c r="CQ1534" s="53"/>
      <c r="CR1534" s="53"/>
      <c r="CS1534" s="53"/>
      <c r="CT1534" s="5"/>
      <c r="CU1534" s="5"/>
      <c r="CV1534" s="5"/>
      <c r="CW1534" s="5"/>
      <c r="CX1534" s="5"/>
      <c r="CY1534" s="5"/>
    </row>
    <row r="1535" spans="1:103" ht="10.25" customHeight="1">
      <c r="A1535" s="216"/>
      <c r="B1535" s="217"/>
      <c r="C1535" s="218"/>
      <c r="D1535" s="219"/>
      <c r="E1535" s="217"/>
      <c r="F1535" s="217"/>
      <c r="G1535" s="217"/>
      <c r="H1535" s="220"/>
      <c r="I1535" s="217"/>
      <c r="J1535" s="217"/>
      <c r="K1535" s="217"/>
      <c r="L1535" s="217"/>
      <c r="M1535" s="217"/>
      <c r="N1535" s="217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BA1535" s="5"/>
      <c r="BB1535" s="5"/>
      <c r="BC1535" s="5"/>
      <c r="BD1535" s="5"/>
      <c r="BE1535" s="63"/>
      <c r="BF1535" s="63"/>
      <c r="BG1535" s="63"/>
      <c r="BV1535" s="317"/>
      <c r="CF1535" s="5"/>
      <c r="CG1535" s="53"/>
      <c r="CH1535" s="53"/>
      <c r="CI1535" s="53"/>
      <c r="CJ1535" s="53"/>
      <c r="CK1535" s="53"/>
      <c r="CL1535" s="53"/>
      <c r="CN1535" s="53"/>
      <c r="CO1535" s="53"/>
      <c r="CP1535" s="53"/>
      <c r="CQ1535" s="53"/>
      <c r="CR1535" s="53"/>
      <c r="CS1535" s="53"/>
      <c r="CT1535" s="5"/>
      <c r="CU1535" s="5"/>
      <c r="CV1535" s="5"/>
      <c r="CW1535" s="5"/>
      <c r="CX1535" s="5"/>
      <c r="CY1535" s="5"/>
    </row>
    <row r="1536" spans="1:103" ht="10.25" customHeight="1">
      <c r="A1536" s="216"/>
      <c r="B1536" s="217"/>
      <c r="C1536" s="218"/>
      <c r="D1536" s="219"/>
      <c r="E1536" s="217"/>
      <c r="F1536" s="217"/>
      <c r="G1536" s="217"/>
      <c r="H1536" s="220"/>
      <c r="I1536" s="217"/>
      <c r="J1536" s="217"/>
      <c r="K1536" s="217"/>
      <c r="L1536" s="217"/>
      <c r="M1536" s="217"/>
      <c r="N1536" s="217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BA1536" s="5"/>
      <c r="BB1536" s="5"/>
      <c r="BC1536" s="5"/>
      <c r="BD1536" s="5"/>
      <c r="BE1536" s="63"/>
      <c r="BF1536" s="63"/>
      <c r="BG1536" s="63"/>
      <c r="CA1536" s="317"/>
      <c r="CF1536" s="5"/>
      <c r="CG1536" s="53"/>
      <c r="CH1536" s="53"/>
      <c r="CI1536" s="53"/>
      <c r="CJ1536" s="53"/>
      <c r="CK1536" s="53"/>
      <c r="CL1536" s="53"/>
      <c r="CN1536" s="53"/>
      <c r="CO1536" s="53"/>
      <c r="CP1536" s="53"/>
      <c r="CQ1536" s="53"/>
      <c r="CR1536" s="53"/>
      <c r="CS1536" s="53"/>
      <c r="CT1536" s="5"/>
      <c r="CU1536" s="5"/>
      <c r="CV1536" s="5"/>
      <c r="CW1536" s="5"/>
      <c r="CX1536" s="5"/>
      <c r="CY1536" s="5"/>
    </row>
    <row r="1537" spans="1:103" ht="10.25" customHeight="1">
      <c r="A1537" s="216"/>
      <c r="B1537" s="217"/>
      <c r="C1537" s="218"/>
      <c r="D1537" s="219"/>
      <c r="E1537" s="217"/>
      <c r="F1537" s="217"/>
      <c r="G1537" s="217"/>
      <c r="H1537" s="220"/>
      <c r="I1537" s="217"/>
      <c r="J1537" s="217"/>
      <c r="K1537" s="217"/>
      <c r="L1537" s="217"/>
      <c r="M1537" s="217"/>
      <c r="N1537" s="217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BA1537" s="5"/>
      <c r="BB1537" s="5"/>
      <c r="BC1537" s="5"/>
      <c r="BD1537" s="5"/>
      <c r="BE1537" s="63"/>
      <c r="BF1537" s="63"/>
      <c r="BG1537" s="63"/>
      <c r="CA1537" s="317"/>
      <c r="CF1537" s="5"/>
      <c r="CG1537" s="53"/>
      <c r="CH1537" s="53"/>
      <c r="CI1537" s="53"/>
      <c r="CJ1537" s="53"/>
      <c r="CK1537" s="53"/>
      <c r="CL1537" s="53"/>
      <c r="CN1537" s="53"/>
      <c r="CO1537" s="53"/>
      <c r="CP1537" s="53"/>
      <c r="CQ1537" s="53"/>
      <c r="CR1537" s="53"/>
      <c r="CS1537" s="53"/>
      <c r="CT1537" s="5"/>
      <c r="CU1537" s="5"/>
      <c r="CV1537" s="5"/>
      <c r="CW1537" s="5"/>
      <c r="CX1537" s="5"/>
      <c r="CY1537" s="5"/>
    </row>
    <row r="1538" spans="1:103" ht="10.25" customHeight="1">
      <c r="A1538" s="216"/>
      <c r="B1538" s="217"/>
      <c r="C1538" s="218"/>
      <c r="D1538" s="219"/>
      <c r="E1538" s="217"/>
      <c r="F1538" s="217"/>
      <c r="G1538" s="217"/>
      <c r="H1538" s="220"/>
      <c r="I1538" s="217"/>
      <c r="J1538" s="217"/>
      <c r="K1538" s="217"/>
      <c r="L1538" s="217"/>
      <c r="M1538" s="217"/>
      <c r="N1538" s="217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BA1538" s="5"/>
      <c r="BB1538" s="5"/>
      <c r="BC1538" s="5"/>
      <c r="BD1538" s="5"/>
      <c r="BE1538" s="63"/>
      <c r="BF1538" s="63"/>
      <c r="BG1538" s="63"/>
      <c r="CA1538" s="317"/>
      <c r="CF1538" s="5"/>
      <c r="CG1538" s="53"/>
      <c r="CH1538" s="53"/>
      <c r="CI1538" s="53"/>
      <c r="CJ1538" s="53"/>
      <c r="CK1538" s="53"/>
      <c r="CL1538" s="53"/>
      <c r="CN1538" s="53"/>
      <c r="CO1538" s="53"/>
      <c r="CP1538" s="53"/>
      <c r="CQ1538" s="53"/>
      <c r="CR1538" s="53"/>
      <c r="CS1538" s="53"/>
      <c r="CT1538" s="5"/>
      <c r="CU1538" s="5"/>
      <c r="CV1538" s="5"/>
      <c r="CW1538" s="5"/>
      <c r="CX1538" s="5"/>
      <c r="CY1538" s="5"/>
    </row>
    <row r="1539" spans="1:103" ht="10.25" customHeight="1">
      <c r="A1539" s="216"/>
      <c r="B1539" s="217"/>
      <c r="C1539" s="218"/>
      <c r="D1539" s="219"/>
      <c r="E1539" s="217"/>
      <c r="F1539" s="217"/>
      <c r="G1539" s="217"/>
      <c r="H1539" s="220"/>
      <c r="I1539" s="217"/>
      <c r="J1539" s="217"/>
      <c r="K1539" s="217"/>
      <c r="L1539" s="217"/>
      <c r="M1539" s="217"/>
      <c r="N1539" s="217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BA1539" s="5"/>
      <c r="BB1539" s="5"/>
      <c r="BC1539" s="5"/>
      <c r="BD1539" s="5"/>
      <c r="BE1539" s="63"/>
      <c r="BF1539" s="63"/>
      <c r="BG1539" s="63"/>
      <c r="CA1539" s="317"/>
      <c r="CF1539" s="5"/>
      <c r="CG1539" s="53"/>
      <c r="CH1539" s="53"/>
      <c r="CI1539" s="53"/>
      <c r="CJ1539" s="53"/>
      <c r="CK1539" s="53"/>
      <c r="CL1539" s="53"/>
      <c r="CN1539" s="53"/>
      <c r="CO1539" s="53"/>
      <c r="CP1539" s="53"/>
      <c r="CQ1539" s="53"/>
      <c r="CR1539" s="53"/>
      <c r="CS1539" s="53"/>
      <c r="CT1539" s="5"/>
      <c r="CU1539" s="5"/>
      <c r="CV1539" s="5"/>
      <c r="CW1539" s="5"/>
      <c r="CX1539" s="5"/>
      <c r="CY1539" s="5"/>
    </row>
    <row r="1540" spans="1:103" ht="10.25" customHeight="1">
      <c r="A1540" s="216"/>
      <c r="B1540" s="217"/>
      <c r="C1540" s="218"/>
      <c r="D1540" s="219"/>
      <c r="E1540" s="217"/>
      <c r="F1540" s="217"/>
      <c r="G1540" s="217"/>
      <c r="H1540" s="220"/>
      <c r="I1540" s="217"/>
      <c r="J1540" s="217"/>
      <c r="K1540" s="217"/>
      <c r="L1540" s="217"/>
      <c r="M1540" s="217"/>
      <c r="N1540" s="217"/>
      <c r="O1540" s="44"/>
      <c r="P1540" s="44"/>
      <c r="Q1540" s="44"/>
      <c r="R1540" s="44"/>
      <c r="S1540" s="44"/>
      <c r="T1540" s="44"/>
      <c r="U1540" s="44"/>
      <c r="V1540" s="44"/>
      <c r="W1540" s="44"/>
      <c r="X1540" s="44"/>
      <c r="Y1540" s="44"/>
      <c r="Z1540" s="44"/>
      <c r="AA1540" s="44"/>
      <c r="AB1540" s="44"/>
      <c r="AC1540" s="44"/>
      <c r="AD1540" s="44"/>
      <c r="AE1540" s="44"/>
      <c r="AF1540" s="44"/>
      <c r="AG1540" s="44"/>
      <c r="AH1540" s="44"/>
      <c r="AI1540" s="44"/>
      <c r="AJ1540" s="44"/>
      <c r="AK1540" s="44"/>
      <c r="AL1540" s="44"/>
      <c r="AM1540" s="44"/>
      <c r="AN1540" s="44"/>
      <c r="AO1540" s="44"/>
      <c r="AP1540" s="44"/>
      <c r="AQ1540" s="44"/>
      <c r="BA1540" s="5"/>
      <c r="BB1540" s="5"/>
      <c r="BC1540" s="5"/>
      <c r="BD1540" s="5"/>
      <c r="BE1540" s="63"/>
      <c r="BF1540" s="63"/>
      <c r="BG1540" s="63"/>
      <c r="CA1540" s="317"/>
      <c r="CF1540" s="5"/>
      <c r="CG1540" s="53"/>
      <c r="CH1540" s="53"/>
      <c r="CI1540" s="53"/>
      <c r="CJ1540" s="53"/>
      <c r="CK1540" s="53"/>
      <c r="CL1540" s="53"/>
      <c r="CN1540" s="53"/>
      <c r="CO1540" s="53"/>
      <c r="CP1540" s="53"/>
      <c r="CQ1540" s="53"/>
      <c r="CR1540" s="53"/>
      <c r="CS1540" s="53"/>
      <c r="CT1540" s="5"/>
      <c r="CU1540" s="5"/>
      <c r="CV1540" s="5"/>
      <c r="CW1540" s="5"/>
      <c r="CX1540" s="5"/>
      <c r="CY1540" s="5"/>
    </row>
    <row r="1541" spans="1:103" ht="10.25" customHeight="1">
      <c r="A1541" s="216"/>
      <c r="B1541" s="217"/>
      <c r="C1541" s="218"/>
      <c r="D1541" s="219"/>
      <c r="E1541" s="217"/>
      <c r="F1541" s="217"/>
      <c r="G1541" s="217"/>
      <c r="H1541" s="220"/>
      <c r="I1541" s="217"/>
      <c r="J1541" s="217"/>
      <c r="K1541" s="217"/>
      <c r="L1541" s="217"/>
      <c r="M1541" s="217"/>
      <c r="N1541" s="217"/>
      <c r="O1541" s="44"/>
      <c r="P1541" s="44"/>
      <c r="Q1541" s="44"/>
      <c r="R1541" s="44"/>
      <c r="S1541" s="44"/>
      <c r="T1541" s="44"/>
      <c r="U1541" s="44"/>
      <c r="V1541" s="44"/>
      <c r="W1541" s="44"/>
      <c r="X1541" s="44"/>
      <c r="Y1541" s="44"/>
      <c r="Z1541" s="44"/>
      <c r="AA1541" s="44"/>
      <c r="AB1541" s="44"/>
      <c r="AC1541" s="44"/>
      <c r="AD1541" s="44"/>
      <c r="AE1541" s="44"/>
      <c r="AF1541" s="44"/>
      <c r="AG1541" s="44"/>
      <c r="AH1541" s="44"/>
      <c r="AI1541" s="44"/>
      <c r="AJ1541" s="44"/>
      <c r="AK1541" s="44"/>
      <c r="AL1541" s="44"/>
      <c r="AM1541" s="44"/>
      <c r="AN1541" s="44"/>
      <c r="AO1541" s="44"/>
      <c r="AP1541" s="44"/>
      <c r="AQ1541" s="44"/>
      <c r="BA1541" s="5"/>
      <c r="BB1541" s="5"/>
      <c r="BC1541" s="5"/>
      <c r="BD1541" s="5"/>
      <c r="BE1541" s="63"/>
      <c r="BF1541" s="63"/>
      <c r="BG1541" s="63"/>
      <c r="CA1541" s="317"/>
      <c r="CF1541" s="5"/>
      <c r="CG1541" s="53"/>
      <c r="CH1541" s="53"/>
      <c r="CI1541" s="53"/>
      <c r="CJ1541" s="53"/>
      <c r="CK1541" s="53"/>
      <c r="CL1541" s="53"/>
      <c r="CN1541" s="53"/>
      <c r="CO1541" s="53"/>
      <c r="CP1541" s="53"/>
      <c r="CQ1541" s="53"/>
      <c r="CR1541" s="53"/>
      <c r="CS1541" s="53"/>
      <c r="CT1541" s="5"/>
      <c r="CU1541" s="5"/>
      <c r="CV1541" s="5"/>
      <c r="CW1541" s="5"/>
      <c r="CX1541" s="5"/>
      <c r="CY1541" s="5"/>
    </row>
    <row r="1542" spans="1:103" ht="10.25" customHeight="1">
      <c r="A1542" s="216"/>
      <c r="B1542" s="217"/>
      <c r="C1542" s="218"/>
      <c r="D1542" s="219"/>
      <c r="E1542" s="217"/>
      <c r="F1542" s="217"/>
      <c r="G1542" s="217"/>
      <c r="H1542" s="220"/>
      <c r="I1542" s="217"/>
      <c r="J1542" s="217"/>
      <c r="K1542" s="217"/>
      <c r="L1542" s="217"/>
      <c r="M1542" s="217"/>
      <c r="N1542" s="217"/>
      <c r="O1542" s="44"/>
      <c r="P1542" s="44"/>
      <c r="Q1542" s="44"/>
      <c r="R1542" s="44"/>
      <c r="S1542" s="44"/>
      <c r="T1542" s="44"/>
      <c r="U1542" s="44"/>
      <c r="V1542" s="44"/>
      <c r="W1542" s="44"/>
      <c r="X1542" s="44"/>
      <c r="Y1542" s="44"/>
      <c r="Z1542" s="44"/>
      <c r="AA1542" s="44"/>
      <c r="AB1542" s="44"/>
      <c r="AC1542" s="44"/>
      <c r="AD1542" s="44"/>
      <c r="AE1542" s="44"/>
      <c r="AF1542" s="44"/>
      <c r="AG1542" s="44"/>
      <c r="AH1542" s="44"/>
      <c r="AI1542" s="44"/>
      <c r="AJ1542" s="44"/>
      <c r="AK1542" s="44"/>
      <c r="AL1542" s="44"/>
      <c r="AM1542" s="44"/>
      <c r="AN1542" s="44"/>
      <c r="AO1542" s="44"/>
      <c r="AP1542" s="44"/>
      <c r="AQ1542" s="44"/>
      <c r="BA1542" s="5"/>
      <c r="BB1542" s="5"/>
      <c r="BC1542" s="5"/>
      <c r="BD1542" s="5"/>
      <c r="BE1542" s="63"/>
      <c r="BF1542" s="63"/>
      <c r="BG1542" s="63"/>
      <c r="CA1542" s="317"/>
      <c r="CF1542" s="5"/>
      <c r="CG1542" s="53"/>
      <c r="CH1542" s="53"/>
      <c r="CI1542" s="53"/>
      <c r="CJ1542" s="53"/>
      <c r="CK1542" s="53"/>
      <c r="CL1542" s="53"/>
      <c r="CN1542" s="53"/>
      <c r="CO1542" s="53"/>
      <c r="CP1542" s="53"/>
      <c r="CQ1542" s="53"/>
      <c r="CR1542" s="53"/>
      <c r="CS1542" s="53"/>
      <c r="CT1542" s="5"/>
      <c r="CU1542" s="5"/>
      <c r="CV1542" s="5"/>
      <c r="CW1542" s="5"/>
      <c r="CX1542" s="5"/>
      <c r="CY1542" s="5"/>
    </row>
    <row r="1543" spans="1:103" ht="10.25" customHeight="1">
      <c r="A1543" s="216"/>
      <c r="B1543" s="217"/>
      <c r="C1543" s="218"/>
      <c r="D1543" s="219"/>
      <c r="E1543" s="217"/>
      <c r="F1543" s="217"/>
      <c r="G1543" s="217"/>
      <c r="H1543" s="220"/>
      <c r="I1543" s="217"/>
      <c r="J1543" s="217"/>
      <c r="K1543" s="217"/>
      <c r="L1543" s="217"/>
      <c r="M1543" s="217"/>
      <c r="N1543" s="217"/>
      <c r="O1543" s="44"/>
      <c r="P1543" s="44"/>
      <c r="Q1543" s="44"/>
      <c r="R1543" s="44"/>
      <c r="S1543" s="44"/>
      <c r="T1543" s="44"/>
      <c r="U1543" s="44"/>
      <c r="V1543" s="44"/>
      <c r="W1543" s="44"/>
      <c r="X1543" s="44"/>
      <c r="Y1543" s="44"/>
      <c r="Z1543" s="44"/>
      <c r="AA1543" s="44"/>
      <c r="AB1543" s="44"/>
      <c r="AC1543" s="44"/>
      <c r="AD1543" s="44"/>
      <c r="AE1543" s="44"/>
      <c r="AF1543" s="44"/>
      <c r="AG1543" s="44"/>
      <c r="AH1543" s="44"/>
      <c r="AI1543" s="44"/>
      <c r="AJ1543" s="44"/>
      <c r="AK1543" s="44"/>
      <c r="AL1543" s="44"/>
      <c r="AM1543" s="44"/>
      <c r="AN1543" s="44"/>
      <c r="AO1543" s="44"/>
      <c r="AP1543" s="44"/>
      <c r="AQ1543" s="44"/>
      <c r="BA1543" s="5"/>
      <c r="BB1543" s="5"/>
      <c r="BC1543" s="5"/>
      <c r="BD1543" s="5"/>
      <c r="BE1543" s="63"/>
      <c r="BF1543" s="63"/>
      <c r="BG1543" s="63"/>
      <c r="CA1543" s="317"/>
      <c r="CF1543" s="5"/>
      <c r="CG1543" s="53"/>
      <c r="CH1543" s="53"/>
      <c r="CI1543" s="53"/>
      <c r="CJ1543" s="53"/>
      <c r="CK1543" s="53"/>
      <c r="CL1543" s="53"/>
      <c r="CN1543" s="53"/>
      <c r="CO1543" s="53"/>
      <c r="CP1543" s="53"/>
      <c r="CQ1543" s="53"/>
      <c r="CR1543" s="53"/>
      <c r="CS1543" s="53"/>
      <c r="CT1543" s="5"/>
      <c r="CU1543" s="5"/>
      <c r="CV1543" s="5"/>
      <c r="CW1543" s="5"/>
      <c r="CX1543" s="5"/>
      <c r="CY1543" s="5"/>
    </row>
    <row r="1544" spans="1:103" ht="10.25" customHeight="1">
      <c r="A1544" s="216"/>
      <c r="B1544" s="217"/>
      <c r="C1544" s="218"/>
      <c r="D1544" s="219"/>
      <c r="E1544" s="217"/>
      <c r="F1544" s="217"/>
      <c r="G1544" s="217"/>
      <c r="H1544" s="220"/>
      <c r="I1544" s="217"/>
      <c r="J1544" s="217"/>
      <c r="K1544" s="217"/>
      <c r="L1544" s="217"/>
      <c r="M1544" s="217"/>
      <c r="N1544" s="217"/>
      <c r="O1544" s="44"/>
      <c r="P1544" s="44"/>
      <c r="Q1544" s="44"/>
      <c r="R1544" s="44"/>
      <c r="S1544" s="44"/>
      <c r="T1544" s="44"/>
      <c r="U1544" s="44"/>
      <c r="V1544" s="44"/>
      <c r="W1544" s="44"/>
      <c r="X1544" s="44"/>
      <c r="Y1544" s="44"/>
      <c r="Z1544" s="44"/>
      <c r="AA1544" s="44"/>
      <c r="AB1544" s="44"/>
      <c r="AC1544" s="44"/>
      <c r="AD1544" s="44"/>
      <c r="AE1544" s="44"/>
      <c r="AF1544" s="44"/>
      <c r="AG1544" s="44"/>
      <c r="AH1544" s="44"/>
      <c r="AI1544" s="44"/>
      <c r="AJ1544" s="44"/>
      <c r="AK1544" s="44"/>
      <c r="AL1544" s="44"/>
      <c r="AM1544" s="44"/>
      <c r="AN1544" s="44"/>
      <c r="AO1544" s="44"/>
      <c r="AP1544" s="44"/>
      <c r="AQ1544" s="44"/>
      <c r="BA1544" s="5"/>
      <c r="BB1544" s="5"/>
      <c r="BC1544" s="5"/>
      <c r="BD1544" s="5"/>
      <c r="BE1544" s="63"/>
      <c r="BF1544" s="63"/>
      <c r="BG1544" s="63"/>
      <c r="CA1544" s="317"/>
      <c r="CF1544" s="5"/>
      <c r="CG1544" s="53"/>
      <c r="CH1544" s="53"/>
      <c r="CI1544" s="53"/>
      <c r="CJ1544" s="53"/>
      <c r="CK1544" s="53"/>
      <c r="CL1544" s="53"/>
      <c r="CN1544" s="53"/>
      <c r="CO1544" s="53"/>
      <c r="CP1544" s="53"/>
      <c r="CQ1544" s="53"/>
      <c r="CR1544" s="53"/>
      <c r="CS1544" s="53"/>
      <c r="CT1544" s="5"/>
      <c r="CU1544" s="5"/>
      <c r="CV1544" s="5"/>
      <c r="CW1544" s="5"/>
      <c r="CX1544" s="5"/>
      <c r="CY1544" s="5"/>
    </row>
    <row r="1545" spans="1:103" ht="10.25" customHeight="1">
      <c r="A1545" s="216"/>
      <c r="B1545" s="217"/>
      <c r="C1545" s="218"/>
      <c r="D1545" s="219"/>
      <c r="E1545" s="217"/>
      <c r="F1545" s="217"/>
      <c r="G1545" s="217"/>
      <c r="H1545" s="220"/>
      <c r="I1545" s="217"/>
      <c r="J1545" s="217"/>
      <c r="K1545" s="217"/>
      <c r="L1545" s="217"/>
      <c r="M1545" s="217"/>
      <c r="N1545" s="217"/>
      <c r="O1545" s="44"/>
      <c r="P1545" s="44"/>
      <c r="Q1545" s="44"/>
      <c r="R1545" s="44"/>
      <c r="S1545" s="44"/>
      <c r="T1545" s="44"/>
      <c r="U1545" s="44"/>
      <c r="V1545" s="44"/>
      <c r="W1545" s="44"/>
      <c r="X1545" s="44"/>
      <c r="Y1545" s="44"/>
      <c r="Z1545" s="44"/>
      <c r="AA1545" s="44"/>
      <c r="AB1545" s="44"/>
      <c r="AC1545" s="44"/>
      <c r="AD1545" s="44"/>
      <c r="AE1545" s="44"/>
      <c r="AF1545" s="44"/>
      <c r="AG1545" s="44"/>
      <c r="AH1545" s="44"/>
      <c r="AI1545" s="44"/>
      <c r="AJ1545" s="44"/>
      <c r="AK1545" s="44"/>
      <c r="AL1545" s="44"/>
      <c r="AM1545" s="44"/>
      <c r="AN1545" s="44"/>
      <c r="AO1545" s="44"/>
      <c r="AP1545" s="44"/>
      <c r="AQ1545" s="44"/>
      <c r="BA1545" s="5"/>
      <c r="BB1545" s="5"/>
      <c r="BC1545" s="5"/>
      <c r="BD1545" s="5"/>
      <c r="BE1545" s="63"/>
      <c r="BF1545" s="63"/>
      <c r="BG1545" s="63"/>
      <c r="CA1545" s="317"/>
      <c r="CF1545" s="5"/>
      <c r="CG1545" s="53"/>
      <c r="CH1545" s="53"/>
      <c r="CI1545" s="53"/>
      <c r="CJ1545" s="53"/>
      <c r="CK1545" s="53"/>
      <c r="CL1545" s="53"/>
      <c r="CN1545" s="53"/>
      <c r="CO1545" s="53"/>
      <c r="CP1545" s="53"/>
      <c r="CQ1545" s="53"/>
      <c r="CR1545" s="53"/>
      <c r="CS1545" s="53"/>
      <c r="CT1545" s="5"/>
      <c r="CU1545" s="5"/>
      <c r="CV1545" s="5"/>
      <c r="CW1545" s="5"/>
      <c r="CX1545" s="5"/>
      <c r="CY1545" s="5"/>
    </row>
    <row r="1546" spans="1:103" ht="10.25" customHeight="1">
      <c r="A1546" s="216"/>
      <c r="B1546" s="217"/>
      <c r="C1546" s="218"/>
      <c r="D1546" s="219"/>
      <c r="E1546" s="217"/>
      <c r="F1546" s="217"/>
      <c r="G1546" s="217"/>
      <c r="H1546" s="220"/>
      <c r="I1546" s="217"/>
      <c r="J1546" s="217"/>
      <c r="K1546" s="217"/>
      <c r="L1546" s="217"/>
      <c r="M1546" s="217"/>
      <c r="N1546" s="217"/>
      <c r="O1546" s="44"/>
      <c r="P1546" s="44"/>
      <c r="Q1546" s="44"/>
      <c r="R1546" s="44"/>
      <c r="S1546" s="44"/>
      <c r="T1546" s="44"/>
      <c r="U1546" s="44"/>
      <c r="V1546" s="44"/>
      <c r="W1546" s="44"/>
      <c r="X1546" s="44"/>
      <c r="Y1546" s="44"/>
      <c r="Z1546" s="44"/>
      <c r="AA1546" s="44"/>
      <c r="AB1546" s="44"/>
      <c r="AC1546" s="44"/>
      <c r="AD1546" s="44"/>
      <c r="AE1546" s="44"/>
      <c r="AF1546" s="44"/>
      <c r="AG1546" s="44"/>
      <c r="AH1546" s="44"/>
      <c r="AI1546" s="44"/>
      <c r="AJ1546" s="44"/>
      <c r="AK1546" s="44"/>
      <c r="AL1546" s="44"/>
      <c r="AM1546" s="44"/>
      <c r="AN1546" s="44"/>
      <c r="AO1546" s="44"/>
      <c r="AP1546" s="44"/>
      <c r="AQ1546" s="44"/>
      <c r="BA1546" s="5"/>
      <c r="BB1546" s="5"/>
      <c r="BC1546" s="5"/>
      <c r="BD1546" s="5"/>
      <c r="BE1546" s="63"/>
      <c r="BF1546" s="63"/>
      <c r="BG1546" s="63"/>
      <c r="CA1546" s="317"/>
      <c r="CF1546" s="5"/>
      <c r="CG1546" s="53"/>
      <c r="CH1546" s="53"/>
      <c r="CI1546" s="53"/>
      <c r="CJ1546" s="53"/>
      <c r="CK1546" s="53"/>
      <c r="CL1546" s="53"/>
      <c r="CN1546" s="53"/>
      <c r="CO1546" s="53"/>
      <c r="CP1546" s="53"/>
      <c r="CQ1546" s="53"/>
      <c r="CR1546" s="53"/>
      <c r="CS1546" s="53"/>
      <c r="CT1546" s="5"/>
      <c r="CU1546" s="5"/>
      <c r="CV1546" s="5"/>
      <c r="CW1546" s="5"/>
      <c r="CX1546" s="5"/>
      <c r="CY1546" s="5"/>
    </row>
    <row r="1547" spans="1:103" ht="10.25" customHeight="1">
      <c r="A1547" s="216"/>
      <c r="B1547" s="217"/>
      <c r="C1547" s="218"/>
      <c r="D1547" s="219"/>
      <c r="E1547" s="217"/>
      <c r="F1547" s="217"/>
      <c r="G1547" s="217"/>
      <c r="H1547" s="220"/>
      <c r="I1547" s="217"/>
      <c r="J1547" s="217"/>
      <c r="K1547" s="217"/>
      <c r="L1547" s="217"/>
      <c r="M1547" s="217"/>
      <c r="N1547" s="217"/>
      <c r="O1547" s="44"/>
      <c r="P1547" s="44"/>
      <c r="Q1547" s="44"/>
      <c r="R1547" s="44"/>
      <c r="S1547" s="44"/>
      <c r="T1547" s="44"/>
      <c r="U1547" s="44"/>
      <c r="V1547" s="44"/>
      <c r="W1547" s="44"/>
      <c r="X1547" s="44"/>
      <c r="Y1547" s="44"/>
      <c r="Z1547" s="44"/>
      <c r="AA1547" s="44"/>
      <c r="AB1547" s="44"/>
      <c r="AC1547" s="44"/>
      <c r="AD1547" s="44"/>
      <c r="AE1547" s="44"/>
      <c r="AF1547" s="44"/>
      <c r="AG1547" s="44"/>
      <c r="AH1547" s="44"/>
      <c r="AI1547" s="44"/>
      <c r="AJ1547" s="44"/>
      <c r="AK1547" s="44"/>
      <c r="AL1547" s="44"/>
      <c r="AM1547" s="44"/>
      <c r="AN1547" s="44"/>
      <c r="AO1547" s="44"/>
      <c r="AP1547" s="44"/>
      <c r="AQ1547" s="44"/>
      <c r="BA1547" s="5"/>
      <c r="BB1547" s="5"/>
      <c r="BC1547" s="5"/>
      <c r="BD1547" s="5"/>
      <c r="BE1547" s="63"/>
      <c r="BF1547" s="63"/>
      <c r="BG1547" s="63"/>
      <c r="CA1547" s="317"/>
      <c r="CF1547" s="5"/>
      <c r="CG1547" s="53"/>
      <c r="CH1547" s="53"/>
      <c r="CI1547" s="53"/>
      <c r="CJ1547" s="53"/>
      <c r="CK1547" s="53"/>
      <c r="CL1547" s="53"/>
      <c r="CN1547" s="53"/>
      <c r="CO1547" s="53"/>
      <c r="CP1547" s="53"/>
      <c r="CQ1547" s="53"/>
      <c r="CR1547" s="53"/>
      <c r="CS1547" s="53"/>
      <c r="CT1547" s="5"/>
      <c r="CU1547" s="5"/>
      <c r="CV1547" s="5"/>
      <c r="CW1547" s="5"/>
      <c r="CX1547" s="5"/>
      <c r="CY1547" s="5"/>
    </row>
    <row r="1548" spans="1:103" ht="10.25" customHeight="1">
      <c r="A1548" s="216"/>
      <c r="B1548" s="217"/>
      <c r="C1548" s="218"/>
      <c r="D1548" s="219"/>
      <c r="E1548" s="217"/>
      <c r="F1548" s="217"/>
      <c r="G1548" s="217"/>
      <c r="H1548" s="220"/>
      <c r="I1548" s="217"/>
      <c r="J1548" s="217"/>
      <c r="K1548" s="217"/>
      <c r="L1548" s="217"/>
      <c r="M1548" s="217"/>
      <c r="N1548" s="217"/>
      <c r="O1548" s="44"/>
      <c r="P1548" s="44"/>
      <c r="Q1548" s="44"/>
      <c r="R1548" s="44"/>
      <c r="S1548" s="44"/>
      <c r="T1548" s="44"/>
      <c r="U1548" s="44"/>
      <c r="V1548" s="44"/>
      <c r="W1548" s="44"/>
      <c r="X1548" s="44"/>
      <c r="Y1548" s="44"/>
      <c r="Z1548" s="44"/>
      <c r="AA1548" s="44"/>
      <c r="AB1548" s="44"/>
      <c r="AC1548" s="44"/>
      <c r="AD1548" s="44"/>
      <c r="AE1548" s="44"/>
      <c r="AF1548" s="44"/>
      <c r="AG1548" s="44"/>
      <c r="AH1548" s="44"/>
      <c r="AI1548" s="44"/>
      <c r="AJ1548" s="44"/>
      <c r="AK1548" s="44"/>
      <c r="AL1548" s="44"/>
      <c r="AM1548" s="44"/>
      <c r="AN1548" s="44"/>
      <c r="AO1548" s="44"/>
      <c r="AP1548" s="44"/>
      <c r="AQ1548" s="44"/>
      <c r="BA1548" s="5"/>
      <c r="BB1548" s="5"/>
      <c r="BC1548" s="5"/>
      <c r="BD1548" s="5"/>
      <c r="BE1548" s="63"/>
      <c r="BF1548" s="63"/>
      <c r="BG1548" s="63"/>
      <c r="CA1548" s="256"/>
      <c r="CB1548" s="261"/>
      <c r="CC1548" s="261"/>
      <c r="CD1548" s="261"/>
      <c r="CE1548" s="261"/>
      <c r="CF1548" s="255"/>
      <c r="CG1548" s="53"/>
      <c r="CH1548" s="53"/>
      <c r="CI1548" s="53"/>
      <c r="CJ1548" s="53"/>
      <c r="CK1548" s="53"/>
      <c r="CL1548" s="53"/>
      <c r="CN1548" s="53"/>
      <c r="CO1548" s="53"/>
      <c r="CP1548" s="53"/>
      <c r="CQ1548" s="53"/>
      <c r="CR1548" s="53"/>
      <c r="CS1548" s="53"/>
      <c r="CT1548" s="261"/>
      <c r="CU1548" s="255"/>
      <c r="CV1548" s="261"/>
      <c r="CW1548" s="261"/>
      <c r="CX1548" s="261"/>
      <c r="CY1548" s="255"/>
    </row>
    <row r="1549" spans="1:103" ht="10.25" customHeight="1">
      <c r="A1549" s="216"/>
      <c r="B1549" s="217"/>
      <c r="C1549" s="218"/>
      <c r="D1549" s="219"/>
      <c r="E1549" s="217"/>
      <c r="F1549" s="217"/>
      <c r="G1549" s="217"/>
      <c r="H1549" s="220"/>
      <c r="I1549" s="217"/>
      <c r="J1549" s="217"/>
      <c r="K1549" s="217"/>
      <c r="L1549" s="217"/>
      <c r="M1549" s="217"/>
      <c r="N1549" s="217"/>
      <c r="O1549" s="44"/>
      <c r="P1549" s="44"/>
      <c r="Q1549" s="44"/>
      <c r="R1549" s="44"/>
      <c r="S1549" s="44"/>
      <c r="T1549" s="44"/>
      <c r="U1549" s="44"/>
      <c r="V1549" s="44"/>
      <c r="W1549" s="44"/>
      <c r="X1549" s="44"/>
      <c r="Y1549" s="44"/>
      <c r="Z1549" s="44"/>
      <c r="AA1549" s="44"/>
      <c r="AB1549" s="44"/>
      <c r="AC1549" s="44"/>
      <c r="AD1549" s="44"/>
      <c r="AE1549" s="44"/>
      <c r="AF1549" s="44"/>
      <c r="AG1549" s="44"/>
      <c r="AH1549" s="44"/>
      <c r="AI1549" s="44"/>
      <c r="AJ1549" s="44"/>
      <c r="AK1549" s="44"/>
      <c r="AL1549" s="44"/>
      <c r="AM1549" s="44"/>
      <c r="AN1549" s="44"/>
      <c r="AO1549" s="44"/>
      <c r="AP1549" s="44"/>
      <c r="AQ1549" s="44"/>
      <c r="BA1549" s="5"/>
      <c r="BB1549" s="5"/>
      <c r="BC1549" s="5"/>
      <c r="BD1549" s="5"/>
      <c r="BE1549" s="63"/>
      <c r="BF1549" s="63"/>
      <c r="BG1549" s="63"/>
      <c r="CA1549" s="256"/>
      <c r="CB1549" s="261"/>
      <c r="CC1549" s="261"/>
      <c r="CD1549" s="261"/>
      <c r="CE1549" s="261"/>
      <c r="CF1549" s="255"/>
      <c r="CG1549" s="53"/>
      <c r="CH1549" s="53"/>
      <c r="CI1549" s="53"/>
      <c r="CJ1549" s="53"/>
      <c r="CK1549" s="53"/>
      <c r="CL1549" s="53"/>
      <c r="CN1549" s="53"/>
      <c r="CO1549" s="53"/>
      <c r="CP1549" s="53"/>
      <c r="CQ1549" s="53"/>
      <c r="CR1549" s="53"/>
      <c r="CS1549" s="53"/>
      <c r="CT1549" s="261"/>
      <c r="CU1549" s="255"/>
      <c r="CV1549" s="261"/>
      <c r="CW1549" s="261"/>
      <c r="CX1549" s="261"/>
      <c r="CY1549" s="255"/>
    </row>
    <row r="1550" spans="1:103" ht="10.25" customHeight="1">
      <c r="A1550" s="216"/>
      <c r="B1550" s="217"/>
      <c r="C1550" s="218"/>
      <c r="D1550" s="219"/>
      <c r="E1550" s="217"/>
      <c r="F1550" s="217"/>
      <c r="G1550" s="217"/>
      <c r="H1550" s="220"/>
      <c r="I1550" s="217"/>
      <c r="J1550" s="217"/>
      <c r="K1550" s="217"/>
      <c r="L1550" s="217"/>
      <c r="M1550" s="217"/>
      <c r="N1550" s="217"/>
      <c r="O1550" s="44"/>
      <c r="P1550" s="44"/>
      <c r="Q1550" s="44"/>
      <c r="R1550" s="44"/>
      <c r="S1550" s="44"/>
      <c r="T1550" s="44"/>
      <c r="U1550" s="44"/>
      <c r="V1550" s="44"/>
      <c r="W1550" s="44"/>
      <c r="X1550" s="44"/>
      <c r="Y1550" s="44"/>
      <c r="Z1550" s="44"/>
      <c r="AA1550" s="44"/>
      <c r="AB1550" s="44"/>
      <c r="AC1550" s="44"/>
      <c r="AD1550" s="44"/>
      <c r="AE1550" s="44"/>
      <c r="AF1550" s="44"/>
      <c r="AG1550" s="44"/>
      <c r="AH1550" s="44"/>
      <c r="AI1550" s="44"/>
      <c r="AJ1550" s="44"/>
      <c r="AK1550" s="44"/>
      <c r="AL1550" s="44"/>
      <c r="AM1550" s="44"/>
      <c r="AN1550" s="44"/>
      <c r="AO1550" s="44"/>
      <c r="AP1550" s="44"/>
      <c r="AQ1550" s="44"/>
      <c r="BA1550" s="5"/>
      <c r="BB1550" s="5"/>
      <c r="BC1550" s="5"/>
      <c r="BD1550" s="5"/>
      <c r="BE1550" s="63"/>
      <c r="BF1550" s="63"/>
      <c r="BG1550" s="63"/>
      <c r="CA1550" s="256"/>
      <c r="CB1550" s="261"/>
      <c r="CC1550" s="261"/>
      <c r="CD1550" s="261"/>
      <c r="CE1550" s="261"/>
      <c r="CF1550" s="255"/>
      <c r="CG1550" s="53"/>
      <c r="CH1550" s="53"/>
      <c r="CI1550" s="53"/>
      <c r="CJ1550" s="53"/>
      <c r="CK1550" s="53"/>
      <c r="CL1550" s="53"/>
      <c r="CN1550" s="53"/>
      <c r="CO1550" s="53"/>
      <c r="CP1550" s="53"/>
      <c r="CQ1550" s="53"/>
      <c r="CR1550" s="53"/>
      <c r="CS1550" s="53"/>
      <c r="CT1550" s="261"/>
      <c r="CU1550" s="255"/>
      <c r="CV1550" s="261"/>
      <c r="CW1550" s="255"/>
      <c r="CX1550" s="261"/>
      <c r="CY1550" s="255"/>
    </row>
    <row r="1551" spans="1:103" ht="10.25" customHeight="1">
      <c r="A1551" s="216"/>
      <c r="B1551" s="217"/>
      <c r="C1551" s="218"/>
      <c r="D1551" s="219"/>
      <c r="E1551" s="217"/>
      <c r="F1551" s="217"/>
      <c r="G1551" s="217"/>
      <c r="H1551" s="220"/>
      <c r="I1551" s="217"/>
      <c r="J1551" s="217"/>
      <c r="K1551" s="217"/>
      <c r="L1551" s="217"/>
      <c r="M1551" s="217"/>
      <c r="N1551" s="217"/>
      <c r="O1551" s="44"/>
      <c r="P1551" s="44"/>
      <c r="Q1551" s="44"/>
      <c r="R1551" s="44"/>
      <c r="S1551" s="44"/>
      <c r="T1551" s="44"/>
      <c r="U1551" s="44"/>
      <c r="V1551" s="44"/>
      <c r="W1551" s="44"/>
      <c r="X1551" s="44"/>
      <c r="Y1551" s="44"/>
      <c r="Z1551" s="44"/>
      <c r="AA1551" s="44"/>
      <c r="AB1551" s="44"/>
      <c r="AC1551" s="44"/>
      <c r="AD1551" s="44"/>
      <c r="AE1551" s="44"/>
      <c r="AF1551" s="44"/>
      <c r="AG1551" s="44"/>
      <c r="AH1551" s="44"/>
      <c r="AI1551" s="44"/>
      <c r="AJ1551" s="44"/>
      <c r="AK1551" s="44"/>
      <c r="AL1551" s="44"/>
      <c r="AM1551" s="44"/>
      <c r="AN1551" s="44"/>
      <c r="AO1551" s="44"/>
      <c r="AP1551" s="44"/>
      <c r="AQ1551" s="44"/>
      <c r="BA1551" s="5"/>
      <c r="BB1551" s="5"/>
      <c r="BC1551" s="5"/>
      <c r="BD1551" s="5"/>
      <c r="BE1551" s="63"/>
      <c r="BF1551" s="63"/>
      <c r="BG1551" s="63"/>
      <c r="CA1551" s="256"/>
      <c r="CB1551" s="261"/>
      <c r="CC1551" s="261"/>
      <c r="CD1551" s="261"/>
      <c r="CE1551" s="261"/>
      <c r="CF1551" s="255"/>
      <c r="CG1551" s="53"/>
      <c r="CH1551" s="53"/>
      <c r="CI1551" s="53"/>
      <c r="CJ1551" s="53"/>
      <c r="CK1551" s="53"/>
      <c r="CL1551" s="53"/>
      <c r="CN1551" s="53"/>
      <c r="CO1551" s="53"/>
      <c r="CP1551" s="53"/>
      <c r="CQ1551" s="53"/>
      <c r="CR1551" s="53"/>
      <c r="CS1551" s="53"/>
      <c r="CT1551" s="261"/>
      <c r="CU1551" s="255"/>
      <c r="CV1551" s="255"/>
      <c r="CW1551" s="261"/>
      <c r="CX1551" s="261"/>
      <c r="CY1551" s="255"/>
    </row>
    <row r="1552" spans="1:103" ht="10.25" customHeight="1">
      <c r="A1552" s="216"/>
      <c r="B1552" s="217"/>
      <c r="C1552" s="218"/>
      <c r="D1552" s="219"/>
      <c r="E1552" s="217"/>
      <c r="F1552" s="217"/>
      <c r="G1552" s="217"/>
      <c r="H1552" s="220"/>
      <c r="I1552" s="217"/>
      <c r="J1552" s="217"/>
      <c r="K1552" s="217"/>
      <c r="L1552" s="217"/>
      <c r="M1552" s="217"/>
      <c r="N1552" s="217"/>
      <c r="O1552" s="44"/>
      <c r="P1552" s="44"/>
      <c r="Q1552" s="44"/>
      <c r="R1552" s="44"/>
      <c r="S1552" s="44"/>
      <c r="T1552" s="44"/>
      <c r="U1552" s="44"/>
      <c r="V1552" s="44"/>
      <c r="W1552" s="44"/>
      <c r="X1552" s="44"/>
      <c r="Y1552" s="44"/>
      <c r="Z1552" s="44"/>
      <c r="AA1552" s="44"/>
      <c r="AB1552" s="44"/>
      <c r="AC1552" s="44"/>
      <c r="AD1552" s="44"/>
      <c r="AE1552" s="44"/>
      <c r="AF1552" s="44"/>
      <c r="AG1552" s="44"/>
      <c r="AH1552" s="44"/>
      <c r="AI1552" s="44"/>
      <c r="AJ1552" s="44"/>
      <c r="AK1552" s="44"/>
      <c r="AL1552" s="44"/>
      <c r="AM1552" s="44"/>
      <c r="AN1552" s="44"/>
      <c r="AO1552" s="44"/>
      <c r="AP1552" s="44"/>
      <c r="AQ1552" s="44"/>
      <c r="BA1552" s="5"/>
      <c r="BB1552" s="5"/>
      <c r="BC1552" s="5"/>
      <c r="BD1552" s="5"/>
      <c r="BE1552" s="63"/>
      <c r="BF1552" s="63"/>
      <c r="BG1552" s="63"/>
      <c r="CA1552" s="256"/>
      <c r="CB1552" s="261"/>
      <c r="CC1552" s="261"/>
      <c r="CD1552" s="261"/>
      <c r="CE1552" s="261"/>
      <c r="CF1552" s="255"/>
      <c r="CG1552" s="53"/>
      <c r="CH1552" s="53"/>
      <c r="CI1552" s="53"/>
      <c r="CJ1552" s="53"/>
      <c r="CK1552" s="53"/>
      <c r="CL1552" s="53"/>
      <c r="CN1552" s="53"/>
      <c r="CO1552" s="53"/>
      <c r="CP1552" s="53"/>
      <c r="CQ1552" s="53"/>
      <c r="CR1552" s="53"/>
      <c r="CS1552" s="53"/>
      <c r="CT1552" s="261"/>
      <c r="CU1552" s="255"/>
      <c r="CV1552" s="261"/>
      <c r="CW1552" s="255"/>
      <c r="CX1552" s="261"/>
      <c r="CY1552" s="255"/>
    </row>
    <row r="1553" spans="1:103" ht="10.25" customHeight="1">
      <c r="A1553" s="216"/>
      <c r="B1553" s="217"/>
      <c r="C1553" s="218"/>
      <c r="D1553" s="219"/>
      <c r="E1553" s="217"/>
      <c r="F1553" s="217"/>
      <c r="G1553" s="217"/>
      <c r="H1553" s="220"/>
      <c r="I1553" s="217"/>
      <c r="J1553" s="217"/>
      <c r="K1553" s="217"/>
      <c r="L1553" s="217"/>
      <c r="M1553" s="217"/>
      <c r="N1553" s="217"/>
      <c r="O1553" s="44"/>
      <c r="P1553" s="44"/>
      <c r="Q1553" s="44"/>
      <c r="R1553" s="44"/>
      <c r="S1553" s="44"/>
      <c r="T1553" s="44"/>
      <c r="U1553" s="44"/>
      <c r="V1553" s="44"/>
      <c r="W1553" s="44"/>
      <c r="X1553" s="44"/>
      <c r="Y1553" s="44"/>
      <c r="Z1553" s="44"/>
      <c r="AA1553" s="44"/>
      <c r="AB1553" s="44"/>
      <c r="AC1553" s="44"/>
      <c r="AD1553" s="44"/>
      <c r="AE1553" s="44"/>
      <c r="AF1553" s="44"/>
      <c r="AG1553" s="44"/>
      <c r="AH1553" s="44"/>
      <c r="AI1553" s="44"/>
      <c r="AJ1553" s="44"/>
      <c r="AK1553" s="44"/>
      <c r="AL1553" s="44"/>
      <c r="AM1553" s="44"/>
      <c r="AN1553" s="44"/>
      <c r="AO1553" s="44"/>
      <c r="AP1553" s="44"/>
      <c r="AQ1553" s="44"/>
      <c r="BA1553" s="5"/>
      <c r="BB1553" s="5"/>
      <c r="BC1553" s="5"/>
      <c r="BD1553" s="5"/>
      <c r="BE1553" s="63"/>
      <c r="BF1553" s="63"/>
      <c r="BG1553" s="63"/>
      <c r="CA1553" s="256"/>
      <c r="CB1553" s="261"/>
      <c r="CC1553" s="261"/>
      <c r="CD1553" s="261"/>
      <c r="CE1553" s="255"/>
      <c r="CF1553" s="261"/>
      <c r="CG1553" s="53"/>
      <c r="CH1553" s="53"/>
      <c r="CI1553" s="53"/>
      <c r="CJ1553" s="53"/>
      <c r="CK1553" s="53"/>
      <c r="CL1553" s="53"/>
      <c r="CN1553" s="53"/>
      <c r="CO1553" s="53"/>
      <c r="CP1553" s="53"/>
      <c r="CQ1553" s="53"/>
      <c r="CR1553" s="53"/>
      <c r="CS1553" s="53"/>
      <c r="CT1553" s="255"/>
      <c r="CU1553" s="261"/>
      <c r="CV1553" s="255"/>
      <c r="CW1553" s="261"/>
      <c r="CX1553" s="261"/>
      <c r="CY1553" s="255"/>
    </row>
    <row r="1554" spans="1:103" ht="10.25" customHeight="1">
      <c r="A1554" s="216"/>
      <c r="B1554" s="217"/>
      <c r="C1554" s="218"/>
      <c r="D1554" s="219"/>
      <c r="E1554" s="217"/>
      <c r="F1554" s="217"/>
      <c r="G1554" s="217"/>
      <c r="H1554" s="220"/>
      <c r="I1554" s="217"/>
      <c r="J1554" s="217"/>
      <c r="K1554" s="217"/>
      <c r="L1554" s="217"/>
      <c r="M1554" s="217"/>
      <c r="N1554" s="217"/>
      <c r="O1554" s="44"/>
      <c r="P1554" s="44"/>
      <c r="Q1554" s="44"/>
      <c r="R1554" s="44"/>
      <c r="S1554" s="44"/>
      <c r="T1554" s="44"/>
      <c r="U1554" s="44"/>
      <c r="V1554" s="44"/>
      <c r="W1554" s="44"/>
      <c r="X1554" s="44"/>
      <c r="Y1554" s="44"/>
      <c r="Z1554" s="44"/>
      <c r="AA1554" s="44"/>
      <c r="AB1554" s="44"/>
      <c r="AC1554" s="44"/>
      <c r="AD1554" s="44"/>
      <c r="AE1554" s="44"/>
      <c r="AF1554" s="44"/>
      <c r="AG1554" s="44"/>
      <c r="AH1554" s="44"/>
      <c r="AI1554" s="44"/>
      <c r="AJ1554" s="44"/>
      <c r="AK1554" s="44"/>
      <c r="AL1554" s="44"/>
      <c r="AM1554" s="44"/>
      <c r="AN1554" s="44"/>
      <c r="AO1554" s="44"/>
      <c r="AP1554" s="44"/>
      <c r="AQ1554" s="44"/>
      <c r="BA1554" s="5"/>
      <c r="BB1554" s="5"/>
      <c r="BC1554" s="5"/>
      <c r="BD1554" s="5"/>
      <c r="BE1554" s="63"/>
      <c r="BF1554" s="63"/>
      <c r="BG1554" s="63"/>
      <c r="CA1554" s="256"/>
      <c r="CB1554" s="261"/>
      <c r="CC1554" s="261"/>
      <c r="CD1554" s="261"/>
      <c r="CE1554" s="255"/>
      <c r="CF1554" s="261"/>
      <c r="CG1554" s="53"/>
      <c r="CH1554" s="53"/>
      <c r="CI1554" s="53"/>
      <c r="CJ1554" s="53"/>
      <c r="CK1554" s="53"/>
      <c r="CL1554" s="53"/>
      <c r="CN1554" s="53"/>
      <c r="CO1554" s="53"/>
      <c r="CP1554" s="53"/>
      <c r="CQ1554" s="53"/>
      <c r="CR1554" s="53"/>
      <c r="CS1554" s="53"/>
      <c r="CT1554" s="255"/>
      <c r="CU1554" s="261"/>
      <c r="CV1554" s="261"/>
      <c r="CW1554" s="255"/>
      <c r="CX1554" s="261"/>
      <c r="CY1554" s="255"/>
    </row>
    <row r="1555" spans="1:103" ht="10.25" customHeight="1">
      <c r="A1555" s="216"/>
      <c r="B1555" s="217"/>
      <c r="C1555" s="218"/>
      <c r="D1555" s="219"/>
      <c r="E1555" s="217"/>
      <c r="F1555" s="217"/>
      <c r="G1555" s="217"/>
      <c r="H1555" s="220"/>
      <c r="I1555" s="217"/>
      <c r="J1555" s="217"/>
      <c r="K1555" s="217"/>
      <c r="L1555" s="217"/>
      <c r="M1555" s="217"/>
      <c r="N1555" s="217"/>
      <c r="O1555" s="44"/>
      <c r="P1555" s="44"/>
      <c r="Q1555" s="44"/>
      <c r="R1555" s="44"/>
      <c r="S1555" s="44"/>
      <c r="T1555" s="44"/>
      <c r="U1555" s="44"/>
      <c r="V1555" s="44"/>
      <c r="W1555" s="44"/>
      <c r="X1555" s="44"/>
      <c r="Y1555" s="44"/>
      <c r="Z1555" s="44"/>
      <c r="AA1555" s="44"/>
      <c r="AB1555" s="44"/>
      <c r="AC1555" s="44"/>
      <c r="AD1555" s="44"/>
      <c r="AE1555" s="44"/>
      <c r="AF1555" s="44"/>
      <c r="AG1555" s="44"/>
      <c r="AH1555" s="44"/>
      <c r="AI1555" s="44"/>
      <c r="AJ1555" s="44"/>
      <c r="AK1555" s="44"/>
      <c r="AL1555" s="44"/>
      <c r="AM1555" s="44"/>
      <c r="AN1555" s="44"/>
      <c r="AO1555" s="44"/>
      <c r="AP1555" s="44"/>
      <c r="AQ1555" s="44"/>
      <c r="BA1555" s="5"/>
      <c r="BB1555" s="5"/>
      <c r="BC1555" s="5"/>
      <c r="BD1555" s="5"/>
      <c r="BE1555" s="63"/>
      <c r="BF1555" s="63"/>
      <c r="BG1555" s="63"/>
      <c r="CA1555" s="256"/>
      <c r="CB1555" s="261"/>
      <c r="CC1555" s="261"/>
      <c r="CD1555" s="255"/>
      <c r="CE1555" s="261"/>
      <c r="CF1555" s="261"/>
      <c r="CG1555" s="53"/>
      <c r="CH1555" s="53"/>
      <c r="CI1555" s="53"/>
      <c r="CJ1555" s="53"/>
      <c r="CK1555" s="53"/>
      <c r="CL1555" s="53"/>
      <c r="CN1555" s="53"/>
      <c r="CO1555" s="53"/>
      <c r="CP1555" s="53"/>
      <c r="CQ1555" s="53"/>
      <c r="CR1555" s="53"/>
      <c r="CS1555" s="53"/>
      <c r="CT1555" s="261"/>
      <c r="CU1555" s="261"/>
      <c r="CV1555" s="255"/>
      <c r="CW1555" s="261"/>
      <c r="CX1555" s="261"/>
      <c r="CY1555" s="255"/>
    </row>
    <row r="1556" spans="1:103" ht="10.25" customHeight="1">
      <c r="A1556" s="216"/>
      <c r="B1556" s="217"/>
      <c r="C1556" s="218"/>
      <c r="D1556" s="219"/>
      <c r="E1556" s="217"/>
      <c r="F1556" s="217"/>
      <c r="G1556" s="217"/>
      <c r="H1556" s="220"/>
      <c r="I1556" s="217"/>
      <c r="J1556" s="217"/>
      <c r="K1556" s="217"/>
      <c r="L1556" s="217"/>
      <c r="M1556" s="217"/>
      <c r="N1556" s="217"/>
      <c r="O1556" s="44"/>
      <c r="P1556" s="44"/>
      <c r="Q1556" s="44"/>
      <c r="R1556" s="44"/>
      <c r="S1556" s="44"/>
      <c r="T1556" s="44"/>
      <c r="U1556" s="44"/>
      <c r="V1556" s="44"/>
      <c r="W1556" s="44"/>
      <c r="X1556" s="44"/>
      <c r="Y1556" s="44"/>
      <c r="Z1556" s="44"/>
      <c r="AA1556" s="44"/>
      <c r="AB1556" s="44"/>
      <c r="AC1556" s="44"/>
      <c r="AD1556" s="44"/>
      <c r="AE1556" s="44"/>
      <c r="AF1556" s="44"/>
      <c r="AG1556" s="44"/>
      <c r="AH1556" s="44"/>
      <c r="AI1556" s="44"/>
      <c r="AJ1556" s="44"/>
      <c r="AK1556" s="44"/>
      <c r="AL1556" s="44"/>
      <c r="AM1556" s="44"/>
      <c r="AN1556" s="44"/>
      <c r="AO1556" s="44"/>
      <c r="AP1556" s="44"/>
      <c r="AQ1556" s="44"/>
      <c r="BA1556" s="5"/>
      <c r="BB1556" s="5"/>
      <c r="BC1556" s="5"/>
      <c r="BD1556" s="5"/>
      <c r="BE1556" s="63"/>
      <c r="BF1556" s="63"/>
      <c r="BG1556" s="63"/>
      <c r="CA1556" s="256"/>
      <c r="CB1556" s="261"/>
      <c r="CC1556" s="261"/>
      <c r="CD1556" s="255"/>
      <c r="CE1556" s="261"/>
      <c r="CF1556" s="261"/>
      <c r="CG1556" s="53"/>
      <c r="CH1556" s="53"/>
      <c r="CI1556" s="53"/>
      <c r="CJ1556" s="53"/>
      <c r="CK1556" s="53"/>
      <c r="CL1556" s="53"/>
      <c r="CN1556" s="53"/>
      <c r="CO1556" s="53"/>
      <c r="CP1556" s="53"/>
      <c r="CQ1556" s="53"/>
      <c r="CR1556" s="53"/>
      <c r="CS1556" s="53"/>
      <c r="CT1556" s="261"/>
      <c r="CU1556" s="261"/>
      <c r="CV1556" s="261"/>
      <c r="CW1556" s="255"/>
      <c r="CX1556" s="261"/>
      <c r="CY1556" s="255"/>
    </row>
    <row r="1557" spans="1:103" ht="10.25" customHeight="1">
      <c r="A1557" s="216"/>
      <c r="B1557" s="217"/>
      <c r="C1557" s="218"/>
      <c r="D1557" s="219"/>
      <c r="E1557" s="217"/>
      <c r="F1557" s="217"/>
      <c r="G1557" s="217"/>
      <c r="H1557" s="220"/>
      <c r="I1557" s="217"/>
      <c r="J1557" s="217"/>
      <c r="K1557" s="217"/>
      <c r="L1557" s="217"/>
      <c r="M1557" s="217"/>
      <c r="N1557" s="217"/>
      <c r="O1557" s="44"/>
      <c r="P1557" s="44"/>
      <c r="Q1557" s="44"/>
      <c r="R1557" s="44"/>
      <c r="S1557" s="44"/>
      <c r="T1557" s="44"/>
      <c r="U1557" s="44"/>
      <c r="V1557" s="44"/>
      <c r="W1557" s="44"/>
      <c r="X1557" s="44"/>
      <c r="Y1557" s="44"/>
      <c r="Z1557" s="44"/>
      <c r="AA1557" s="44"/>
      <c r="AB1557" s="44"/>
      <c r="AC1557" s="44"/>
      <c r="AD1557" s="44"/>
      <c r="AE1557" s="44"/>
      <c r="AF1557" s="44"/>
      <c r="AG1557" s="44"/>
      <c r="AH1557" s="44"/>
      <c r="AI1557" s="44"/>
      <c r="AJ1557" s="44"/>
      <c r="AK1557" s="44"/>
      <c r="AL1557" s="44"/>
      <c r="AM1557" s="44"/>
      <c r="AN1557" s="44"/>
      <c r="AO1557" s="44"/>
      <c r="AP1557" s="44"/>
      <c r="AQ1557" s="44"/>
      <c r="BA1557" s="5"/>
      <c r="BB1557" s="5"/>
      <c r="BC1557" s="5"/>
      <c r="BD1557" s="5"/>
      <c r="BE1557" s="63"/>
      <c r="BF1557" s="63"/>
      <c r="BG1557" s="63"/>
      <c r="CA1557" s="256"/>
      <c r="CB1557" s="261"/>
      <c r="CC1557" s="261"/>
      <c r="CD1557" s="255"/>
      <c r="CE1557" s="261"/>
      <c r="CF1557" s="261"/>
      <c r="CG1557" s="53"/>
      <c r="CH1557" s="53"/>
      <c r="CI1557" s="53"/>
      <c r="CJ1557" s="53"/>
      <c r="CK1557" s="53"/>
      <c r="CL1557" s="53"/>
      <c r="CN1557" s="53"/>
      <c r="CO1557" s="53"/>
      <c r="CP1557" s="53"/>
      <c r="CQ1557" s="53"/>
      <c r="CR1557" s="53"/>
      <c r="CS1557" s="53"/>
      <c r="CT1557" s="261"/>
      <c r="CU1557" s="261"/>
      <c r="CV1557" s="261"/>
      <c r="CW1557" s="261"/>
      <c r="CX1557" s="261"/>
      <c r="CY1557" s="255"/>
    </row>
    <row r="1558" spans="1:103" ht="10.25" customHeight="1">
      <c r="A1558" s="216"/>
      <c r="B1558" s="217"/>
      <c r="C1558" s="218"/>
      <c r="D1558" s="219"/>
      <c r="E1558" s="217"/>
      <c r="F1558" s="217"/>
      <c r="G1558" s="217"/>
      <c r="H1558" s="220"/>
      <c r="I1558" s="217"/>
      <c r="J1558" s="217"/>
      <c r="K1558" s="217"/>
      <c r="L1558" s="217"/>
      <c r="M1558" s="217"/>
      <c r="N1558" s="217"/>
      <c r="O1558" s="44"/>
      <c r="P1558" s="44"/>
      <c r="Q1558" s="44"/>
      <c r="R1558" s="44"/>
      <c r="S1558" s="44"/>
      <c r="T1558" s="44"/>
      <c r="U1558" s="44"/>
      <c r="V1558" s="44"/>
      <c r="W1558" s="44"/>
      <c r="X1558" s="44"/>
      <c r="Y1558" s="44"/>
      <c r="Z1558" s="44"/>
      <c r="AA1558" s="44"/>
      <c r="AB1558" s="44"/>
      <c r="AC1558" s="44"/>
      <c r="AD1558" s="44"/>
      <c r="AE1558" s="44"/>
      <c r="AF1558" s="44"/>
      <c r="AG1558" s="44"/>
      <c r="AH1558" s="44"/>
      <c r="AI1558" s="44"/>
      <c r="AJ1558" s="44"/>
      <c r="AK1558" s="44"/>
      <c r="AL1558" s="44"/>
      <c r="AM1558" s="44"/>
      <c r="AN1558" s="44"/>
      <c r="AO1558" s="44"/>
      <c r="AP1558" s="44"/>
      <c r="AQ1558" s="44"/>
      <c r="BA1558" s="5"/>
      <c r="BB1558" s="5"/>
      <c r="BC1558" s="5"/>
      <c r="BD1558" s="5"/>
      <c r="BE1558" s="63"/>
      <c r="BF1558" s="63"/>
      <c r="BG1558" s="63"/>
      <c r="CA1558" s="256"/>
      <c r="CB1558" s="261"/>
      <c r="CC1558" s="261"/>
      <c r="CD1558" s="261"/>
      <c r="CE1558" s="261"/>
      <c r="CF1558" s="261"/>
      <c r="CG1558" s="53"/>
      <c r="CH1558" s="53"/>
      <c r="CI1558" s="53"/>
      <c r="CJ1558" s="53"/>
      <c r="CK1558" s="53"/>
      <c r="CL1558" s="53"/>
      <c r="CN1558" s="53"/>
      <c r="CO1558" s="53"/>
      <c r="CP1558" s="53"/>
      <c r="CQ1558" s="53"/>
      <c r="CR1558" s="53"/>
      <c r="CS1558" s="53"/>
      <c r="CT1558" s="261"/>
      <c r="CU1558" s="261"/>
      <c r="CV1558" s="255"/>
      <c r="CW1558" s="255"/>
      <c r="CX1558" s="261"/>
      <c r="CY1558" s="255"/>
    </row>
    <row r="1559" spans="1:103" ht="10.25" customHeight="1">
      <c r="A1559" s="216"/>
      <c r="B1559" s="217"/>
      <c r="C1559" s="218"/>
      <c r="D1559" s="219"/>
      <c r="E1559" s="217"/>
      <c r="F1559" s="217"/>
      <c r="G1559" s="217"/>
      <c r="H1559" s="220"/>
      <c r="I1559" s="217"/>
      <c r="J1559" s="217"/>
      <c r="K1559" s="217"/>
      <c r="L1559" s="217"/>
      <c r="M1559" s="217"/>
      <c r="N1559" s="217"/>
      <c r="O1559" s="44"/>
      <c r="P1559" s="44"/>
      <c r="Q1559" s="44"/>
      <c r="R1559" s="44"/>
      <c r="S1559" s="44"/>
      <c r="T1559" s="44"/>
      <c r="U1559" s="44"/>
      <c r="V1559" s="44"/>
      <c r="W1559" s="44"/>
      <c r="X1559" s="44"/>
      <c r="Y1559" s="44"/>
      <c r="Z1559" s="44"/>
      <c r="AA1559" s="44"/>
      <c r="AB1559" s="44"/>
      <c r="AC1559" s="44"/>
      <c r="AD1559" s="44"/>
      <c r="AE1559" s="44"/>
      <c r="AF1559" s="44"/>
      <c r="AG1559" s="44"/>
      <c r="AH1559" s="44"/>
      <c r="AI1559" s="44"/>
      <c r="AJ1559" s="44"/>
      <c r="AK1559" s="44"/>
      <c r="AL1559" s="44"/>
      <c r="AM1559" s="44"/>
      <c r="AN1559" s="44"/>
      <c r="AO1559" s="44"/>
      <c r="AP1559" s="44"/>
      <c r="AQ1559" s="44"/>
      <c r="BA1559" s="5"/>
      <c r="BB1559" s="5"/>
      <c r="BC1559" s="5"/>
      <c r="BD1559" s="5"/>
      <c r="BE1559" s="63"/>
      <c r="BF1559" s="63"/>
      <c r="BG1559" s="63"/>
      <c r="CA1559" s="256"/>
      <c r="CB1559" s="261"/>
      <c r="CC1559" s="261"/>
      <c r="CD1559" s="261"/>
      <c r="CE1559" s="261"/>
      <c r="CF1559" s="261"/>
      <c r="CG1559" s="53"/>
      <c r="CH1559" s="53"/>
      <c r="CI1559" s="53"/>
      <c r="CJ1559" s="53"/>
      <c r="CK1559" s="53"/>
      <c r="CL1559" s="53"/>
      <c r="CN1559" s="53"/>
      <c r="CO1559" s="53"/>
      <c r="CP1559" s="53"/>
      <c r="CQ1559" s="53"/>
      <c r="CR1559" s="53"/>
      <c r="CS1559" s="53"/>
      <c r="CT1559" s="261"/>
      <c r="CU1559" s="261"/>
      <c r="CV1559" s="261"/>
      <c r="CW1559" s="261"/>
      <c r="CX1559" s="261"/>
      <c r="CY1559" s="255"/>
    </row>
    <row r="1560" spans="1:103" ht="10.25" customHeight="1">
      <c r="A1560" s="216"/>
      <c r="B1560" s="217"/>
      <c r="C1560" s="218"/>
      <c r="D1560" s="219"/>
      <c r="E1560" s="217"/>
      <c r="F1560" s="217"/>
      <c r="G1560" s="217"/>
      <c r="H1560" s="220"/>
      <c r="I1560" s="217"/>
      <c r="J1560" s="217"/>
      <c r="K1560" s="217"/>
      <c r="L1560" s="217"/>
      <c r="M1560" s="217"/>
      <c r="N1560" s="217"/>
      <c r="O1560" s="44"/>
      <c r="P1560" s="44"/>
      <c r="Q1560" s="44"/>
      <c r="R1560" s="44"/>
      <c r="S1560" s="44"/>
      <c r="T1560" s="44"/>
      <c r="U1560" s="44"/>
      <c r="V1560" s="44"/>
      <c r="W1560" s="44"/>
      <c r="X1560" s="44"/>
      <c r="Y1560" s="44"/>
      <c r="Z1560" s="44"/>
      <c r="AA1560" s="44"/>
      <c r="AB1560" s="44"/>
      <c r="AC1560" s="44"/>
      <c r="AD1560" s="44"/>
      <c r="AE1560" s="44"/>
      <c r="AF1560" s="44"/>
      <c r="AG1560" s="44"/>
      <c r="AH1560" s="44"/>
      <c r="AI1560" s="44"/>
      <c r="AJ1560" s="44"/>
      <c r="AK1560" s="44"/>
      <c r="AL1560" s="44"/>
      <c r="AM1560" s="44"/>
      <c r="AN1560" s="44"/>
      <c r="AO1560" s="44"/>
      <c r="AP1560" s="44"/>
      <c r="AQ1560" s="44"/>
      <c r="BA1560" s="5"/>
      <c r="BB1560" s="5"/>
      <c r="BC1560" s="5"/>
      <c r="BD1560" s="5"/>
      <c r="BE1560" s="63"/>
      <c r="BF1560" s="63"/>
      <c r="BG1560" s="63"/>
      <c r="CA1560" s="256"/>
      <c r="CB1560" s="261"/>
      <c r="CC1560" s="261"/>
      <c r="CD1560" s="261"/>
      <c r="CE1560" s="261"/>
      <c r="CF1560" s="261"/>
      <c r="CG1560" s="53"/>
      <c r="CH1560" s="53"/>
      <c r="CI1560" s="53"/>
      <c r="CJ1560" s="53"/>
      <c r="CK1560" s="53"/>
      <c r="CL1560" s="53"/>
      <c r="CN1560" s="53"/>
      <c r="CO1560" s="53"/>
      <c r="CP1560" s="53"/>
      <c r="CQ1560" s="53"/>
      <c r="CR1560" s="53"/>
      <c r="CS1560" s="53"/>
      <c r="CT1560" s="261"/>
      <c r="CU1560" s="261"/>
      <c r="CV1560" s="255"/>
      <c r="CW1560" s="255"/>
      <c r="CX1560" s="261"/>
      <c r="CY1560" s="255"/>
    </row>
    <row r="1561" spans="1:103" ht="10.25" customHeight="1">
      <c r="A1561" s="216"/>
      <c r="B1561" s="217"/>
      <c r="C1561" s="218"/>
      <c r="D1561" s="219"/>
      <c r="E1561" s="217"/>
      <c r="F1561" s="217"/>
      <c r="G1561" s="217"/>
      <c r="H1561" s="220"/>
      <c r="I1561" s="217"/>
      <c r="J1561" s="217"/>
      <c r="K1561" s="217"/>
      <c r="L1561" s="217"/>
      <c r="M1561" s="217"/>
      <c r="N1561" s="217"/>
      <c r="O1561" s="44"/>
      <c r="P1561" s="44"/>
      <c r="Q1561" s="44"/>
      <c r="R1561" s="44"/>
      <c r="S1561" s="44"/>
      <c r="T1561" s="44"/>
      <c r="U1561" s="44"/>
      <c r="V1561" s="44"/>
      <c r="W1561" s="44"/>
      <c r="X1561" s="44"/>
      <c r="Y1561" s="44"/>
      <c r="Z1561" s="44"/>
      <c r="AA1561" s="44"/>
      <c r="AB1561" s="44"/>
      <c r="AC1561" s="44"/>
      <c r="AD1561" s="44"/>
      <c r="AE1561" s="44"/>
      <c r="AF1561" s="44"/>
      <c r="AG1561" s="44"/>
      <c r="AH1561" s="44"/>
      <c r="AI1561" s="44"/>
      <c r="AJ1561" s="44"/>
      <c r="AK1561" s="44"/>
      <c r="AL1561" s="44"/>
      <c r="AM1561" s="44"/>
      <c r="AN1561" s="44"/>
      <c r="AO1561" s="44"/>
      <c r="AP1561" s="44"/>
      <c r="AQ1561" s="44"/>
      <c r="BA1561" s="5"/>
      <c r="BB1561" s="5"/>
      <c r="BC1561" s="5"/>
      <c r="BD1561" s="5"/>
      <c r="BE1561" s="63"/>
      <c r="BF1561" s="63"/>
      <c r="BG1561" s="63"/>
      <c r="CA1561" s="256"/>
      <c r="CB1561" s="261"/>
      <c r="CC1561" s="261"/>
      <c r="CD1561" s="261"/>
      <c r="CE1561" s="261"/>
      <c r="CF1561" s="261"/>
      <c r="CG1561" s="53"/>
      <c r="CH1561" s="53"/>
      <c r="CI1561" s="53"/>
      <c r="CJ1561" s="53"/>
      <c r="CK1561" s="53"/>
      <c r="CL1561" s="53"/>
      <c r="CN1561" s="53"/>
      <c r="CO1561" s="53"/>
      <c r="CP1561" s="53"/>
      <c r="CQ1561" s="53"/>
      <c r="CR1561" s="53"/>
      <c r="CS1561" s="53"/>
      <c r="CT1561" s="261"/>
      <c r="CU1561" s="261"/>
      <c r="CV1561" s="261"/>
      <c r="CW1561" s="261"/>
      <c r="CX1561" s="255"/>
      <c r="CY1561" s="255"/>
    </row>
    <row r="1562" spans="1:103" ht="10.25" customHeight="1">
      <c r="A1562" s="216"/>
      <c r="B1562" s="217"/>
      <c r="C1562" s="218"/>
      <c r="D1562" s="219"/>
      <c r="E1562" s="217"/>
      <c r="F1562" s="217"/>
      <c r="G1562" s="217"/>
      <c r="H1562" s="220"/>
      <c r="I1562" s="217"/>
      <c r="J1562" s="217"/>
      <c r="K1562" s="217"/>
      <c r="L1562" s="217"/>
      <c r="M1562" s="217"/>
      <c r="N1562" s="217"/>
      <c r="O1562" s="44"/>
      <c r="P1562" s="44"/>
      <c r="Q1562" s="44"/>
      <c r="R1562" s="44"/>
      <c r="S1562" s="44"/>
      <c r="T1562" s="44"/>
      <c r="U1562" s="44"/>
      <c r="V1562" s="44"/>
      <c r="W1562" s="44"/>
      <c r="X1562" s="44"/>
      <c r="Y1562" s="44"/>
      <c r="Z1562" s="44"/>
      <c r="AA1562" s="44"/>
      <c r="AB1562" s="44"/>
      <c r="AC1562" s="44"/>
      <c r="AD1562" s="44"/>
      <c r="AE1562" s="44"/>
      <c r="AF1562" s="44"/>
      <c r="AG1562" s="44"/>
      <c r="AH1562" s="44"/>
      <c r="AI1562" s="44"/>
      <c r="AJ1562" s="44"/>
      <c r="AK1562" s="44"/>
      <c r="AL1562" s="44"/>
      <c r="AM1562" s="44"/>
      <c r="AN1562" s="44"/>
      <c r="AO1562" s="44"/>
      <c r="AP1562" s="44"/>
      <c r="AQ1562" s="44"/>
      <c r="BA1562" s="5"/>
      <c r="BB1562" s="5"/>
      <c r="BC1562" s="5"/>
      <c r="BD1562" s="5"/>
      <c r="BE1562" s="63"/>
      <c r="BF1562" s="63"/>
      <c r="BG1562" s="63"/>
      <c r="CA1562" s="256"/>
      <c r="CB1562" s="261"/>
      <c r="CC1562" s="261"/>
      <c r="CD1562" s="261"/>
      <c r="CE1562" s="261"/>
      <c r="CF1562" s="261"/>
      <c r="CG1562" s="53"/>
      <c r="CH1562" s="53"/>
      <c r="CI1562" s="53"/>
      <c r="CJ1562" s="53"/>
      <c r="CK1562" s="53"/>
      <c r="CL1562" s="53"/>
      <c r="CN1562" s="53"/>
      <c r="CO1562" s="53"/>
      <c r="CP1562" s="53"/>
      <c r="CQ1562" s="53"/>
      <c r="CR1562" s="53"/>
      <c r="CS1562" s="53"/>
      <c r="CT1562" s="261"/>
      <c r="CU1562" s="261"/>
      <c r="CV1562" s="255"/>
      <c r="CW1562" s="255"/>
      <c r="CX1562" s="261"/>
      <c r="CY1562" s="255"/>
    </row>
    <row r="1563" spans="1:103" ht="10.25" customHeight="1">
      <c r="A1563" s="216"/>
      <c r="B1563" s="217"/>
      <c r="C1563" s="218"/>
      <c r="D1563" s="219"/>
      <c r="E1563" s="217"/>
      <c r="F1563" s="217"/>
      <c r="G1563" s="217"/>
      <c r="H1563" s="220"/>
      <c r="I1563" s="217"/>
      <c r="J1563" s="217"/>
      <c r="K1563" s="217"/>
      <c r="L1563" s="217"/>
      <c r="M1563" s="217"/>
      <c r="N1563" s="217"/>
      <c r="O1563" s="44"/>
      <c r="P1563" s="44"/>
      <c r="Q1563" s="44"/>
      <c r="R1563" s="44"/>
      <c r="S1563" s="44"/>
      <c r="T1563" s="44"/>
      <c r="U1563" s="44"/>
      <c r="V1563" s="44"/>
      <c r="W1563" s="44"/>
      <c r="X1563" s="44"/>
      <c r="Y1563" s="44"/>
      <c r="Z1563" s="44"/>
      <c r="AA1563" s="44"/>
      <c r="AB1563" s="44"/>
      <c r="AC1563" s="44"/>
      <c r="AD1563" s="44"/>
      <c r="AE1563" s="44"/>
      <c r="AF1563" s="44"/>
      <c r="AG1563" s="44"/>
      <c r="AH1563" s="44"/>
      <c r="AI1563" s="44"/>
      <c r="AJ1563" s="44"/>
      <c r="AK1563" s="44"/>
      <c r="AL1563" s="44"/>
      <c r="AM1563" s="44"/>
      <c r="AN1563" s="44"/>
      <c r="AO1563" s="44"/>
      <c r="AP1563" s="44"/>
      <c r="AQ1563" s="44"/>
      <c r="BA1563" s="5"/>
      <c r="BB1563" s="5"/>
      <c r="BC1563" s="5"/>
      <c r="BD1563" s="5"/>
      <c r="BE1563" s="63"/>
      <c r="BF1563" s="63"/>
      <c r="BG1563" s="63"/>
      <c r="CA1563" s="256"/>
      <c r="CB1563" s="261"/>
      <c r="CC1563" s="261"/>
      <c r="CD1563" s="261"/>
      <c r="CE1563" s="261"/>
      <c r="CF1563" s="261"/>
      <c r="CG1563" s="53"/>
      <c r="CH1563" s="53"/>
      <c r="CI1563" s="53"/>
      <c r="CJ1563" s="53"/>
      <c r="CK1563" s="53"/>
      <c r="CL1563" s="53"/>
      <c r="CN1563" s="53"/>
      <c r="CO1563" s="53"/>
      <c r="CP1563" s="53"/>
      <c r="CQ1563" s="53"/>
      <c r="CR1563" s="53"/>
      <c r="CS1563" s="53"/>
      <c r="CT1563" s="261"/>
      <c r="CU1563" s="261"/>
      <c r="CV1563" s="261"/>
      <c r="CW1563" s="261"/>
      <c r="CX1563" s="261"/>
      <c r="CY1563" s="255"/>
    </row>
    <row r="1564" spans="1:103" ht="10.25" customHeight="1">
      <c r="A1564" s="216"/>
      <c r="B1564" s="217"/>
      <c r="C1564" s="218"/>
      <c r="D1564" s="219"/>
      <c r="E1564" s="217"/>
      <c r="F1564" s="217"/>
      <c r="G1564" s="217"/>
      <c r="H1564" s="220"/>
      <c r="I1564" s="217"/>
      <c r="J1564" s="217"/>
      <c r="K1564" s="217"/>
      <c r="L1564" s="217"/>
      <c r="M1564" s="217"/>
      <c r="N1564" s="217"/>
      <c r="O1564" s="44"/>
      <c r="P1564" s="44"/>
      <c r="Q1564" s="44"/>
      <c r="R1564" s="44"/>
      <c r="S1564" s="44"/>
      <c r="T1564" s="44"/>
      <c r="U1564" s="44"/>
      <c r="V1564" s="44"/>
      <c r="W1564" s="44"/>
      <c r="X1564" s="44"/>
      <c r="Y1564" s="44"/>
      <c r="Z1564" s="44"/>
      <c r="AA1564" s="44"/>
      <c r="AB1564" s="44"/>
      <c r="AC1564" s="44"/>
      <c r="AD1564" s="44"/>
      <c r="AE1564" s="44"/>
      <c r="AF1564" s="44"/>
      <c r="AG1564" s="44"/>
      <c r="AH1564" s="44"/>
      <c r="AI1564" s="44"/>
      <c r="AJ1564" s="44"/>
      <c r="AK1564" s="44"/>
      <c r="AL1564" s="44"/>
      <c r="AM1564" s="44"/>
      <c r="AN1564" s="44"/>
      <c r="AO1564" s="44"/>
      <c r="AP1564" s="44"/>
      <c r="AQ1564" s="44"/>
      <c r="BA1564" s="5"/>
      <c r="BB1564" s="5"/>
      <c r="BC1564" s="5"/>
      <c r="BD1564" s="5"/>
      <c r="BE1564" s="63"/>
      <c r="BF1564" s="63"/>
      <c r="BG1564" s="63"/>
      <c r="CA1564" s="256"/>
      <c r="CB1564" s="261"/>
      <c r="CC1564" s="261"/>
      <c r="CD1564" s="261"/>
      <c r="CE1564" s="261"/>
      <c r="CF1564" s="261"/>
      <c r="CG1564" s="53"/>
      <c r="CH1564" s="53"/>
      <c r="CI1564" s="53"/>
      <c r="CJ1564" s="53"/>
      <c r="CK1564" s="53"/>
      <c r="CL1564" s="53"/>
      <c r="CN1564" s="53"/>
      <c r="CO1564" s="53"/>
      <c r="CP1564" s="53"/>
      <c r="CQ1564" s="53"/>
      <c r="CR1564" s="53"/>
      <c r="CS1564" s="53"/>
      <c r="CT1564" s="261"/>
      <c r="CU1564" s="261"/>
      <c r="CV1564" s="261"/>
      <c r="CW1564" s="255"/>
      <c r="CX1564" s="261"/>
      <c r="CY1564" s="255"/>
    </row>
    <row r="1565" spans="1:103" ht="10.25" customHeight="1">
      <c r="A1565" s="216"/>
      <c r="B1565" s="217"/>
      <c r="C1565" s="218"/>
      <c r="D1565" s="219"/>
      <c r="E1565" s="217"/>
      <c r="F1565" s="217"/>
      <c r="G1565" s="217"/>
      <c r="H1565" s="220"/>
      <c r="I1565" s="217"/>
      <c r="J1565" s="217"/>
      <c r="K1565" s="217"/>
      <c r="L1565" s="217"/>
      <c r="M1565" s="217"/>
      <c r="N1565" s="217"/>
      <c r="O1565" s="44"/>
      <c r="P1565" s="44"/>
      <c r="Q1565" s="44"/>
      <c r="R1565" s="44"/>
      <c r="S1565" s="44"/>
      <c r="T1565" s="44"/>
      <c r="U1565" s="44"/>
      <c r="V1565" s="44"/>
      <c r="W1565" s="44"/>
      <c r="X1565" s="44"/>
      <c r="Y1565" s="44"/>
      <c r="Z1565" s="44"/>
      <c r="AA1565" s="44"/>
      <c r="AB1565" s="44"/>
      <c r="AC1565" s="44"/>
      <c r="AD1565" s="44"/>
      <c r="AE1565" s="44"/>
      <c r="AF1565" s="44"/>
      <c r="AG1565" s="44"/>
      <c r="AH1565" s="44"/>
      <c r="AI1565" s="44"/>
      <c r="AJ1565" s="44"/>
      <c r="AK1565" s="44"/>
      <c r="AL1565" s="44"/>
      <c r="AM1565" s="44"/>
      <c r="AN1565" s="44"/>
      <c r="AO1565" s="44"/>
      <c r="AP1565" s="44"/>
      <c r="AQ1565" s="44"/>
      <c r="BA1565" s="5"/>
      <c r="BB1565" s="5"/>
      <c r="BC1565" s="5"/>
      <c r="BD1565" s="5"/>
      <c r="BE1565" s="63"/>
      <c r="BF1565" s="63"/>
      <c r="BG1565" s="63"/>
      <c r="CA1565" s="256"/>
      <c r="CB1565" s="261"/>
      <c r="CC1565" s="261"/>
      <c r="CD1565" s="261"/>
      <c r="CE1565" s="261"/>
      <c r="CF1565" s="261"/>
      <c r="CG1565" s="53"/>
      <c r="CH1565" s="53"/>
      <c r="CI1565" s="53"/>
      <c r="CJ1565" s="53"/>
      <c r="CK1565" s="53"/>
      <c r="CL1565" s="53"/>
      <c r="CN1565" s="53"/>
      <c r="CO1565" s="53"/>
      <c r="CP1565" s="53"/>
      <c r="CQ1565" s="53"/>
      <c r="CR1565" s="53"/>
      <c r="CS1565" s="53"/>
      <c r="CT1565" s="261"/>
      <c r="CU1565" s="261"/>
      <c r="CV1565" s="261"/>
      <c r="CW1565" s="261"/>
      <c r="CX1565" s="261"/>
      <c r="CY1565" s="255"/>
    </row>
    <row r="1566" spans="1:103" ht="10.25" customHeight="1">
      <c r="A1566" s="216"/>
      <c r="B1566" s="217"/>
      <c r="C1566" s="218"/>
      <c r="D1566" s="219"/>
      <c r="E1566" s="217"/>
      <c r="F1566" s="217"/>
      <c r="G1566" s="217"/>
      <c r="H1566" s="220"/>
      <c r="I1566" s="217"/>
      <c r="J1566" s="217"/>
      <c r="K1566" s="217"/>
      <c r="L1566" s="217"/>
      <c r="M1566" s="217"/>
      <c r="N1566" s="217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BA1566" s="5"/>
      <c r="BB1566" s="5"/>
      <c r="BC1566" s="5"/>
      <c r="BD1566" s="5"/>
      <c r="BE1566" s="63"/>
      <c r="BF1566" s="63"/>
      <c r="BG1566" s="63"/>
      <c r="CA1566" s="256"/>
      <c r="CB1566" s="261"/>
      <c r="CC1566" s="261"/>
      <c r="CD1566" s="261"/>
      <c r="CE1566" s="261"/>
      <c r="CF1566" s="261"/>
      <c r="CG1566" s="53"/>
      <c r="CH1566" s="53"/>
      <c r="CI1566" s="53"/>
      <c r="CJ1566" s="53"/>
      <c r="CK1566" s="53"/>
      <c r="CL1566" s="53"/>
      <c r="CN1566" s="53"/>
      <c r="CO1566" s="53"/>
      <c r="CP1566" s="53"/>
      <c r="CQ1566" s="53"/>
      <c r="CR1566" s="53"/>
      <c r="CS1566" s="53"/>
      <c r="CT1566" s="261"/>
      <c r="CU1566" s="261"/>
      <c r="CV1566" s="255"/>
      <c r="CW1566" s="255"/>
      <c r="CX1566" s="261"/>
      <c r="CY1566" s="255"/>
    </row>
    <row r="1567" spans="1:103" ht="10.25" customHeight="1">
      <c r="A1567" s="216"/>
      <c r="B1567" s="217"/>
      <c r="C1567" s="218"/>
      <c r="D1567" s="219"/>
      <c r="E1567" s="217"/>
      <c r="F1567" s="217"/>
      <c r="G1567" s="217"/>
      <c r="H1567" s="220"/>
      <c r="I1567" s="217"/>
      <c r="J1567" s="217"/>
      <c r="K1567" s="217"/>
      <c r="L1567" s="217"/>
      <c r="M1567" s="217"/>
      <c r="N1567" s="217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BA1567" s="5"/>
      <c r="BB1567" s="5"/>
      <c r="BC1567" s="5"/>
      <c r="BD1567" s="5"/>
      <c r="BE1567" s="63"/>
      <c r="BF1567" s="63"/>
      <c r="BG1567" s="63"/>
      <c r="CA1567" s="256"/>
      <c r="CB1567" s="261"/>
      <c r="CC1567" s="261"/>
      <c r="CD1567" s="261"/>
      <c r="CE1567" s="261"/>
      <c r="CF1567" s="261"/>
      <c r="CG1567" s="53"/>
      <c r="CH1567" s="53"/>
      <c r="CI1567" s="53"/>
      <c r="CJ1567" s="53"/>
      <c r="CK1567" s="53"/>
      <c r="CL1567" s="53"/>
      <c r="CN1567" s="53"/>
      <c r="CO1567" s="53"/>
      <c r="CP1567" s="53"/>
      <c r="CQ1567" s="53"/>
      <c r="CR1567" s="53"/>
      <c r="CS1567" s="53"/>
      <c r="CT1567" s="261"/>
      <c r="CU1567" s="261"/>
      <c r="CV1567" s="261"/>
      <c r="CW1567" s="261"/>
      <c r="CX1567" s="261"/>
      <c r="CY1567" s="255"/>
    </row>
    <row r="1568" spans="1:103" ht="10.25" customHeight="1">
      <c r="A1568" s="216"/>
      <c r="B1568" s="217"/>
      <c r="C1568" s="218"/>
      <c r="D1568" s="219"/>
      <c r="E1568" s="217"/>
      <c r="F1568" s="217"/>
      <c r="G1568" s="217"/>
      <c r="H1568" s="220"/>
      <c r="I1568" s="217"/>
      <c r="J1568" s="217"/>
      <c r="K1568" s="217"/>
      <c r="L1568" s="217"/>
      <c r="M1568" s="217"/>
      <c r="N1568" s="217"/>
      <c r="O1568" s="44"/>
      <c r="P1568" s="44"/>
      <c r="Q1568" s="44"/>
      <c r="R1568" s="44"/>
      <c r="S1568" s="44"/>
      <c r="T1568" s="44"/>
      <c r="U1568" s="44"/>
      <c r="V1568" s="44"/>
      <c r="W1568" s="44"/>
      <c r="X1568" s="44"/>
      <c r="Y1568" s="44"/>
      <c r="Z1568" s="44"/>
      <c r="AA1568" s="44"/>
      <c r="AB1568" s="44"/>
      <c r="AC1568" s="44"/>
      <c r="AD1568" s="44"/>
      <c r="AE1568" s="44"/>
      <c r="AF1568" s="44"/>
      <c r="AG1568" s="44"/>
      <c r="AH1568" s="44"/>
      <c r="AI1568" s="44"/>
      <c r="AJ1568" s="44"/>
      <c r="AK1568" s="44"/>
      <c r="AL1568" s="44"/>
      <c r="AM1568" s="44"/>
      <c r="AN1568" s="44"/>
      <c r="AO1568" s="44"/>
      <c r="AP1568" s="44"/>
      <c r="AQ1568" s="44"/>
      <c r="BA1568" s="5"/>
      <c r="BB1568" s="5"/>
      <c r="BC1568" s="5"/>
      <c r="BD1568" s="5"/>
      <c r="BE1568" s="63"/>
      <c r="BF1568" s="63"/>
      <c r="BG1568" s="63"/>
      <c r="CA1568" s="256"/>
      <c r="CB1568" s="261"/>
      <c r="CC1568" s="261"/>
      <c r="CD1568" s="261"/>
      <c r="CE1568" s="261"/>
      <c r="CF1568" s="261"/>
      <c r="CG1568" s="53"/>
      <c r="CH1568" s="53"/>
      <c r="CI1568" s="53"/>
      <c r="CJ1568" s="53"/>
      <c r="CK1568" s="53"/>
      <c r="CL1568" s="53"/>
      <c r="CN1568" s="53"/>
      <c r="CO1568" s="53"/>
      <c r="CP1568" s="53"/>
      <c r="CQ1568" s="53"/>
      <c r="CR1568" s="53"/>
      <c r="CS1568" s="53"/>
      <c r="CT1568" s="261"/>
      <c r="CU1568" s="261"/>
      <c r="CV1568" s="255"/>
      <c r="CW1568" s="255"/>
      <c r="CX1568" s="255"/>
      <c r="CY1568" s="255"/>
    </row>
    <row r="1569" spans="1:103" ht="10.25" customHeight="1">
      <c r="A1569" s="216"/>
      <c r="B1569" s="217"/>
      <c r="C1569" s="218"/>
      <c r="D1569" s="219"/>
      <c r="E1569" s="217"/>
      <c r="F1569" s="217"/>
      <c r="G1569" s="217"/>
      <c r="H1569" s="220"/>
      <c r="I1569" s="217"/>
      <c r="J1569" s="217"/>
      <c r="K1569" s="217"/>
      <c r="L1569" s="217"/>
      <c r="M1569" s="217"/>
      <c r="N1569" s="217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44"/>
      <c r="AL1569" s="44"/>
      <c r="AM1569" s="44"/>
      <c r="AN1569" s="44"/>
      <c r="AO1569" s="44"/>
      <c r="AP1569" s="44"/>
      <c r="AQ1569" s="44"/>
      <c r="BA1569" s="5"/>
      <c r="BB1569" s="5"/>
      <c r="BC1569" s="5"/>
      <c r="BD1569" s="5"/>
      <c r="BE1569" s="63"/>
      <c r="BF1569" s="63"/>
      <c r="BG1569" s="63"/>
      <c r="CA1569" s="256"/>
      <c r="CB1569" s="261"/>
      <c r="CC1569" s="261"/>
      <c r="CD1569" s="261"/>
      <c r="CE1569" s="261"/>
      <c r="CF1569" s="261"/>
      <c r="CG1569" s="53"/>
      <c r="CH1569" s="53"/>
      <c r="CI1569" s="53"/>
      <c r="CJ1569" s="53"/>
      <c r="CK1569" s="53"/>
      <c r="CL1569" s="53"/>
      <c r="CN1569" s="53"/>
      <c r="CO1569" s="53"/>
      <c r="CP1569" s="53"/>
      <c r="CQ1569" s="53"/>
      <c r="CR1569" s="53"/>
      <c r="CS1569" s="53"/>
      <c r="CT1569" s="261"/>
      <c r="CU1569" s="261"/>
      <c r="CV1569" s="261"/>
      <c r="CW1569" s="255"/>
      <c r="CX1569" s="261"/>
      <c r="CY1569" s="255"/>
    </row>
    <row r="1570" spans="1:103" ht="10.25" customHeight="1">
      <c r="A1570" s="216"/>
      <c r="B1570" s="217"/>
      <c r="C1570" s="218"/>
      <c r="D1570" s="219"/>
      <c r="E1570" s="217"/>
      <c r="F1570" s="217"/>
      <c r="G1570" s="217"/>
      <c r="H1570" s="220"/>
      <c r="I1570" s="217"/>
      <c r="J1570" s="217"/>
      <c r="K1570" s="217"/>
      <c r="L1570" s="217"/>
      <c r="M1570" s="217"/>
      <c r="N1570" s="217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BA1570" s="5"/>
      <c r="BB1570" s="5"/>
      <c r="BC1570" s="5"/>
      <c r="BD1570" s="5"/>
      <c r="BE1570" s="63"/>
      <c r="BF1570" s="63"/>
      <c r="BG1570" s="63"/>
      <c r="CA1570" s="256"/>
      <c r="CB1570" s="261"/>
      <c r="CC1570" s="261"/>
      <c r="CD1570" s="261"/>
      <c r="CE1570" s="261"/>
      <c r="CF1570" s="261"/>
      <c r="CG1570" s="53"/>
      <c r="CH1570" s="53"/>
      <c r="CI1570" s="53"/>
      <c r="CJ1570" s="53"/>
      <c r="CK1570" s="53"/>
      <c r="CL1570" s="53"/>
      <c r="CN1570" s="53"/>
      <c r="CO1570" s="53"/>
      <c r="CP1570" s="53"/>
      <c r="CQ1570" s="53"/>
      <c r="CR1570" s="53"/>
      <c r="CS1570" s="53"/>
      <c r="CT1570" s="261"/>
      <c r="CU1570" s="261"/>
      <c r="CV1570" s="255"/>
      <c r="CW1570" s="255"/>
      <c r="CX1570" s="261"/>
      <c r="CY1570" s="255"/>
    </row>
    <row r="1571" spans="1:103" ht="10.25" customHeight="1">
      <c r="A1571" s="216"/>
      <c r="B1571" s="217"/>
      <c r="C1571" s="218"/>
      <c r="D1571" s="219"/>
      <c r="E1571" s="217"/>
      <c r="F1571" s="217"/>
      <c r="G1571" s="217"/>
      <c r="H1571" s="220"/>
      <c r="I1571" s="217"/>
      <c r="J1571" s="217"/>
      <c r="K1571" s="217"/>
      <c r="L1571" s="217"/>
      <c r="M1571" s="217"/>
      <c r="N1571" s="217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BA1571" s="5"/>
      <c r="BB1571" s="5"/>
      <c r="BC1571" s="5"/>
      <c r="BD1571" s="5"/>
      <c r="BE1571" s="63"/>
      <c r="BF1571" s="63"/>
      <c r="BG1571" s="63"/>
      <c r="CA1571" s="256"/>
      <c r="CB1571" s="261"/>
      <c r="CC1571" s="261"/>
      <c r="CD1571" s="261"/>
      <c r="CE1571" s="261"/>
      <c r="CF1571" s="261"/>
      <c r="CG1571" s="53"/>
      <c r="CH1571" s="53"/>
      <c r="CI1571" s="53"/>
      <c r="CJ1571" s="53"/>
      <c r="CK1571" s="53"/>
      <c r="CL1571" s="53"/>
      <c r="CN1571" s="53"/>
      <c r="CO1571" s="53"/>
      <c r="CP1571" s="53"/>
      <c r="CQ1571" s="53"/>
      <c r="CR1571" s="53"/>
      <c r="CS1571" s="53"/>
      <c r="CT1571" s="261"/>
      <c r="CU1571" s="261"/>
      <c r="CV1571" s="261"/>
      <c r="CW1571" s="261"/>
      <c r="CX1571" s="261"/>
      <c r="CY1571" s="255"/>
    </row>
    <row r="1572" spans="1:103" ht="10.25" customHeight="1">
      <c r="A1572" s="216"/>
      <c r="B1572" s="217"/>
      <c r="C1572" s="218"/>
      <c r="D1572" s="219"/>
      <c r="E1572" s="217"/>
      <c r="F1572" s="217"/>
      <c r="G1572" s="217"/>
      <c r="H1572" s="220"/>
      <c r="I1572" s="217"/>
      <c r="J1572" s="217"/>
      <c r="K1572" s="217"/>
      <c r="L1572" s="217"/>
      <c r="M1572" s="217"/>
      <c r="N1572" s="217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BA1572" s="5"/>
      <c r="BB1572" s="5"/>
      <c r="BC1572" s="5"/>
      <c r="BD1572" s="5"/>
      <c r="BE1572" s="63"/>
      <c r="BF1572" s="63"/>
      <c r="BG1572" s="63"/>
      <c r="CA1572" s="256"/>
      <c r="CB1572" s="261"/>
      <c r="CC1572" s="261"/>
      <c r="CD1572" s="261"/>
      <c r="CE1572" s="261"/>
      <c r="CF1572" s="261"/>
      <c r="CG1572" s="53"/>
      <c r="CH1572" s="53"/>
      <c r="CI1572" s="53"/>
      <c r="CJ1572" s="53"/>
      <c r="CK1572" s="53"/>
      <c r="CL1572" s="53"/>
      <c r="CN1572" s="53"/>
      <c r="CO1572" s="53"/>
      <c r="CP1572" s="53"/>
      <c r="CQ1572" s="53"/>
      <c r="CR1572" s="53"/>
      <c r="CS1572" s="53"/>
      <c r="CT1572" s="261"/>
      <c r="CU1572" s="261"/>
      <c r="CV1572" s="255"/>
      <c r="CW1572" s="255"/>
      <c r="CX1572" s="261"/>
      <c r="CY1572" s="255"/>
    </row>
    <row r="1573" spans="1:103" ht="10.25" customHeight="1">
      <c r="A1573" s="216"/>
      <c r="B1573" s="217"/>
      <c r="C1573" s="218"/>
      <c r="D1573" s="219"/>
      <c r="E1573" s="217"/>
      <c r="F1573" s="217"/>
      <c r="G1573" s="217"/>
      <c r="H1573" s="220"/>
      <c r="I1573" s="217"/>
      <c r="J1573" s="217"/>
      <c r="K1573" s="217"/>
      <c r="L1573" s="217"/>
      <c r="M1573" s="217"/>
      <c r="N1573" s="217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BA1573" s="5"/>
      <c r="BB1573" s="5"/>
      <c r="BC1573" s="5"/>
      <c r="BD1573" s="5"/>
      <c r="BE1573" s="63"/>
      <c r="BF1573" s="63"/>
      <c r="BG1573" s="63"/>
      <c r="CA1573" s="256"/>
      <c r="CB1573" s="261"/>
      <c r="CC1573" s="261"/>
      <c r="CD1573" s="261"/>
      <c r="CE1573" s="261"/>
      <c r="CF1573" s="255"/>
      <c r="CG1573" s="53"/>
      <c r="CH1573" s="53"/>
      <c r="CI1573" s="53"/>
      <c r="CJ1573" s="53"/>
      <c r="CK1573" s="53"/>
      <c r="CL1573" s="53"/>
      <c r="CN1573" s="53"/>
      <c r="CO1573" s="53"/>
      <c r="CP1573" s="53"/>
      <c r="CQ1573" s="53"/>
      <c r="CR1573" s="53"/>
      <c r="CS1573" s="53"/>
      <c r="CT1573" s="261"/>
      <c r="CU1573" s="255"/>
      <c r="CV1573" s="261"/>
      <c r="CW1573" s="261"/>
      <c r="CX1573" s="261"/>
      <c r="CY1573" s="255"/>
    </row>
    <row r="1574" spans="1:103" ht="10.25" customHeight="1">
      <c r="A1574" s="216"/>
      <c r="B1574" s="217"/>
      <c r="C1574" s="218"/>
      <c r="D1574" s="219"/>
      <c r="E1574" s="217"/>
      <c r="F1574" s="217"/>
      <c r="G1574" s="217"/>
      <c r="H1574" s="220"/>
      <c r="I1574" s="217"/>
      <c r="J1574" s="217"/>
      <c r="K1574" s="217"/>
      <c r="L1574" s="217"/>
      <c r="M1574" s="217"/>
      <c r="N1574" s="217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BA1574" s="5"/>
      <c r="BB1574" s="5"/>
      <c r="BC1574" s="5"/>
      <c r="BD1574" s="5"/>
      <c r="BE1574" s="63"/>
      <c r="BF1574" s="63"/>
      <c r="BG1574" s="63"/>
      <c r="CA1574" s="256"/>
      <c r="CB1574" s="261"/>
      <c r="CC1574" s="261"/>
      <c r="CD1574" s="261"/>
      <c r="CE1574" s="261"/>
      <c r="CF1574" s="255"/>
      <c r="CG1574" s="53"/>
      <c r="CH1574" s="53"/>
      <c r="CI1574" s="53"/>
      <c r="CJ1574" s="53"/>
      <c r="CK1574" s="53"/>
      <c r="CL1574" s="53"/>
      <c r="CN1574" s="53"/>
      <c r="CO1574" s="53"/>
      <c r="CP1574" s="53"/>
      <c r="CQ1574" s="53"/>
      <c r="CR1574" s="53"/>
      <c r="CS1574" s="53"/>
      <c r="CT1574" s="261"/>
      <c r="CU1574" s="255"/>
      <c r="CV1574" s="255"/>
      <c r="CW1574" s="255"/>
      <c r="CX1574" s="261"/>
      <c r="CY1574" s="255"/>
    </row>
    <row r="1575" spans="1:103" ht="10.25" customHeight="1">
      <c r="A1575" s="216"/>
      <c r="B1575" s="217"/>
      <c r="C1575" s="218"/>
      <c r="D1575" s="219"/>
      <c r="E1575" s="217"/>
      <c r="F1575" s="217"/>
      <c r="G1575" s="217"/>
      <c r="H1575" s="220"/>
      <c r="I1575" s="217"/>
      <c r="J1575" s="217"/>
      <c r="K1575" s="217"/>
      <c r="L1575" s="217"/>
      <c r="M1575" s="217"/>
      <c r="N1575" s="217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BA1575" s="5"/>
      <c r="BB1575" s="5"/>
      <c r="BC1575" s="5"/>
      <c r="BD1575" s="5"/>
      <c r="BE1575" s="63"/>
      <c r="BF1575" s="63"/>
      <c r="BG1575" s="63"/>
      <c r="CA1575" s="256"/>
      <c r="CB1575" s="261"/>
      <c r="CC1575" s="261"/>
      <c r="CD1575" s="261"/>
      <c r="CE1575" s="255"/>
      <c r="CF1575" s="261"/>
      <c r="CG1575" s="53"/>
      <c r="CH1575" s="53"/>
      <c r="CI1575" s="53"/>
      <c r="CJ1575" s="53"/>
      <c r="CK1575" s="53"/>
      <c r="CL1575" s="53"/>
      <c r="CN1575" s="53"/>
      <c r="CO1575" s="53"/>
      <c r="CP1575" s="53"/>
      <c r="CQ1575" s="53"/>
      <c r="CR1575" s="53"/>
      <c r="CS1575" s="53"/>
      <c r="CT1575" s="255"/>
      <c r="CU1575" s="261"/>
      <c r="CV1575" s="261"/>
      <c r="CW1575" s="261"/>
      <c r="CX1575" s="261"/>
      <c r="CY1575" s="255"/>
    </row>
    <row r="1576" spans="1:103" ht="10.25" customHeight="1">
      <c r="A1576" s="216"/>
      <c r="B1576" s="217"/>
      <c r="C1576" s="218"/>
      <c r="D1576" s="219"/>
      <c r="E1576" s="217"/>
      <c r="F1576" s="217"/>
      <c r="G1576" s="217"/>
      <c r="H1576" s="220"/>
      <c r="I1576" s="217"/>
      <c r="J1576" s="217"/>
      <c r="K1576" s="217"/>
      <c r="L1576" s="217"/>
      <c r="M1576" s="217"/>
      <c r="N1576" s="217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BA1576" s="5"/>
      <c r="BB1576" s="5"/>
      <c r="BC1576" s="5"/>
      <c r="BD1576" s="5"/>
      <c r="BE1576" s="63"/>
      <c r="BF1576" s="63"/>
      <c r="BG1576" s="63"/>
      <c r="CA1576" s="256"/>
      <c r="CB1576" s="261"/>
      <c r="CC1576" s="261"/>
      <c r="CD1576" s="261"/>
      <c r="CE1576" s="255"/>
      <c r="CF1576" s="261"/>
      <c r="CG1576" s="53"/>
      <c r="CH1576" s="53"/>
      <c r="CI1576" s="53"/>
      <c r="CJ1576" s="53"/>
      <c r="CK1576" s="53"/>
      <c r="CL1576" s="53"/>
      <c r="CN1576" s="53"/>
      <c r="CO1576" s="53"/>
      <c r="CP1576" s="53"/>
      <c r="CQ1576" s="53"/>
      <c r="CR1576" s="53"/>
      <c r="CS1576" s="53"/>
      <c r="CT1576" s="255"/>
      <c r="CU1576" s="261"/>
      <c r="CV1576" s="255"/>
      <c r="CW1576" s="255"/>
      <c r="CX1576" s="261"/>
      <c r="CY1576" s="255"/>
    </row>
    <row r="1577" spans="1:103" ht="10.25" customHeight="1">
      <c r="A1577" s="216"/>
      <c r="B1577" s="217"/>
      <c r="C1577" s="218"/>
      <c r="D1577" s="219"/>
      <c r="E1577" s="217"/>
      <c r="F1577" s="217"/>
      <c r="G1577" s="217"/>
      <c r="H1577" s="220"/>
      <c r="I1577" s="217"/>
      <c r="J1577" s="217"/>
      <c r="K1577" s="217"/>
      <c r="L1577" s="217"/>
      <c r="M1577" s="217"/>
      <c r="N1577" s="217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BA1577" s="5"/>
      <c r="BB1577" s="5"/>
      <c r="BC1577" s="5"/>
      <c r="BD1577" s="5"/>
      <c r="BE1577" s="63"/>
      <c r="BF1577" s="63"/>
      <c r="BG1577" s="63"/>
      <c r="CA1577" s="256"/>
      <c r="CB1577" s="261"/>
      <c r="CC1577" s="261"/>
      <c r="CD1577" s="261"/>
      <c r="CE1577" s="261"/>
      <c r="CF1577" s="261"/>
      <c r="CG1577" s="53"/>
      <c r="CH1577" s="53"/>
      <c r="CI1577" s="53"/>
      <c r="CJ1577" s="53"/>
      <c r="CK1577" s="53"/>
      <c r="CL1577" s="53"/>
      <c r="CN1577" s="53"/>
      <c r="CO1577" s="53"/>
      <c r="CP1577" s="53"/>
      <c r="CQ1577" s="53"/>
      <c r="CR1577" s="53"/>
      <c r="CS1577" s="53"/>
      <c r="CT1577" s="261"/>
      <c r="CU1577" s="261"/>
      <c r="CV1577" s="261"/>
      <c r="CW1577" s="261"/>
      <c r="CX1577" s="255"/>
      <c r="CY1577" s="255"/>
    </row>
    <row r="1578" spans="1:103" ht="10.25" customHeight="1">
      <c r="A1578" s="216"/>
      <c r="B1578" s="217"/>
      <c r="C1578" s="218"/>
      <c r="D1578" s="219"/>
      <c r="E1578" s="217"/>
      <c r="F1578" s="217"/>
      <c r="G1578" s="217"/>
      <c r="H1578" s="220"/>
      <c r="I1578" s="217"/>
      <c r="J1578" s="217"/>
      <c r="K1578" s="217"/>
      <c r="L1578" s="217"/>
      <c r="M1578" s="217"/>
      <c r="N1578" s="217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BA1578" s="5"/>
      <c r="BB1578" s="5"/>
      <c r="BC1578" s="5"/>
      <c r="BD1578" s="5"/>
      <c r="BE1578" s="63"/>
      <c r="BF1578" s="63"/>
      <c r="BG1578" s="63"/>
      <c r="CA1578" s="256"/>
      <c r="CB1578" s="261"/>
      <c r="CC1578" s="261"/>
      <c r="CD1578" s="261"/>
      <c r="CE1578" s="261"/>
      <c r="CF1578" s="261"/>
      <c r="CG1578" s="53"/>
      <c r="CH1578" s="53"/>
      <c r="CI1578" s="53"/>
      <c r="CJ1578" s="53"/>
      <c r="CK1578" s="53"/>
      <c r="CL1578" s="53"/>
      <c r="CN1578" s="53"/>
      <c r="CO1578" s="53"/>
      <c r="CP1578" s="53"/>
      <c r="CQ1578" s="53"/>
      <c r="CR1578" s="53"/>
      <c r="CS1578" s="53"/>
      <c r="CT1578" s="261"/>
      <c r="CU1578" s="261"/>
      <c r="CV1578" s="255"/>
      <c r="CW1578" s="255"/>
      <c r="CX1578" s="261"/>
      <c r="CY1578" s="255"/>
    </row>
    <row r="1579" spans="1:103" ht="10.25" customHeight="1">
      <c r="A1579" s="216"/>
      <c r="B1579" s="217"/>
      <c r="C1579" s="218"/>
      <c r="D1579" s="219"/>
      <c r="E1579" s="217"/>
      <c r="F1579" s="217"/>
      <c r="G1579" s="217"/>
      <c r="H1579" s="220"/>
      <c r="I1579" s="217"/>
      <c r="J1579" s="217"/>
      <c r="K1579" s="217"/>
      <c r="L1579" s="217"/>
      <c r="M1579" s="217"/>
      <c r="N1579" s="217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BA1579" s="5"/>
      <c r="BB1579" s="5"/>
      <c r="BC1579" s="5"/>
      <c r="BD1579" s="5"/>
      <c r="BE1579" s="63"/>
      <c r="BF1579" s="63"/>
      <c r="BG1579" s="63"/>
      <c r="CA1579" s="256"/>
      <c r="CB1579" s="261"/>
      <c r="CC1579" s="261"/>
      <c r="CD1579" s="261"/>
      <c r="CE1579" s="261"/>
      <c r="CF1579" s="261"/>
      <c r="CG1579" s="53"/>
      <c r="CH1579" s="53"/>
      <c r="CI1579" s="53"/>
      <c r="CJ1579" s="53"/>
      <c r="CK1579" s="53"/>
      <c r="CL1579" s="53"/>
      <c r="CN1579" s="53"/>
      <c r="CO1579" s="53"/>
      <c r="CP1579" s="53"/>
      <c r="CQ1579" s="53"/>
      <c r="CR1579" s="53"/>
      <c r="CS1579" s="53"/>
      <c r="CT1579" s="261"/>
      <c r="CU1579" s="261"/>
      <c r="CV1579" s="261"/>
      <c r="CW1579" s="255"/>
      <c r="CX1579" s="261"/>
      <c r="CY1579" s="255"/>
    </row>
    <row r="1580" spans="1:103" ht="10.25" customHeight="1">
      <c r="A1580" s="216"/>
      <c r="B1580" s="217"/>
      <c r="C1580" s="218"/>
      <c r="D1580" s="219"/>
      <c r="E1580" s="217"/>
      <c r="F1580" s="217"/>
      <c r="G1580" s="217"/>
      <c r="H1580" s="220"/>
      <c r="I1580" s="217"/>
      <c r="J1580" s="217"/>
      <c r="K1580" s="217"/>
      <c r="L1580" s="217"/>
      <c r="M1580" s="217"/>
      <c r="N1580" s="217"/>
      <c r="O1580" s="44"/>
      <c r="P1580" s="44"/>
      <c r="Q1580" s="44"/>
      <c r="R1580" s="44"/>
      <c r="S1580" s="44"/>
      <c r="T1580" s="44"/>
      <c r="U1580" s="44"/>
      <c r="V1580" s="44"/>
      <c r="W1580" s="44"/>
      <c r="X1580" s="44"/>
      <c r="Y1580" s="44"/>
      <c r="Z1580" s="44"/>
      <c r="AA1580" s="44"/>
      <c r="AB1580" s="44"/>
      <c r="AC1580" s="44"/>
      <c r="AD1580" s="44"/>
      <c r="AE1580" s="44"/>
      <c r="AF1580" s="44"/>
      <c r="AG1580" s="44"/>
      <c r="AH1580" s="44"/>
      <c r="AI1580" s="44"/>
      <c r="AJ1580" s="44"/>
      <c r="AK1580" s="44"/>
      <c r="AL1580" s="44"/>
      <c r="AM1580" s="44"/>
      <c r="AN1580" s="44"/>
      <c r="AO1580" s="44"/>
      <c r="AP1580" s="44"/>
      <c r="AQ1580" s="44"/>
      <c r="BA1580" s="5"/>
      <c r="BB1580" s="5"/>
      <c r="BC1580" s="5"/>
      <c r="BD1580" s="5"/>
      <c r="BE1580" s="63"/>
      <c r="BF1580" s="63"/>
      <c r="BG1580" s="63"/>
      <c r="CA1580" s="256"/>
      <c r="CB1580" s="261"/>
      <c r="CC1580" s="261"/>
      <c r="CD1580" s="261"/>
      <c r="CE1580" s="261"/>
      <c r="CF1580" s="261"/>
      <c r="CG1580" s="53"/>
      <c r="CH1580" s="53"/>
      <c r="CI1580" s="53"/>
      <c r="CJ1580" s="53"/>
      <c r="CK1580" s="53"/>
      <c r="CL1580" s="53"/>
      <c r="CN1580" s="53"/>
      <c r="CO1580" s="53"/>
      <c r="CP1580" s="53"/>
      <c r="CQ1580" s="53"/>
      <c r="CR1580" s="53"/>
      <c r="CS1580" s="53"/>
      <c r="CT1580" s="261"/>
      <c r="CU1580" s="261"/>
      <c r="CV1580" s="255"/>
      <c r="CW1580" s="255"/>
      <c r="CX1580" s="261"/>
      <c r="CY1580" s="255"/>
    </row>
    <row r="1581" spans="1:103" ht="10.25" customHeight="1">
      <c r="A1581" s="216"/>
      <c r="B1581" s="217"/>
      <c r="C1581" s="218"/>
      <c r="D1581" s="219"/>
      <c r="E1581" s="217"/>
      <c r="F1581" s="217"/>
      <c r="G1581" s="217"/>
      <c r="H1581" s="220"/>
      <c r="I1581" s="217"/>
      <c r="J1581" s="217"/>
      <c r="K1581" s="217"/>
      <c r="L1581" s="217"/>
      <c r="M1581" s="217"/>
      <c r="N1581" s="217"/>
      <c r="O1581" s="44"/>
      <c r="P1581" s="44"/>
      <c r="Q1581" s="44"/>
      <c r="R1581" s="44"/>
      <c r="S1581" s="44"/>
      <c r="T1581" s="44"/>
      <c r="U1581" s="44"/>
      <c r="V1581" s="44"/>
      <c r="W1581" s="44"/>
      <c r="X1581" s="44"/>
      <c r="Y1581" s="44"/>
      <c r="Z1581" s="44"/>
      <c r="AA1581" s="44"/>
      <c r="AB1581" s="44"/>
      <c r="AC1581" s="44"/>
      <c r="AD1581" s="44"/>
      <c r="AE1581" s="44"/>
      <c r="AF1581" s="44"/>
      <c r="AG1581" s="44"/>
      <c r="AH1581" s="44"/>
      <c r="AI1581" s="44"/>
      <c r="AJ1581" s="44"/>
      <c r="AK1581" s="44"/>
      <c r="AL1581" s="44"/>
      <c r="AM1581" s="44"/>
      <c r="AN1581" s="44"/>
      <c r="AO1581" s="44"/>
      <c r="AP1581" s="44"/>
      <c r="AQ1581" s="44"/>
      <c r="BA1581" s="5"/>
      <c r="BB1581" s="5"/>
      <c r="BC1581" s="5"/>
      <c r="BD1581" s="5"/>
      <c r="BE1581" s="63"/>
      <c r="BF1581" s="63"/>
      <c r="BG1581" s="63"/>
      <c r="CA1581" s="256"/>
      <c r="CB1581" s="261"/>
      <c r="CC1581" s="261"/>
      <c r="CD1581" s="261"/>
      <c r="CE1581" s="261"/>
      <c r="CF1581" s="261"/>
      <c r="CG1581" s="53"/>
      <c r="CH1581" s="53"/>
      <c r="CI1581" s="53"/>
      <c r="CJ1581" s="53"/>
      <c r="CK1581" s="53"/>
      <c r="CL1581" s="53"/>
      <c r="CN1581" s="53"/>
      <c r="CO1581" s="53"/>
      <c r="CP1581" s="53"/>
      <c r="CQ1581" s="53"/>
      <c r="CR1581" s="53"/>
      <c r="CS1581" s="53"/>
      <c r="CT1581" s="261"/>
      <c r="CU1581" s="261"/>
      <c r="CV1581" s="261"/>
      <c r="CW1581" s="261"/>
      <c r="CX1581" s="261"/>
      <c r="CY1581" s="255"/>
    </row>
    <row r="1582" spans="1:103" ht="10.25" customHeight="1">
      <c r="A1582" s="216"/>
      <c r="B1582" s="217"/>
      <c r="C1582" s="218"/>
      <c r="D1582" s="219"/>
      <c r="E1582" s="217"/>
      <c r="F1582" s="217"/>
      <c r="G1582" s="217"/>
      <c r="H1582" s="220"/>
      <c r="I1582" s="217"/>
      <c r="J1582" s="217"/>
      <c r="K1582" s="217"/>
      <c r="L1582" s="217"/>
      <c r="M1582" s="217"/>
      <c r="N1582" s="217"/>
      <c r="O1582" s="44"/>
      <c r="P1582" s="44"/>
      <c r="Q1582" s="44"/>
      <c r="R1582" s="44"/>
      <c r="S1582" s="44"/>
      <c r="T1582" s="44"/>
      <c r="U1582" s="44"/>
      <c r="V1582" s="44"/>
      <c r="W1582" s="44"/>
      <c r="X1582" s="44"/>
      <c r="Y1582" s="44"/>
      <c r="Z1582" s="44"/>
      <c r="AA1582" s="44"/>
      <c r="AB1582" s="44"/>
      <c r="AC1582" s="44"/>
      <c r="AD1582" s="44"/>
      <c r="AE1582" s="44"/>
      <c r="AF1582" s="44"/>
      <c r="AG1582" s="44"/>
      <c r="AH1582" s="44"/>
      <c r="AI1582" s="44"/>
      <c r="AJ1582" s="44"/>
      <c r="AK1582" s="44"/>
      <c r="AL1582" s="44"/>
      <c r="AM1582" s="44"/>
      <c r="AN1582" s="44"/>
      <c r="AO1582" s="44"/>
      <c r="AP1582" s="44"/>
      <c r="AQ1582" s="44"/>
      <c r="BA1582" s="5"/>
      <c r="BB1582" s="5"/>
      <c r="BC1582" s="5"/>
      <c r="BD1582" s="5"/>
      <c r="BE1582" s="63"/>
      <c r="BF1582" s="63"/>
      <c r="BG1582" s="63"/>
      <c r="CA1582" s="256"/>
      <c r="CB1582" s="261"/>
      <c r="CC1582" s="261"/>
      <c r="CD1582" s="255"/>
      <c r="CE1582" s="261"/>
      <c r="CF1582" s="261"/>
      <c r="CG1582" s="53"/>
      <c r="CH1582" s="53"/>
      <c r="CI1582" s="53"/>
      <c r="CJ1582" s="53"/>
      <c r="CK1582" s="53"/>
      <c r="CL1582" s="53"/>
      <c r="CN1582" s="53"/>
      <c r="CO1582" s="53"/>
      <c r="CP1582" s="53"/>
      <c r="CQ1582" s="53"/>
      <c r="CR1582" s="53"/>
      <c r="CS1582" s="53"/>
      <c r="CT1582" s="261"/>
      <c r="CU1582" s="261"/>
      <c r="CV1582" s="261"/>
      <c r="CW1582" s="261"/>
      <c r="CX1582" s="261"/>
      <c r="CY1582" s="255"/>
    </row>
    <row r="1583" spans="1:103" ht="10.25" customHeight="1">
      <c r="A1583" s="216"/>
      <c r="B1583" s="217"/>
      <c r="C1583" s="218"/>
      <c r="D1583" s="219"/>
      <c r="E1583" s="217"/>
      <c r="F1583" s="217"/>
      <c r="G1583" s="217"/>
      <c r="H1583" s="220"/>
      <c r="I1583" s="217"/>
      <c r="J1583" s="217"/>
      <c r="K1583" s="217"/>
      <c r="L1583" s="217"/>
      <c r="M1583" s="217"/>
      <c r="N1583" s="217"/>
      <c r="O1583" s="44"/>
      <c r="P1583" s="44"/>
      <c r="Q1583" s="44"/>
      <c r="R1583" s="44"/>
      <c r="S1583" s="44"/>
      <c r="T1583" s="44"/>
      <c r="U1583" s="44"/>
      <c r="V1583" s="44"/>
      <c r="W1583" s="44"/>
      <c r="X1583" s="44"/>
      <c r="Y1583" s="44"/>
      <c r="Z1583" s="44"/>
      <c r="AA1583" s="44"/>
      <c r="AB1583" s="44"/>
      <c r="AC1583" s="44"/>
      <c r="AD1583" s="44"/>
      <c r="AE1583" s="44"/>
      <c r="AF1583" s="44"/>
      <c r="AG1583" s="44"/>
      <c r="AH1583" s="44"/>
      <c r="AI1583" s="44"/>
      <c r="AJ1583" s="44"/>
      <c r="AK1583" s="44"/>
      <c r="AL1583" s="44"/>
      <c r="AM1583" s="44"/>
      <c r="AN1583" s="44"/>
      <c r="AO1583" s="44"/>
      <c r="AP1583" s="44"/>
      <c r="AQ1583" s="44"/>
      <c r="BA1583" s="5"/>
      <c r="BB1583" s="5"/>
      <c r="BC1583" s="5"/>
      <c r="BD1583" s="5"/>
      <c r="BE1583" s="63"/>
      <c r="BF1583" s="63"/>
      <c r="BG1583" s="63"/>
      <c r="CA1583" s="256"/>
      <c r="CB1583" s="261"/>
      <c r="CC1583" s="261"/>
      <c r="CD1583" s="255"/>
      <c r="CE1583" s="261"/>
      <c r="CF1583" s="261"/>
      <c r="CG1583" s="53"/>
      <c r="CH1583" s="53"/>
      <c r="CI1583" s="53"/>
      <c r="CJ1583" s="53"/>
      <c r="CK1583" s="53"/>
      <c r="CL1583" s="53"/>
      <c r="CN1583" s="53"/>
      <c r="CO1583" s="53"/>
      <c r="CP1583" s="53"/>
      <c r="CQ1583" s="53"/>
      <c r="CR1583" s="53"/>
      <c r="CS1583" s="53"/>
      <c r="CT1583" s="261"/>
      <c r="CU1583" s="261"/>
      <c r="CV1583" s="261"/>
      <c r="CW1583" s="261"/>
      <c r="CX1583" s="261"/>
      <c r="CY1583" s="255"/>
    </row>
    <row r="1584" spans="1:103" ht="10.25" customHeight="1">
      <c r="A1584" s="216"/>
      <c r="B1584" s="217"/>
      <c r="C1584" s="218"/>
      <c r="D1584" s="219"/>
      <c r="E1584" s="217"/>
      <c r="F1584" s="217"/>
      <c r="G1584" s="217"/>
      <c r="H1584" s="220"/>
      <c r="I1584" s="217"/>
      <c r="J1584" s="217"/>
      <c r="K1584" s="217"/>
      <c r="L1584" s="217"/>
      <c r="M1584" s="217"/>
      <c r="N1584" s="217"/>
      <c r="O1584" s="44"/>
      <c r="P1584" s="44"/>
      <c r="Q1584" s="44"/>
      <c r="R1584" s="44"/>
      <c r="S1584" s="44"/>
      <c r="T1584" s="44"/>
      <c r="U1584" s="44"/>
      <c r="V1584" s="44"/>
      <c r="W1584" s="44"/>
      <c r="X1584" s="44"/>
      <c r="Y1584" s="44"/>
      <c r="Z1584" s="44"/>
      <c r="AA1584" s="44"/>
      <c r="AB1584" s="44"/>
      <c r="AC1584" s="44"/>
      <c r="AD1584" s="44"/>
      <c r="AE1584" s="44"/>
      <c r="AF1584" s="44"/>
      <c r="AG1584" s="44"/>
      <c r="AH1584" s="44"/>
      <c r="AI1584" s="44"/>
      <c r="AJ1584" s="44"/>
      <c r="AK1584" s="44"/>
      <c r="AL1584" s="44"/>
      <c r="AM1584" s="44"/>
      <c r="AN1584" s="44"/>
      <c r="AO1584" s="44"/>
      <c r="AP1584" s="44"/>
      <c r="AQ1584" s="44"/>
      <c r="BA1584" s="5"/>
      <c r="BB1584" s="5"/>
      <c r="BC1584" s="5"/>
      <c r="BD1584" s="5"/>
      <c r="BE1584" s="63"/>
      <c r="BF1584" s="63"/>
      <c r="BG1584" s="63"/>
      <c r="CA1584" s="256"/>
      <c r="CB1584" s="261"/>
      <c r="CC1584" s="261"/>
      <c r="CD1584" s="255"/>
      <c r="CE1584" s="261"/>
      <c r="CF1584" s="261"/>
      <c r="CG1584" s="53"/>
      <c r="CH1584" s="53"/>
      <c r="CI1584" s="53"/>
      <c r="CJ1584" s="53"/>
      <c r="CK1584" s="53"/>
      <c r="CL1584" s="53"/>
      <c r="CN1584" s="53"/>
      <c r="CO1584" s="53"/>
      <c r="CP1584" s="53"/>
      <c r="CQ1584" s="53"/>
      <c r="CR1584" s="53"/>
      <c r="CS1584" s="53"/>
      <c r="CT1584" s="261"/>
      <c r="CU1584" s="261"/>
      <c r="CV1584" s="261"/>
      <c r="CW1584" s="261"/>
      <c r="CX1584" s="261"/>
      <c r="CY1584" s="255"/>
    </row>
    <row r="1585" spans="1:103" ht="10.25" customHeight="1">
      <c r="A1585" s="216"/>
      <c r="B1585" s="217"/>
      <c r="C1585" s="218"/>
      <c r="D1585" s="219"/>
      <c r="E1585" s="217"/>
      <c r="F1585" s="217"/>
      <c r="G1585" s="217"/>
      <c r="H1585" s="220"/>
      <c r="I1585" s="217"/>
      <c r="J1585" s="217"/>
      <c r="K1585" s="217"/>
      <c r="L1585" s="217"/>
      <c r="M1585" s="217"/>
      <c r="N1585" s="217"/>
      <c r="O1585" s="44"/>
      <c r="P1585" s="44"/>
      <c r="Q1585" s="44"/>
      <c r="R1585" s="44"/>
      <c r="S1585" s="44"/>
      <c r="T1585" s="44"/>
      <c r="U1585" s="44"/>
      <c r="V1585" s="44"/>
      <c r="W1585" s="44"/>
      <c r="X1585" s="44"/>
      <c r="Y1585" s="44"/>
      <c r="Z1585" s="44"/>
      <c r="AA1585" s="44"/>
      <c r="AB1585" s="44"/>
      <c r="AC1585" s="44"/>
      <c r="AD1585" s="44"/>
      <c r="AE1585" s="44"/>
      <c r="AF1585" s="44"/>
      <c r="AG1585" s="44"/>
      <c r="AH1585" s="44"/>
      <c r="AI1585" s="44"/>
      <c r="AJ1585" s="44"/>
      <c r="AK1585" s="44"/>
      <c r="AL1585" s="44"/>
      <c r="AM1585" s="44"/>
      <c r="AN1585" s="44"/>
      <c r="AO1585" s="44"/>
      <c r="AP1585" s="44"/>
      <c r="AQ1585" s="44"/>
      <c r="BA1585" s="5"/>
      <c r="BB1585" s="5"/>
      <c r="BC1585" s="5"/>
      <c r="BD1585" s="5"/>
      <c r="BE1585" s="63"/>
      <c r="BF1585" s="63"/>
      <c r="BG1585" s="63"/>
      <c r="CA1585" s="256"/>
      <c r="CB1585" s="261"/>
      <c r="CC1585" s="255"/>
      <c r="CD1585" s="261"/>
      <c r="CE1585" s="261"/>
      <c r="CF1585" s="261"/>
      <c r="CG1585" s="53"/>
      <c r="CH1585" s="53"/>
      <c r="CI1585" s="53"/>
      <c r="CJ1585" s="53"/>
      <c r="CK1585" s="53"/>
      <c r="CL1585" s="53"/>
      <c r="CN1585" s="53"/>
      <c r="CO1585" s="53"/>
      <c r="CP1585" s="53"/>
      <c r="CQ1585" s="53"/>
      <c r="CR1585" s="53"/>
      <c r="CS1585" s="53"/>
      <c r="CT1585" s="261"/>
      <c r="CU1585" s="261"/>
      <c r="CV1585" s="261"/>
      <c r="CW1585" s="261"/>
      <c r="CX1585" s="261"/>
      <c r="CY1585" s="255"/>
    </row>
    <row r="1586" spans="1:103" ht="10.25" customHeight="1">
      <c r="A1586" s="216"/>
      <c r="B1586" s="217"/>
      <c r="C1586" s="218"/>
      <c r="D1586" s="219"/>
      <c r="E1586" s="217"/>
      <c r="F1586" s="217"/>
      <c r="G1586" s="217"/>
      <c r="H1586" s="220"/>
      <c r="I1586" s="217"/>
      <c r="J1586" s="217"/>
      <c r="K1586" s="217"/>
      <c r="L1586" s="217"/>
      <c r="M1586" s="217"/>
      <c r="N1586" s="217"/>
      <c r="O1586" s="44"/>
      <c r="P1586" s="44"/>
      <c r="Q1586" s="44"/>
      <c r="R1586" s="44"/>
      <c r="S1586" s="44"/>
      <c r="T1586" s="44"/>
      <c r="U1586" s="44"/>
      <c r="V1586" s="44"/>
      <c r="W1586" s="44"/>
      <c r="X1586" s="44"/>
      <c r="Y1586" s="44"/>
      <c r="Z1586" s="44"/>
      <c r="AA1586" s="44"/>
      <c r="AB1586" s="44"/>
      <c r="AC1586" s="44"/>
      <c r="AD1586" s="44"/>
      <c r="AE1586" s="44"/>
      <c r="AF1586" s="44"/>
      <c r="AG1586" s="44"/>
      <c r="AH1586" s="44"/>
      <c r="AI1586" s="44"/>
      <c r="AJ1586" s="44"/>
      <c r="AK1586" s="44"/>
      <c r="AL1586" s="44"/>
      <c r="AM1586" s="44"/>
      <c r="AN1586" s="44"/>
      <c r="AO1586" s="44"/>
      <c r="AP1586" s="44"/>
      <c r="AQ1586" s="44"/>
      <c r="BA1586" s="5"/>
      <c r="BB1586" s="5"/>
      <c r="BC1586" s="5"/>
      <c r="BD1586" s="5"/>
      <c r="BE1586" s="63"/>
      <c r="BF1586" s="63"/>
      <c r="BG1586" s="63"/>
      <c r="CA1586" s="256"/>
      <c r="CB1586" s="261"/>
      <c r="CC1586" s="255"/>
      <c r="CD1586" s="261"/>
      <c r="CE1586" s="261"/>
      <c r="CF1586" s="261"/>
      <c r="CG1586" s="53"/>
      <c r="CH1586" s="53"/>
      <c r="CI1586" s="53"/>
      <c r="CJ1586" s="53"/>
      <c r="CK1586" s="53"/>
      <c r="CL1586" s="53"/>
      <c r="CN1586" s="53"/>
      <c r="CO1586" s="53"/>
      <c r="CP1586" s="53"/>
      <c r="CQ1586" s="53"/>
      <c r="CR1586" s="53"/>
      <c r="CS1586" s="53"/>
      <c r="CT1586" s="261"/>
      <c r="CU1586" s="261"/>
      <c r="CV1586" s="261"/>
      <c r="CW1586" s="261"/>
      <c r="CX1586" s="261"/>
      <c r="CY1586" s="255"/>
    </row>
    <row r="1587" spans="1:103" ht="10.25" customHeight="1">
      <c r="A1587" s="371"/>
      <c r="B1587" s="371"/>
      <c r="C1587" s="371"/>
      <c r="D1587" s="269"/>
      <c r="L1587" s="269"/>
      <c r="M1587" s="269"/>
      <c r="N1587" s="269"/>
      <c r="O1587" s="63"/>
      <c r="P1587" s="63"/>
      <c r="Q1587" s="63"/>
      <c r="R1587" s="63"/>
      <c r="S1587" s="63"/>
      <c r="T1587" s="63"/>
      <c r="U1587" s="63"/>
      <c r="V1587" s="63"/>
      <c r="W1587" s="63"/>
      <c r="X1587" s="63"/>
      <c r="Y1587" s="63"/>
      <c r="Z1587" s="63"/>
      <c r="AA1587" s="63"/>
      <c r="AB1587" s="63"/>
      <c r="AC1587" s="63"/>
      <c r="AD1587" s="63"/>
      <c r="AE1587" s="63"/>
      <c r="AF1587" s="63"/>
      <c r="AG1587" s="63"/>
      <c r="AH1587" s="63"/>
      <c r="AI1587" s="63"/>
      <c r="AJ1587" s="63"/>
      <c r="AK1587" s="63"/>
      <c r="AL1587" s="63"/>
      <c r="AM1587" s="63"/>
      <c r="AN1587" s="63"/>
      <c r="AO1587" s="63"/>
      <c r="AP1587" s="63"/>
      <c r="AQ1587" s="63"/>
      <c r="CA1587" s="256"/>
      <c r="CB1587" s="261"/>
      <c r="CC1587" s="255"/>
      <c r="CD1587" s="261"/>
      <c r="CE1587" s="261"/>
      <c r="CF1587" s="261"/>
      <c r="CG1587" s="261"/>
      <c r="CH1587" s="261"/>
      <c r="CI1587" s="261"/>
      <c r="CJ1587" s="261"/>
      <c r="CK1587" s="261"/>
      <c r="CL1587" s="255"/>
      <c r="CN1587" s="256"/>
      <c r="CO1587" s="256"/>
      <c r="CP1587" s="261"/>
      <c r="CQ1587" s="261"/>
      <c r="CR1587" s="255"/>
      <c r="CS1587" s="261"/>
      <c r="CT1587" s="261"/>
      <c r="CU1587" s="261"/>
      <c r="CV1587" s="261"/>
      <c r="CW1587" s="261"/>
      <c r="CX1587" s="261"/>
      <c r="CY1587" s="255"/>
    </row>
    <row r="1588" spans="1:103" ht="12.65" customHeight="1">
      <c r="A1588" s="270"/>
      <c r="C1588" s="271"/>
      <c r="D1588" s="372"/>
      <c r="E1588" s="372"/>
      <c r="F1588" s="272"/>
      <c r="G1588" s="272"/>
      <c r="H1588" s="273"/>
      <c r="L1588" s="269"/>
      <c r="M1588" s="269"/>
      <c r="N1588" s="269"/>
      <c r="O1588" s="63"/>
      <c r="P1588" s="63"/>
      <c r="Q1588" s="63"/>
      <c r="R1588" s="63"/>
      <c r="S1588" s="63"/>
      <c r="T1588" s="63"/>
      <c r="U1588" s="63"/>
      <c r="V1588" s="63"/>
      <c r="W1588" s="63"/>
      <c r="X1588" s="63"/>
      <c r="Y1588" s="63"/>
      <c r="Z1588" s="63"/>
      <c r="AA1588" s="63"/>
      <c r="AB1588" s="63"/>
      <c r="AC1588" s="63"/>
      <c r="AD1588" s="63"/>
      <c r="AE1588" s="63"/>
      <c r="AF1588" s="63"/>
      <c r="AG1588" s="63"/>
      <c r="AH1588" s="63"/>
      <c r="AI1588" s="63"/>
      <c r="AJ1588" s="63"/>
      <c r="AK1588" s="63"/>
      <c r="AL1588" s="63"/>
      <c r="AM1588" s="63"/>
      <c r="AN1588" s="63"/>
      <c r="AO1588" s="63"/>
      <c r="AP1588" s="63"/>
      <c r="AQ1588" s="63"/>
      <c r="CA1588" s="256"/>
      <c r="CB1588" s="261"/>
      <c r="CC1588" s="255"/>
      <c r="CD1588" s="261"/>
      <c r="CE1588" s="261"/>
      <c r="CF1588" s="261"/>
      <c r="CG1588" s="261"/>
      <c r="CH1588" s="261"/>
      <c r="CI1588" s="261"/>
      <c r="CJ1588" s="261"/>
      <c r="CK1588" s="255"/>
      <c r="CL1588" s="255"/>
      <c r="CN1588" s="256"/>
      <c r="CO1588" s="256"/>
      <c r="CP1588" s="261"/>
      <c r="CQ1588" s="261"/>
      <c r="CR1588" s="255"/>
      <c r="CS1588" s="261"/>
      <c r="CT1588" s="261"/>
      <c r="CU1588" s="261"/>
      <c r="CV1588" s="261"/>
      <c r="CW1588" s="261"/>
      <c r="CX1588" s="255"/>
      <c r="CY1588" s="255"/>
    </row>
    <row r="1589" spans="1:103" ht="10.25" customHeight="1">
      <c r="A1589" s="270"/>
      <c r="D1589" s="372"/>
      <c r="E1589" s="372"/>
      <c r="F1589" s="272"/>
      <c r="G1589" s="272"/>
      <c r="H1589" s="273"/>
      <c r="L1589" s="269"/>
      <c r="M1589" s="269"/>
      <c r="N1589" s="269"/>
      <c r="O1589" s="63"/>
      <c r="P1589" s="63"/>
      <c r="Q1589" s="63"/>
      <c r="R1589" s="63"/>
      <c r="S1589" s="63"/>
      <c r="T1589" s="63"/>
      <c r="U1589" s="63"/>
      <c r="V1589" s="63"/>
      <c r="W1589" s="63"/>
      <c r="X1589" s="63"/>
      <c r="Y1589" s="63"/>
      <c r="Z1589" s="63"/>
      <c r="AA1589" s="63"/>
      <c r="AB1589" s="63"/>
      <c r="AC1589" s="63"/>
      <c r="AD1589" s="63"/>
      <c r="AE1589" s="63"/>
      <c r="AF1589" s="63"/>
      <c r="AG1589" s="63"/>
      <c r="AH1589" s="63"/>
      <c r="AI1589" s="63"/>
      <c r="AJ1589" s="63"/>
      <c r="AK1589" s="63"/>
      <c r="AL1589" s="63"/>
      <c r="AM1589" s="63"/>
      <c r="AN1589" s="63"/>
      <c r="AO1589" s="63"/>
      <c r="AP1589" s="63"/>
      <c r="AQ1589" s="63"/>
      <c r="CA1589" s="256"/>
      <c r="CB1589" s="261"/>
      <c r="CC1589" s="255"/>
      <c r="CD1589" s="261"/>
      <c r="CE1589" s="261"/>
      <c r="CF1589" s="261"/>
      <c r="CG1589" s="261"/>
      <c r="CH1589" s="261"/>
      <c r="CI1589" s="261"/>
      <c r="CJ1589" s="261"/>
      <c r="CK1589" s="261"/>
      <c r="CL1589" s="255"/>
      <c r="CN1589" s="256"/>
      <c r="CO1589" s="256"/>
      <c r="CP1589" s="261"/>
      <c r="CQ1589" s="261"/>
      <c r="CR1589" s="255"/>
      <c r="CS1589" s="261"/>
      <c r="CT1589" s="261"/>
      <c r="CU1589" s="261"/>
      <c r="CV1589" s="261"/>
      <c r="CW1589" s="261"/>
      <c r="CX1589" s="261"/>
      <c r="CY1589" s="255"/>
    </row>
    <row r="1590" spans="1:103" ht="10.25" customHeight="1">
      <c r="C1590" s="270"/>
      <c r="D1590" s="274"/>
      <c r="E1590" s="214"/>
      <c r="F1590" s="272"/>
      <c r="G1590" s="272"/>
      <c r="H1590" s="272"/>
      <c r="I1590" s="273"/>
      <c r="J1590" s="273"/>
      <c r="K1590" s="273"/>
      <c r="L1590" s="275"/>
      <c r="M1590" s="269"/>
      <c r="N1590" s="269"/>
      <c r="O1590" s="63"/>
      <c r="P1590" s="63"/>
      <c r="Q1590" s="63"/>
      <c r="R1590" s="63"/>
      <c r="S1590" s="63"/>
      <c r="T1590" s="63"/>
      <c r="U1590" s="63"/>
      <c r="V1590" s="63"/>
      <c r="W1590" s="63"/>
      <c r="X1590" s="63"/>
      <c r="Y1590" s="63"/>
      <c r="Z1590" s="63"/>
      <c r="AA1590" s="63"/>
      <c r="AB1590" s="63"/>
      <c r="AC1590" s="63"/>
      <c r="AD1590" s="63"/>
      <c r="AE1590" s="63"/>
      <c r="AF1590" s="63"/>
      <c r="AG1590" s="63"/>
      <c r="AH1590" s="63"/>
      <c r="AI1590" s="63"/>
      <c r="AJ1590" s="63"/>
      <c r="AK1590" s="63"/>
      <c r="AL1590" s="63"/>
      <c r="AM1590" s="63"/>
      <c r="AN1590" s="63"/>
      <c r="AO1590" s="63"/>
      <c r="AP1590" s="63"/>
      <c r="AQ1590" s="63"/>
      <c r="CA1590" s="256"/>
      <c r="CB1590" s="261"/>
      <c r="CC1590" s="255"/>
      <c r="CD1590" s="261"/>
      <c r="CE1590" s="261"/>
      <c r="CF1590" s="261"/>
      <c r="CG1590" s="261"/>
      <c r="CH1590" s="261"/>
      <c r="CI1590" s="261"/>
      <c r="CJ1590" s="261"/>
      <c r="CK1590" s="261"/>
      <c r="CL1590" s="255"/>
      <c r="CN1590" s="256"/>
      <c r="CO1590" s="256"/>
      <c r="CP1590" s="261"/>
      <c r="CQ1590" s="261"/>
      <c r="CR1590" s="255"/>
      <c r="CS1590" s="261"/>
      <c r="CT1590" s="261"/>
      <c r="CU1590" s="261"/>
      <c r="CV1590" s="261"/>
      <c r="CW1590" s="261"/>
      <c r="CX1590" s="261"/>
      <c r="CY1590" s="255"/>
    </row>
    <row r="1591" spans="1:103" ht="10.25" customHeight="1">
      <c r="A1591" s="270"/>
      <c r="D1591" s="372"/>
      <c r="E1591" s="372"/>
      <c r="F1591" s="272"/>
      <c r="G1591" s="272"/>
      <c r="H1591" s="272"/>
      <c r="I1591" s="273"/>
      <c r="J1591" s="273"/>
      <c r="K1591" s="273"/>
      <c r="L1591" s="275"/>
      <c r="M1591" s="269"/>
      <c r="N1591" s="269"/>
      <c r="O1591" s="63"/>
      <c r="P1591" s="63"/>
      <c r="Q1591" s="63"/>
      <c r="R1591" s="63"/>
      <c r="S1591" s="63"/>
      <c r="T1591" s="63"/>
      <c r="U1591" s="63"/>
      <c r="V1591" s="63"/>
      <c r="W1591" s="63"/>
      <c r="X1591" s="63"/>
      <c r="Y1591" s="63"/>
      <c r="Z1591" s="63"/>
      <c r="AA1591" s="63"/>
      <c r="AB1591" s="63"/>
      <c r="AC1591" s="63"/>
      <c r="AD1591" s="63"/>
      <c r="AE1591" s="63"/>
      <c r="AF1591" s="63"/>
      <c r="AG1591" s="63"/>
      <c r="AH1591" s="63"/>
      <c r="AI1591" s="63"/>
      <c r="AJ1591" s="63"/>
      <c r="AK1591" s="63"/>
      <c r="AL1591" s="63"/>
      <c r="AM1591" s="63"/>
      <c r="AN1591" s="63"/>
      <c r="AO1591" s="63"/>
      <c r="AP1591" s="63"/>
      <c r="AQ1591" s="63"/>
      <c r="CA1591" s="256"/>
      <c r="CB1591" s="261"/>
      <c r="CC1591" s="255"/>
      <c r="CD1591" s="261"/>
      <c r="CE1591" s="261"/>
      <c r="CF1591" s="261"/>
      <c r="CG1591" s="261"/>
      <c r="CH1591" s="261"/>
      <c r="CI1591" s="255"/>
      <c r="CJ1591" s="255"/>
      <c r="CK1591" s="261"/>
      <c r="CL1591" s="255"/>
      <c r="CN1591" s="256"/>
      <c r="CO1591" s="256"/>
      <c r="CP1591" s="261"/>
      <c r="CQ1591" s="261"/>
      <c r="CR1591" s="255"/>
      <c r="CS1591" s="261"/>
      <c r="CT1591" s="261"/>
      <c r="CU1591" s="261"/>
      <c r="CV1591" s="261"/>
      <c r="CW1591" s="255"/>
      <c r="CX1591" s="261"/>
      <c r="CY1591" s="255"/>
    </row>
    <row r="1592" spans="1:103" ht="10.25" customHeight="1">
      <c r="A1592" s="270"/>
      <c r="D1592" s="372"/>
      <c r="E1592" s="372"/>
      <c r="F1592" s="272"/>
      <c r="G1592" s="272"/>
      <c r="H1592" s="272"/>
      <c r="I1592" s="273"/>
      <c r="J1592" s="273"/>
      <c r="K1592" s="273"/>
      <c r="L1592" s="275"/>
      <c r="M1592" s="269"/>
      <c r="N1592" s="269"/>
      <c r="O1592" s="63"/>
      <c r="P1592" s="63"/>
      <c r="Q1592" s="63"/>
      <c r="R1592" s="63"/>
      <c r="S1592" s="63"/>
      <c r="T1592" s="63"/>
      <c r="U1592" s="63"/>
      <c r="V1592" s="63"/>
      <c r="W1592" s="63"/>
      <c r="X1592" s="63"/>
      <c r="Y1592" s="63"/>
      <c r="Z1592" s="63"/>
      <c r="AA1592" s="63"/>
      <c r="AB1592" s="63"/>
      <c r="AC1592" s="63"/>
      <c r="AD1592" s="63"/>
      <c r="AE1592" s="63"/>
      <c r="AF1592" s="63"/>
      <c r="AG1592" s="63"/>
      <c r="AH1592" s="63"/>
      <c r="AI1592" s="63"/>
      <c r="AJ1592" s="63"/>
      <c r="AK1592" s="63"/>
      <c r="AL1592" s="63"/>
      <c r="AM1592" s="63"/>
      <c r="AN1592" s="63"/>
      <c r="AO1592" s="63"/>
      <c r="AP1592" s="63"/>
      <c r="AQ1592" s="63"/>
      <c r="CA1592" s="256"/>
      <c r="CB1592" s="261"/>
      <c r="CC1592" s="255"/>
      <c r="CD1592" s="261"/>
      <c r="CE1592" s="261"/>
      <c r="CF1592" s="261"/>
      <c r="CG1592" s="255"/>
      <c r="CH1592" s="255"/>
      <c r="CI1592" s="261"/>
      <c r="CJ1592" s="261"/>
      <c r="CK1592" s="261"/>
      <c r="CL1592" s="255"/>
      <c r="CN1592" s="256"/>
      <c r="CO1592" s="256"/>
      <c r="CP1592" s="261"/>
      <c r="CQ1592" s="261"/>
      <c r="CR1592" s="255"/>
      <c r="CS1592" s="261"/>
      <c r="CT1592" s="261"/>
      <c r="CU1592" s="261"/>
      <c r="CV1592" s="255"/>
      <c r="CW1592" s="261"/>
      <c r="CX1592" s="261"/>
      <c r="CY1592" s="255"/>
    </row>
    <row r="1593" spans="1:103" ht="10.25" customHeight="1">
      <c r="A1593" s="270"/>
      <c r="D1593" s="372"/>
      <c r="E1593" s="372"/>
      <c r="F1593" s="272"/>
      <c r="G1593" s="272"/>
      <c r="H1593" s="272"/>
      <c r="I1593" s="273"/>
      <c r="J1593" s="273"/>
      <c r="K1593" s="273"/>
      <c r="L1593" s="275"/>
      <c r="M1593" s="269"/>
      <c r="N1593" s="269"/>
      <c r="O1593" s="63"/>
      <c r="P1593" s="63"/>
      <c r="Q1593" s="63"/>
      <c r="R1593" s="63"/>
      <c r="S1593" s="63"/>
      <c r="T1593" s="63"/>
      <c r="U1593" s="63"/>
      <c r="V1593" s="63"/>
      <c r="W1593" s="63"/>
      <c r="X1593" s="63"/>
      <c r="Y1593" s="63"/>
      <c r="Z1593" s="63"/>
      <c r="AA1593" s="63"/>
      <c r="AB1593" s="63"/>
      <c r="AC1593" s="63"/>
      <c r="AD1593" s="63"/>
      <c r="AE1593" s="63"/>
      <c r="AF1593" s="63"/>
      <c r="AG1593" s="63"/>
      <c r="AH1593" s="63"/>
      <c r="AI1593" s="63"/>
      <c r="AJ1593" s="63"/>
      <c r="AK1593" s="63"/>
      <c r="AL1593" s="63"/>
      <c r="AM1593" s="63"/>
      <c r="AN1593" s="63"/>
      <c r="AO1593" s="63"/>
      <c r="AP1593" s="63"/>
      <c r="AQ1593" s="63"/>
      <c r="CA1593" s="256"/>
      <c r="CB1593" s="261"/>
      <c r="CC1593" s="255"/>
      <c r="CD1593" s="261"/>
      <c r="CE1593" s="261"/>
      <c r="CF1593" s="261"/>
      <c r="CG1593" s="255"/>
      <c r="CH1593" s="255"/>
      <c r="CI1593" s="261"/>
      <c r="CJ1593" s="261"/>
      <c r="CK1593" s="261"/>
      <c r="CL1593" s="255"/>
      <c r="CN1593" s="256"/>
      <c r="CO1593" s="256"/>
      <c r="CP1593" s="261"/>
      <c r="CQ1593" s="261"/>
      <c r="CR1593" s="255"/>
      <c r="CS1593" s="261"/>
      <c r="CT1593" s="261"/>
      <c r="CU1593" s="261"/>
      <c r="CV1593" s="255"/>
      <c r="CW1593" s="261"/>
      <c r="CX1593" s="261"/>
      <c r="CY1593" s="255"/>
    </row>
    <row r="1594" spans="1:103" ht="10.25" customHeight="1">
      <c r="A1594" s="270"/>
      <c r="D1594" s="372"/>
      <c r="E1594" s="372"/>
      <c r="F1594" s="272"/>
      <c r="G1594" s="272"/>
      <c r="H1594" s="272"/>
      <c r="I1594" s="375"/>
      <c r="J1594" s="375"/>
      <c r="K1594" s="375"/>
      <c r="L1594" s="375"/>
      <c r="M1594" s="269"/>
      <c r="N1594" s="269"/>
      <c r="O1594" s="63"/>
      <c r="P1594" s="63"/>
      <c r="Q1594" s="63"/>
      <c r="R1594" s="63"/>
      <c r="S1594" s="63"/>
      <c r="T1594" s="63"/>
      <c r="U1594" s="63"/>
      <c r="V1594" s="63"/>
      <c r="W1594" s="63"/>
      <c r="X1594" s="63"/>
      <c r="Y1594" s="63"/>
      <c r="Z1594" s="63"/>
      <c r="AA1594" s="63"/>
      <c r="AB1594" s="63"/>
      <c r="AC1594" s="63"/>
      <c r="AD1594" s="63"/>
      <c r="AE1594" s="63"/>
      <c r="AF1594" s="63"/>
      <c r="AG1594" s="63"/>
      <c r="AH1594" s="63"/>
      <c r="AI1594" s="63"/>
      <c r="AJ1594" s="63"/>
      <c r="AK1594" s="63"/>
      <c r="AL1594" s="63"/>
      <c r="AM1594" s="63"/>
      <c r="AN1594" s="63"/>
      <c r="AO1594" s="63"/>
      <c r="AP1594" s="63"/>
      <c r="AQ1594" s="63"/>
      <c r="CA1594" s="256"/>
      <c r="CB1594" s="261"/>
      <c r="CC1594" s="255"/>
      <c r="CD1594" s="261"/>
      <c r="CE1594" s="261"/>
      <c r="CF1594" s="261"/>
      <c r="CG1594" s="261"/>
      <c r="CH1594" s="261"/>
      <c r="CI1594" s="261"/>
      <c r="CJ1594" s="261"/>
      <c r="CK1594" s="261"/>
      <c r="CL1594" s="255"/>
      <c r="CN1594" s="256"/>
      <c r="CO1594" s="256"/>
      <c r="CP1594" s="261"/>
      <c r="CQ1594" s="261"/>
      <c r="CR1594" s="255"/>
      <c r="CS1594" s="261"/>
      <c r="CT1594" s="261"/>
      <c r="CU1594" s="261"/>
      <c r="CV1594" s="261"/>
      <c r="CW1594" s="261"/>
      <c r="CX1594" s="261"/>
      <c r="CY1594" s="255"/>
    </row>
    <row r="1595" spans="1:103" ht="10.25" customHeight="1">
      <c r="A1595" s="270"/>
      <c r="D1595" s="372"/>
      <c r="E1595" s="372"/>
      <c r="H1595" s="209"/>
      <c r="I1595" s="213"/>
      <c r="J1595" s="213"/>
      <c r="K1595" s="213"/>
      <c r="L1595" s="213"/>
      <c r="M1595" s="213"/>
      <c r="N1595" s="213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CA1595" s="256"/>
      <c r="CB1595" s="261"/>
      <c r="CC1595" s="255"/>
      <c r="CD1595" s="261"/>
      <c r="CE1595" s="261"/>
      <c r="CF1595" s="261"/>
      <c r="CG1595" s="261"/>
      <c r="CH1595" s="261"/>
      <c r="CI1595" s="261"/>
      <c r="CJ1595" s="261"/>
      <c r="CK1595" s="261"/>
      <c r="CL1595" s="255"/>
      <c r="CN1595" s="256"/>
      <c r="CO1595" s="256"/>
      <c r="CP1595" s="261"/>
      <c r="CQ1595" s="261"/>
      <c r="CR1595" s="255"/>
      <c r="CS1595" s="261"/>
      <c r="CT1595" s="261"/>
      <c r="CU1595" s="261"/>
      <c r="CV1595" s="261"/>
      <c r="CW1595" s="261"/>
      <c r="CX1595" s="261"/>
      <c r="CY1595" s="255"/>
    </row>
    <row r="1596" spans="1:103" ht="10.25" customHeight="1">
      <c r="A1596" s="270"/>
      <c r="C1596" s="269"/>
      <c r="D1596" s="275"/>
      <c r="E1596" s="275"/>
      <c r="F1596" s="209"/>
      <c r="G1596" s="209"/>
      <c r="H1596" s="209"/>
      <c r="I1596" s="209"/>
      <c r="J1596" s="209"/>
      <c r="K1596" s="209"/>
      <c r="L1596" s="376"/>
      <c r="M1596" s="376"/>
      <c r="N1596" s="279"/>
      <c r="O1596" s="51"/>
      <c r="P1596" s="51"/>
      <c r="Q1596" s="51"/>
      <c r="R1596" s="51"/>
      <c r="S1596" s="51"/>
      <c r="T1596" s="51"/>
      <c r="U1596" s="51"/>
      <c r="V1596" s="51"/>
      <c r="W1596" s="51"/>
      <c r="X1596" s="51"/>
      <c r="Y1596" s="51"/>
      <c r="Z1596" s="51"/>
      <c r="AA1596" s="51"/>
      <c r="AB1596" s="51"/>
      <c r="AC1596" s="51"/>
      <c r="AD1596" s="51"/>
      <c r="AE1596" s="51"/>
      <c r="AF1596" s="51"/>
      <c r="AG1596" s="51"/>
      <c r="AH1596" s="51"/>
      <c r="AI1596" s="51"/>
      <c r="AJ1596" s="51"/>
      <c r="AK1596" s="51"/>
      <c r="AL1596" s="51"/>
      <c r="AM1596" s="51"/>
      <c r="AN1596" s="51"/>
      <c r="AO1596" s="51"/>
      <c r="AP1596" s="51"/>
      <c r="AQ1596" s="51"/>
      <c r="CA1596" s="256"/>
      <c r="CB1596" s="261"/>
      <c r="CC1596" s="255"/>
      <c r="CD1596" s="261"/>
      <c r="CE1596" s="261"/>
      <c r="CF1596" s="261"/>
      <c r="CG1596" s="261"/>
      <c r="CH1596" s="261"/>
      <c r="CI1596" s="261"/>
      <c r="CJ1596" s="261"/>
      <c r="CK1596" s="261"/>
      <c r="CL1596" s="255"/>
      <c r="CN1596" s="256"/>
      <c r="CO1596" s="256"/>
      <c r="CP1596" s="261"/>
      <c r="CQ1596" s="261"/>
      <c r="CR1596" s="255"/>
      <c r="CS1596" s="261"/>
      <c r="CT1596" s="261"/>
      <c r="CU1596" s="261"/>
      <c r="CV1596" s="261"/>
      <c r="CW1596" s="261"/>
      <c r="CX1596" s="261"/>
      <c r="CY1596" s="255"/>
    </row>
    <row r="1597" spans="1:103" ht="10.25" customHeight="1">
      <c r="A1597" s="270"/>
      <c r="C1597" s="269"/>
      <c r="D1597" s="269"/>
      <c r="F1597" s="209"/>
      <c r="G1597" s="209"/>
      <c r="H1597" s="276"/>
      <c r="I1597" s="276"/>
      <c r="J1597" s="276"/>
      <c r="K1597" s="276"/>
      <c r="L1597" s="374"/>
      <c r="M1597" s="374"/>
      <c r="N1597" s="213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CA1597" s="256"/>
      <c r="CB1597" s="261"/>
      <c r="CC1597" s="255"/>
      <c r="CD1597" s="261"/>
      <c r="CE1597" s="261"/>
      <c r="CF1597" s="261"/>
      <c r="CG1597" s="261"/>
      <c r="CH1597" s="261"/>
      <c r="CI1597" s="261"/>
      <c r="CJ1597" s="261"/>
      <c r="CK1597" s="261"/>
      <c r="CL1597" s="255"/>
      <c r="CN1597" s="256"/>
      <c r="CO1597" s="256"/>
      <c r="CP1597" s="261"/>
      <c r="CQ1597" s="261"/>
      <c r="CR1597" s="255"/>
      <c r="CS1597" s="261"/>
      <c r="CT1597" s="261"/>
      <c r="CU1597" s="261"/>
      <c r="CV1597" s="261"/>
      <c r="CW1597" s="261"/>
      <c r="CX1597" s="261"/>
      <c r="CY1597" s="255"/>
    </row>
    <row r="1598" spans="1:103" ht="10.25" customHeight="1">
      <c r="A1598" s="270"/>
      <c r="D1598" s="269"/>
      <c r="F1598" s="208"/>
      <c r="G1598" s="208"/>
      <c r="H1598" s="277"/>
      <c r="I1598" s="277"/>
      <c r="J1598" s="277"/>
      <c r="K1598" s="277"/>
      <c r="L1598" s="372"/>
      <c r="M1598" s="372"/>
      <c r="N1598" s="214"/>
      <c r="O1598" s="41"/>
      <c r="P1598" s="41"/>
      <c r="Q1598" s="41"/>
      <c r="R1598" s="41"/>
      <c r="S1598" s="41"/>
      <c r="T1598" s="41"/>
      <c r="U1598" s="41"/>
      <c r="V1598" s="41"/>
      <c r="W1598" s="41"/>
      <c r="X1598" s="41"/>
      <c r="Y1598" s="41"/>
      <c r="Z1598" s="41"/>
      <c r="AA1598" s="41"/>
      <c r="AB1598" s="41"/>
      <c r="AC1598" s="41"/>
      <c r="AD1598" s="41"/>
      <c r="AE1598" s="41"/>
      <c r="AF1598" s="41"/>
      <c r="AG1598" s="41"/>
      <c r="AH1598" s="41"/>
      <c r="AI1598" s="41"/>
      <c r="AJ1598" s="41"/>
      <c r="AK1598" s="41"/>
      <c r="AL1598" s="41"/>
      <c r="AM1598" s="41"/>
      <c r="AN1598" s="41"/>
      <c r="AO1598" s="41"/>
      <c r="AP1598" s="41"/>
      <c r="AQ1598" s="41"/>
      <c r="CA1598" s="256"/>
      <c r="CB1598" s="261"/>
      <c r="CC1598" s="255"/>
      <c r="CD1598" s="261"/>
      <c r="CE1598" s="261"/>
      <c r="CF1598" s="261"/>
      <c r="CG1598" s="261"/>
      <c r="CH1598" s="261"/>
      <c r="CI1598" s="261"/>
      <c r="CJ1598" s="261"/>
      <c r="CK1598" s="261"/>
      <c r="CL1598" s="255"/>
      <c r="CN1598" s="256"/>
      <c r="CO1598" s="256"/>
      <c r="CP1598" s="261"/>
      <c r="CQ1598" s="261"/>
      <c r="CR1598" s="255"/>
      <c r="CS1598" s="261"/>
      <c r="CT1598" s="261"/>
      <c r="CU1598" s="261"/>
      <c r="CV1598" s="261"/>
      <c r="CW1598" s="261"/>
      <c r="CX1598" s="261"/>
      <c r="CY1598" s="255"/>
    </row>
    <row r="1599" spans="1:103" ht="10.25" customHeight="1">
      <c r="CA1599" s="256"/>
      <c r="CB1599" s="261"/>
      <c r="CC1599" s="255"/>
      <c r="CD1599" s="261"/>
      <c r="CE1599" s="261"/>
      <c r="CF1599" s="255"/>
      <c r="CG1599" s="261"/>
      <c r="CH1599" s="261"/>
      <c r="CI1599" s="261"/>
      <c r="CJ1599" s="261"/>
      <c r="CK1599" s="261"/>
      <c r="CL1599" s="255"/>
      <c r="CN1599" s="256"/>
      <c r="CO1599" s="256"/>
      <c r="CP1599" s="261"/>
      <c r="CQ1599" s="261"/>
      <c r="CR1599" s="255"/>
      <c r="CS1599" s="261"/>
      <c r="CT1599" s="261"/>
      <c r="CU1599" s="255"/>
      <c r="CV1599" s="261"/>
      <c r="CW1599" s="261"/>
      <c r="CX1599" s="261"/>
      <c r="CY1599" s="255"/>
    </row>
    <row r="1600" spans="1:103" ht="10.25" customHeight="1">
      <c r="C1600" s="278"/>
      <c r="CA1600" s="256"/>
      <c r="CB1600" s="261"/>
      <c r="CC1600" s="255"/>
      <c r="CD1600" s="261"/>
      <c r="CE1600" s="261"/>
      <c r="CF1600" s="255"/>
      <c r="CG1600" s="261"/>
      <c r="CH1600" s="261"/>
      <c r="CI1600" s="261"/>
      <c r="CJ1600" s="261"/>
      <c r="CK1600" s="261"/>
      <c r="CL1600" s="255"/>
      <c r="CN1600" s="256"/>
      <c r="CO1600" s="256"/>
      <c r="CP1600" s="261"/>
      <c r="CQ1600" s="261"/>
      <c r="CR1600" s="255"/>
      <c r="CS1600" s="261"/>
      <c r="CT1600" s="261"/>
      <c r="CU1600" s="255"/>
      <c r="CV1600" s="261"/>
      <c r="CW1600" s="261"/>
      <c r="CX1600" s="261"/>
      <c r="CY1600" s="255"/>
    </row>
    <row r="1601" spans="1:103" ht="10.25" customHeight="1">
      <c r="C1601" s="278"/>
      <c r="F1601" s="377"/>
      <c r="G1601" s="377"/>
      <c r="H1601" s="377"/>
      <c r="I1601" s="377"/>
      <c r="J1601" s="377"/>
      <c r="K1601" s="377"/>
      <c r="L1601" s="377"/>
      <c r="M1601" s="377"/>
      <c r="N1601" s="269"/>
      <c r="O1601" s="63"/>
      <c r="P1601" s="63"/>
      <c r="Q1601" s="63"/>
      <c r="R1601" s="63"/>
      <c r="S1601" s="63"/>
      <c r="T1601" s="63"/>
      <c r="U1601" s="63"/>
      <c r="V1601" s="63"/>
      <c r="W1601" s="63"/>
      <c r="X1601" s="63"/>
      <c r="Y1601" s="63"/>
      <c r="Z1601" s="63"/>
      <c r="AA1601" s="63"/>
      <c r="AB1601" s="63"/>
      <c r="AC1601" s="63"/>
      <c r="AD1601" s="63"/>
      <c r="AE1601" s="63"/>
      <c r="AF1601" s="63"/>
      <c r="AG1601" s="63"/>
      <c r="AH1601" s="63"/>
      <c r="AI1601" s="63"/>
      <c r="AJ1601" s="63"/>
      <c r="AK1601" s="63"/>
      <c r="AL1601" s="63"/>
      <c r="AM1601" s="63"/>
      <c r="AN1601" s="63"/>
      <c r="AO1601" s="63"/>
      <c r="AP1601" s="63"/>
      <c r="AQ1601" s="63"/>
      <c r="CA1601" s="256"/>
      <c r="CB1601" s="261"/>
      <c r="CC1601" s="255"/>
      <c r="CD1601" s="261"/>
      <c r="CE1601" s="261"/>
      <c r="CF1601" s="255"/>
      <c r="CG1601" s="261"/>
      <c r="CH1601" s="261"/>
      <c r="CI1601" s="261"/>
      <c r="CJ1601" s="261"/>
      <c r="CK1601" s="261"/>
      <c r="CL1601" s="255"/>
      <c r="CN1601" s="256"/>
      <c r="CO1601" s="256"/>
      <c r="CP1601" s="261"/>
      <c r="CQ1601" s="261"/>
      <c r="CR1601" s="255"/>
      <c r="CS1601" s="261"/>
      <c r="CT1601" s="261"/>
      <c r="CU1601" s="255"/>
      <c r="CV1601" s="261"/>
      <c r="CW1601" s="261"/>
      <c r="CX1601" s="261"/>
      <c r="CY1601" s="255"/>
    </row>
    <row r="1602" spans="1:103" ht="10.4" customHeight="1">
      <c r="C1602" s="278"/>
      <c r="F1602" s="377"/>
      <c r="G1602" s="377"/>
      <c r="H1602" s="377"/>
      <c r="I1602" s="377"/>
      <c r="J1602" s="377"/>
      <c r="K1602" s="377"/>
      <c r="L1602" s="377"/>
      <c r="M1602" s="377"/>
      <c r="N1602" s="269"/>
      <c r="O1602" s="63"/>
      <c r="P1602" s="63"/>
      <c r="Q1602" s="63"/>
      <c r="R1602" s="63"/>
      <c r="S1602" s="63"/>
      <c r="T1602" s="63"/>
      <c r="U1602" s="63"/>
      <c r="V1602" s="63"/>
      <c r="W1602" s="63"/>
      <c r="X1602" s="63"/>
      <c r="Y1602" s="63"/>
      <c r="Z1602" s="63"/>
      <c r="AA1602" s="63"/>
      <c r="AB1602" s="63"/>
      <c r="AC1602" s="63"/>
      <c r="AD1602" s="63"/>
      <c r="AE1602" s="63"/>
      <c r="AF1602" s="63"/>
      <c r="AG1602" s="63"/>
      <c r="AH1602" s="63"/>
      <c r="AI1602" s="63"/>
      <c r="AJ1602" s="63"/>
      <c r="AK1602" s="63"/>
      <c r="AL1602" s="63"/>
      <c r="AM1602" s="63"/>
      <c r="AN1602" s="63"/>
      <c r="AO1602" s="63"/>
      <c r="AP1602" s="63"/>
      <c r="AQ1602" s="63"/>
      <c r="AS1602" s="236"/>
      <c r="BE1602" s="63"/>
      <c r="BF1602" s="63"/>
      <c r="BG1602" s="63"/>
      <c r="BK1602" s="317"/>
      <c r="BL1602" s="5"/>
      <c r="BM1602" s="5"/>
      <c r="BN1602" s="5"/>
      <c r="BO1602" s="5"/>
      <c r="BP1602" s="5"/>
      <c r="BQ1602" s="5"/>
      <c r="BR1602" s="5"/>
      <c r="BS1602" s="5"/>
      <c r="BT1602" s="5"/>
      <c r="BV1602" s="317"/>
      <c r="CF1602" s="5"/>
      <c r="CG1602" s="5"/>
      <c r="CH1602" s="5"/>
      <c r="CI1602" s="5"/>
      <c r="CJ1602" s="5"/>
      <c r="CK1602" s="5"/>
      <c r="CL1602" s="5"/>
    </row>
    <row r="1603" spans="1:103" ht="10.25" customHeight="1">
      <c r="A1603" s="377"/>
      <c r="B1603" s="377"/>
      <c r="C1603" s="377"/>
      <c r="D1603" s="377"/>
      <c r="E1603" s="377"/>
      <c r="F1603" s="377"/>
      <c r="G1603" s="377"/>
      <c r="H1603" s="377"/>
      <c r="I1603" s="377"/>
      <c r="J1603" s="377"/>
      <c r="K1603" s="377"/>
      <c r="L1603" s="377"/>
      <c r="M1603" s="377"/>
      <c r="N1603" s="269"/>
      <c r="O1603" s="63"/>
      <c r="P1603" s="63"/>
      <c r="Q1603" s="63"/>
      <c r="R1603" s="63"/>
      <c r="S1603" s="63"/>
      <c r="T1603" s="63"/>
      <c r="U1603" s="63"/>
      <c r="V1603" s="63"/>
      <c r="W1603" s="63"/>
      <c r="X1603" s="63"/>
      <c r="Y1603" s="63"/>
      <c r="Z1603" s="63"/>
      <c r="AA1603" s="63"/>
      <c r="AB1603" s="63"/>
      <c r="AC1603" s="63"/>
      <c r="AD1603" s="63"/>
      <c r="AE1603" s="63"/>
      <c r="AF1603" s="63"/>
      <c r="AG1603" s="63"/>
      <c r="AH1603" s="63"/>
      <c r="AI1603" s="63"/>
      <c r="AJ1603" s="63"/>
      <c r="AK1603" s="63"/>
      <c r="AL1603" s="63"/>
      <c r="AM1603" s="63"/>
      <c r="AN1603" s="63"/>
      <c r="AO1603" s="63"/>
      <c r="AP1603" s="63"/>
      <c r="AQ1603" s="63"/>
      <c r="BE1603" s="63"/>
      <c r="BF1603" s="63"/>
      <c r="BG1603" s="63"/>
      <c r="BK1603" s="317"/>
      <c r="BL1603" s="5"/>
      <c r="BM1603" s="5"/>
      <c r="BN1603" s="5"/>
      <c r="BO1603" s="5"/>
      <c r="BP1603" s="5"/>
      <c r="BQ1603" s="5"/>
      <c r="BR1603" s="5"/>
      <c r="BS1603" s="5"/>
      <c r="BT1603" s="5"/>
      <c r="BV1603" s="317"/>
      <c r="CF1603" s="5"/>
      <c r="CG1603" s="5"/>
      <c r="CH1603" s="5"/>
      <c r="CI1603" s="5"/>
      <c r="CJ1603" s="5"/>
      <c r="CK1603" s="5"/>
      <c r="CL1603" s="5"/>
    </row>
    <row r="1604" spans="1:103" ht="10.25" customHeight="1">
      <c r="A1604" s="376"/>
      <c r="B1604" s="376"/>
      <c r="C1604" s="376"/>
      <c r="D1604" s="376"/>
      <c r="E1604" s="376"/>
      <c r="F1604" s="376"/>
      <c r="G1604" s="376"/>
      <c r="H1604" s="376"/>
      <c r="I1604" s="376"/>
      <c r="J1604" s="376"/>
      <c r="K1604" s="376"/>
      <c r="L1604" s="376"/>
      <c r="M1604" s="376"/>
      <c r="N1604" s="279"/>
      <c r="O1604" s="51"/>
      <c r="P1604" s="51"/>
      <c r="Q1604" s="51"/>
      <c r="R1604" s="51"/>
      <c r="S1604" s="51"/>
      <c r="T1604" s="51"/>
      <c r="U1604" s="51"/>
      <c r="V1604" s="51"/>
      <c r="W1604" s="51"/>
      <c r="X1604" s="51"/>
      <c r="Y1604" s="51"/>
      <c r="Z1604" s="51"/>
      <c r="AA1604" s="51"/>
      <c r="AB1604" s="51"/>
      <c r="AC1604" s="51"/>
      <c r="AD1604" s="51"/>
      <c r="AE1604" s="51"/>
      <c r="AF1604" s="51"/>
      <c r="AG1604" s="51"/>
      <c r="AH1604" s="51"/>
      <c r="AI1604" s="51"/>
      <c r="AJ1604" s="51"/>
      <c r="AK1604" s="51"/>
      <c r="AL1604" s="51"/>
      <c r="AM1604" s="51"/>
      <c r="AN1604" s="51"/>
      <c r="AO1604" s="51"/>
      <c r="AP1604" s="51"/>
      <c r="AQ1604" s="51"/>
      <c r="BE1604" s="63"/>
      <c r="BF1604" s="63"/>
      <c r="BG1604" s="63"/>
      <c r="BK1604" s="317"/>
      <c r="BL1604" s="5"/>
      <c r="BM1604" s="5"/>
      <c r="BN1604" s="5"/>
      <c r="BO1604" s="5"/>
      <c r="BP1604" s="5"/>
      <c r="BQ1604" s="5"/>
      <c r="BR1604" s="5"/>
      <c r="BS1604" s="5"/>
      <c r="BT1604" s="5"/>
      <c r="BV1604" s="317"/>
      <c r="CF1604" s="5"/>
      <c r="CG1604" s="5"/>
      <c r="CH1604" s="5"/>
      <c r="CI1604" s="5"/>
      <c r="CJ1604" s="5"/>
      <c r="CK1604" s="5"/>
      <c r="CL1604" s="5"/>
    </row>
    <row r="1605" spans="1:103" ht="10.25" customHeight="1">
      <c r="A1605" s="374"/>
      <c r="B1605" s="374"/>
      <c r="C1605" s="374"/>
      <c r="D1605" s="374"/>
      <c r="E1605" s="374"/>
      <c r="F1605" s="374"/>
      <c r="G1605" s="374"/>
      <c r="H1605" s="374"/>
      <c r="I1605" s="374"/>
      <c r="J1605" s="374"/>
      <c r="K1605" s="374"/>
      <c r="L1605" s="374"/>
      <c r="M1605" s="374"/>
      <c r="N1605" s="213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  <c r="BE1605" s="63"/>
      <c r="BF1605" s="63"/>
      <c r="BG1605" s="63"/>
      <c r="BK1605" s="317"/>
      <c r="BL1605" s="5"/>
      <c r="BM1605" s="5"/>
      <c r="BN1605" s="5"/>
      <c r="BO1605" s="5"/>
      <c r="BP1605" s="5"/>
      <c r="BQ1605" s="5"/>
      <c r="BR1605" s="5"/>
      <c r="BS1605" s="5"/>
      <c r="BT1605" s="5"/>
      <c r="BV1605" s="317"/>
      <c r="CF1605" s="5"/>
      <c r="CG1605" s="5"/>
      <c r="CH1605" s="5"/>
      <c r="CI1605" s="5"/>
      <c r="CJ1605" s="5"/>
      <c r="CK1605" s="5"/>
      <c r="CL1605" s="5"/>
    </row>
    <row r="1606" spans="1:103" ht="6" customHeight="1">
      <c r="A1606" s="208"/>
      <c r="B1606" s="209"/>
      <c r="C1606" s="209"/>
      <c r="D1606" s="209"/>
      <c r="E1606" s="209"/>
      <c r="F1606" s="280"/>
      <c r="G1606" s="280"/>
      <c r="H1606" s="280"/>
      <c r="I1606" s="280"/>
      <c r="J1606" s="280"/>
      <c r="K1606" s="280"/>
      <c r="L1606" s="280"/>
      <c r="M1606" s="280"/>
      <c r="N1606" s="280"/>
      <c r="O1606" s="42"/>
      <c r="P1606" s="42"/>
      <c r="Q1606" s="42"/>
      <c r="R1606" s="42"/>
      <c r="S1606" s="42"/>
      <c r="T1606" s="42"/>
      <c r="U1606" s="42"/>
      <c r="V1606" s="42"/>
      <c r="W1606" s="42"/>
      <c r="X1606" s="42"/>
      <c r="Y1606" s="42"/>
      <c r="Z1606" s="42"/>
      <c r="AA1606" s="42"/>
      <c r="AB1606" s="42"/>
      <c r="AC1606" s="42"/>
      <c r="AD1606" s="42"/>
      <c r="AE1606" s="42"/>
      <c r="AF1606" s="42"/>
      <c r="AG1606" s="42"/>
      <c r="AH1606" s="42"/>
      <c r="AI1606" s="42"/>
      <c r="AJ1606" s="42"/>
      <c r="AK1606" s="42"/>
      <c r="AL1606" s="42"/>
      <c r="AM1606" s="42"/>
      <c r="AN1606" s="42"/>
      <c r="AO1606" s="42"/>
      <c r="AP1606" s="42"/>
      <c r="AQ1606" s="42"/>
      <c r="BK1606" s="317"/>
      <c r="BL1606" s="5"/>
      <c r="BM1606" s="5"/>
      <c r="BN1606" s="5"/>
      <c r="BO1606" s="5"/>
      <c r="BP1606" s="5"/>
      <c r="BQ1606" s="5"/>
      <c r="BR1606" s="5"/>
      <c r="BS1606" s="5"/>
      <c r="BT1606" s="5"/>
      <c r="BV1606" s="317"/>
      <c r="CF1606" s="5"/>
      <c r="CG1606" s="5"/>
      <c r="CH1606" s="5"/>
      <c r="CI1606" s="5"/>
      <c r="CJ1606" s="5"/>
      <c r="CK1606" s="5"/>
      <c r="CL1606" s="5"/>
    </row>
    <row r="1607" spans="1:103" ht="10.25" customHeight="1">
      <c r="A1607" s="208"/>
      <c r="B1607" s="209"/>
      <c r="C1607" s="209"/>
      <c r="D1607" s="210"/>
      <c r="E1607" s="211"/>
      <c r="F1607" s="369"/>
      <c r="G1607" s="369"/>
      <c r="H1607" s="369"/>
      <c r="I1607" s="369"/>
      <c r="J1607" s="369"/>
      <c r="K1607" s="369"/>
      <c r="L1607" s="369"/>
      <c r="M1607" s="230"/>
      <c r="N1607" s="230"/>
      <c r="O1607" s="235"/>
      <c r="P1607" s="235"/>
      <c r="Q1607" s="235"/>
      <c r="R1607" s="235"/>
      <c r="S1607" s="235"/>
      <c r="T1607" s="235"/>
      <c r="U1607" s="235"/>
      <c r="V1607" s="235"/>
      <c r="W1607" s="235"/>
      <c r="X1607" s="235"/>
      <c r="Y1607" s="235"/>
      <c r="Z1607" s="235"/>
      <c r="AA1607" s="235"/>
      <c r="AB1607" s="235"/>
      <c r="AC1607" s="235"/>
      <c r="AD1607" s="235"/>
      <c r="AE1607" s="235"/>
      <c r="AF1607" s="235"/>
      <c r="AG1607" s="235"/>
      <c r="AH1607" s="235"/>
      <c r="AI1607" s="235"/>
      <c r="AJ1607" s="235"/>
      <c r="AK1607" s="235"/>
      <c r="AL1607" s="235"/>
      <c r="AM1607" s="235"/>
      <c r="AN1607" s="235"/>
      <c r="AO1607" s="235"/>
      <c r="AP1607" s="235"/>
      <c r="AQ1607" s="235"/>
      <c r="BK1607" s="317"/>
      <c r="BL1607" s="5"/>
      <c r="BM1607" s="5"/>
      <c r="BN1607" s="5"/>
      <c r="BO1607" s="5"/>
      <c r="BP1607" s="5"/>
      <c r="BQ1607" s="5"/>
      <c r="BR1607" s="5"/>
      <c r="BS1607" s="5"/>
      <c r="BT1607" s="5"/>
      <c r="BV1607" s="317"/>
      <c r="CF1607" s="5"/>
      <c r="CG1607" s="5"/>
      <c r="CH1607" s="5"/>
      <c r="CI1607" s="5"/>
      <c r="CJ1607" s="5"/>
      <c r="CK1607" s="5"/>
      <c r="CL1607" s="5"/>
    </row>
    <row r="1608" spans="1:103" ht="2" customHeight="1">
      <c r="A1608" s="209"/>
      <c r="B1608" s="209"/>
      <c r="C1608" s="212"/>
      <c r="D1608" s="213"/>
      <c r="E1608" s="209"/>
      <c r="F1608" s="209"/>
      <c r="G1608" s="209"/>
      <c r="H1608" s="209"/>
      <c r="I1608" s="209"/>
      <c r="J1608" s="209"/>
      <c r="K1608" s="209"/>
      <c r="L1608" s="209"/>
      <c r="M1608" s="209"/>
      <c r="N1608" s="209"/>
      <c r="O1608" s="46"/>
      <c r="P1608" s="46"/>
      <c r="Q1608" s="46"/>
      <c r="R1608" s="46"/>
      <c r="S1608" s="46"/>
      <c r="T1608" s="46"/>
      <c r="U1608" s="46"/>
      <c r="V1608" s="46"/>
      <c r="W1608" s="46"/>
      <c r="X1608" s="46"/>
      <c r="Y1608" s="46"/>
      <c r="Z1608" s="46"/>
      <c r="AA1608" s="46"/>
      <c r="AB1608" s="46"/>
      <c r="AC1608" s="46"/>
      <c r="AD1608" s="46"/>
      <c r="AE1608" s="46"/>
      <c r="AF1608" s="46"/>
      <c r="AG1608" s="46"/>
      <c r="AH1608" s="46"/>
      <c r="AI1608" s="46"/>
      <c r="AJ1608" s="46"/>
      <c r="AK1608" s="46"/>
      <c r="AL1608" s="46"/>
      <c r="AM1608" s="46"/>
      <c r="AN1608" s="46"/>
      <c r="AO1608" s="46"/>
      <c r="AP1608" s="46"/>
      <c r="AQ1608" s="46"/>
      <c r="BK1608" s="317"/>
      <c r="BL1608" s="5"/>
      <c r="BM1608" s="5"/>
      <c r="BN1608" s="5"/>
      <c r="BO1608" s="5"/>
      <c r="BP1608" s="5"/>
      <c r="BQ1608" s="5"/>
      <c r="BR1608" s="5"/>
      <c r="BS1608" s="5"/>
      <c r="BT1608" s="5"/>
      <c r="BV1608" s="317"/>
      <c r="CF1608" s="5"/>
      <c r="CG1608" s="5"/>
      <c r="CH1608" s="5"/>
      <c r="CI1608" s="5"/>
      <c r="CJ1608" s="5"/>
      <c r="CK1608" s="5"/>
      <c r="CL1608" s="5"/>
    </row>
    <row r="1609" spans="1:103" ht="26.4" customHeight="1">
      <c r="A1609" s="374"/>
      <c r="B1609" s="374"/>
      <c r="C1609" s="374"/>
      <c r="D1609" s="372"/>
      <c r="E1609" s="373"/>
      <c r="F1609" s="370"/>
      <c r="G1609" s="215"/>
      <c r="H1609" s="373"/>
      <c r="I1609" s="370"/>
      <c r="J1609" s="370"/>
      <c r="K1609" s="370"/>
      <c r="L1609" s="373"/>
      <c r="M1609" s="374"/>
      <c r="N1609" s="213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  <c r="BK1609" s="317"/>
      <c r="BL1609" s="5"/>
      <c r="BM1609" s="5"/>
      <c r="BN1609" s="5"/>
      <c r="BO1609" s="5"/>
      <c r="BP1609" s="5"/>
      <c r="BQ1609" s="5"/>
      <c r="BR1609" s="5"/>
      <c r="BS1609" s="5"/>
      <c r="BT1609" s="5"/>
      <c r="BV1609" s="317"/>
      <c r="CF1609" s="5"/>
      <c r="CG1609" s="5"/>
      <c r="CH1609" s="5"/>
      <c r="CI1609" s="5"/>
      <c r="CJ1609" s="5"/>
      <c r="CK1609" s="5"/>
      <c r="CL1609" s="5"/>
    </row>
    <row r="1610" spans="1:103" ht="9.65" customHeight="1">
      <c r="A1610" s="374"/>
      <c r="B1610" s="374"/>
      <c r="C1610" s="374"/>
      <c r="D1610" s="372"/>
      <c r="E1610" s="373"/>
      <c r="F1610" s="370"/>
      <c r="G1610" s="215"/>
      <c r="H1610" s="373"/>
      <c r="I1610" s="233"/>
      <c r="J1610" s="233"/>
      <c r="K1610" s="233"/>
      <c r="L1610" s="373"/>
      <c r="M1610" s="374"/>
      <c r="N1610" s="213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  <c r="AP1610" s="5"/>
      <c r="AQ1610" s="5"/>
      <c r="BK1610" s="317"/>
      <c r="BL1610" s="5"/>
      <c r="BM1610" s="5"/>
      <c r="BN1610" s="5"/>
      <c r="BO1610" s="5"/>
      <c r="BP1610" s="5"/>
      <c r="BQ1610" s="5"/>
      <c r="BR1610" s="5"/>
      <c r="BS1610" s="5"/>
      <c r="BT1610" s="5"/>
      <c r="BV1610" s="317"/>
      <c r="CF1610" s="5"/>
      <c r="CG1610" s="5"/>
      <c r="CH1610" s="5"/>
      <c r="CI1610" s="5"/>
      <c r="CJ1610" s="5"/>
      <c r="CK1610" s="5"/>
      <c r="CL1610" s="5"/>
    </row>
    <row r="1611" spans="1:103" ht="10.25" customHeight="1">
      <c r="A1611" s="216"/>
      <c r="B1611" s="217"/>
      <c r="C1611" s="218"/>
      <c r="D1611" s="219"/>
      <c r="E1611" s="217"/>
      <c r="F1611" s="217"/>
      <c r="G1611" s="217"/>
      <c r="H1611" s="220"/>
      <c r="I1611" s="217"/>
      <c r="J1611" s="217"/>
      <c r="K1611" s="217"/>
      <c r="L1611" s="217"/>
      <c r="M1611" s="217"/>
      <c r="N1611" s="217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BA1611" s="5"/>
      <c r="BB1611" s="5"/>
      <c r="BC1611" s="5"/>
      <c r="BD1611" s="5"/>
      <c r="BE1611" s="63"/>
      <c r="BF1611" s="63"/>
      <c r="BG1611" s="63"/>
      <c r="BK1611" s="317"/>
      <c r="BL1611" s="5"/>
      <c r="BM1611" s="5"/>
      <c r="BN1611" s="5"/>
      <c r="BO1611" s="5"/>
      <c r="BP1611" s="5"/>
      <c r="BQ1611" s="5"/>
      <c r="BR1611" s="5"/>
      <c r="BS1611" s="5"/>
      <c r="BT1611" s="5"/>
      <c r="BV1611" s="317"/>
      <c r="CF1611" s="5"/>
      <c r="CG1611" s="53"/>
      <c r="CH1611" s="53"/>
      <c r="CI1611" s="53"/>
      <c r="CJ1611" s="53"/>
      <c r="CK1611" s="53"/>
      <c r="CL1611" s="53"/>
      <c r="CN1611" s="53"/>
      <c r="CO1611" s="53"/>
      <c r="CP1611" s="53"/>
      <c r="CQ1611" s="53"/>
      <c r="CR1611" s="53"/>
      <c r="CS1611" s="53"/>
    </row>
    <row r="1612" spans="1:103" ht="10.25" customHeight="1">
      <c r="A1612" s="216"/>
      <c r="B1612" s="217"/>
      <c r="C1612" s="218"/>
      <c r="D1612" s="219"/>
      <c r="E1612" s="217"/>
      <c r="F1612" s="217"/>
      <c r="G1612" s="217"/>
      <c r="H1612" s="220"/>
      <c r="I1612" s="217"/>
      <c r="J1612" s="217"/>
      <c r="K1612" s="217"/>
      <c r="L1612" s="217"/>
      <c r="M1612" s="217"/>
      <c r="N1612" s="217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BA1612" s="5"/>
      <c r="BB1612" s="5"/>
      <c r="BC1612" s="5"/>
      <c r="BD1612" s="5"/>
      <c r="BE1612" s="63"/>
      <c r="BF1612" s="63"/>
      <c r="BG1612" s="63"/>
      <c r="BK1612" s="317"/>
      <c r="BL1612" s="5"/>
      <c r="BM1612" s="5"/>
      <c r="BN1612" s="5"/>
      <c r="BO1612" s="5"/>
      <c r="BP1612" s="5"/>
      <c r="BQ1612" s="5"/>
      <c r="BR1612" s="5"/>
      <c r="BS1612" s="5"/>
      <c r="BT1612" s="5"/>
      <c r="BV1612" s="317"/>
      <c r="CF1612" s="5"/>
      <c r="CG1612" s="53"/>
      <c r="CH1612" s="53"/>
      <c r="CI1612" s="53"/>
      <c r="CJ1612" s="53"/>
      <c r="CK1612" s="53"/>
      <c r="CL1612" s="53"/>
      <c r="CN1612" s="53"/>
      <c r="CO1612" s="53"/>
      <c r="CP1612" s="53"/>
      <c r="CQ1612" s="53"/>
      <c r="CR1612" s="53"/>
      <c r="CS1612" s="53"/>
    </row>
    <row r="1613" spans="1:103" ht="10.25" customHeight="1">
      <c r="A1613" s="216"/>
      <c r="B1613" s="217"/>
      <c r="C1613" s="218"/>
      <c r="D1613" s="219"/>
      <c r="E1613" s="217"/>
      <c r="F1613" s="217"/>
      <c r="G1613" s="217"/>
      <c r="H1613" s="220"/>
      <c r="I1613" s="217"/>
      <c r="J1613" s="217"/>
      <c r="K1613" s="217"/>
      <c r="L1613" s="217"/>
      <c r="M1613" s="217"/>
      <c r="N1613" s="217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BA1613" s="5"/>
      <c r="BB1613" s="5"/>
      <c r="BC1613" s="5"/>
      <c r="BD1613" s="5"/>
      <c r="BE1613" s="63"/>
      <c r="BF1613" s="63"/>
      <c r="BG1613" s="63"/>
      <c r="BK1613" s="317"/>
      <c r="BL1613" s="5"/>
      <c r="BM1613" s="5"/>
      <c r="BN1613" s="5"/>
      <c r="BO1613" s="5"/>
      <c r="BP1613" s="5"/>
      <c r="BQ1613" s="5"/>
      <c r="BR1613" s="5"/>
      <c r="BS1613" s="5"/>
      <c r="BT1613" s="5"/>
      <c r="BV1613" s="317"/>
      <c r="CF1613" s="5"/>
      <c r="CG1613" s="53"/>
      <c r="CH1613" s="53"/>
      <c r="CI1613" s="53"/>
      <c r="CJ1613" s="53"/>
      <c r="CK1613" s="53"/>
      <c r="CL1613" s="53"/>
      <c r="CN1613" s="53"/>
      <c r="CO1613" s="53"/>
      <c r="CP1613" s="53"/>
      <c r="CQ1613" s="53"/>
      <c r="CR1613" s="53"/>
      <c r="CS1613" s="53"/>
    </row>
    <row r="1614" spans="1:103" ht="10.25" customHeight="1">
      <c r="A1614" s="216"/>
      <c r="B1614" s="217"/>
      <c r="C1614" s="218"/>
      <c r="D1614" s="219"/>
      <c r="E1614" s="217"/>
      <c r="F1614" s="217"/>
      <c r="G1614" s="217"/>
      <c r="H1614" s="220"/>
      <c r="I1614" s="217"/>
      <c r="J1614" s="217"/>
      <c r="K1614" s="217"/>
      <c r="L1614" s="217"/>
      <c r="M1614" s="217"/>
      <c r="N1614" s="217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BA1614" s="5"/>
      <c r="BB1614" s="5"/>
      <c r="BC1614" s="5"/>
      <c r="BD1614" s="5"/>
      <c r="BE1614" s="63"/>
      <c r="BF1614" s="63"/>
      <c r="BG1614" s="63"/>
      <c r="BK1614" s="317"/>
      <c r="BL1614" s="5"/>
      <c r="BM1614" s="5"/>
      <c r="BN1614" s="5"/>
      <c r="BO1614" s="5"/>
      <c r="BP1614" s="5"/>
      <c r="BQ1614" s="5"/>
      <c r="BR1614" s="5"/>
      <c r="BS1614" s="5"/>
      <c r="BT1614" s="5"/>
      <c r="BV1614" s="317"/>
      <c r="CF1614" s="5"/>
      <c r="CG1614" s="53"/>
      <c r="CH1614" s="53"/>
      <c r="CI1614" s="53"/>
      <c r="CJ1614" s="53"/>
      <c r="CK1614" s="53"/>
      <c r="CL1614" s="53"/>
      <c r="CN1614" s="53"/>
      <c r="CO1614" s="53"/>
      <c r="CP1614" s="53"/>
      <c r="CQ1614" s="53"/>
      <c r="CR1614" s="53"/>
      <c r="CS1614" s="53"/>
    </row>
    <row r="1615" spans="1:103" ht="10.25" customHeight="1">
      <c r="A1615" s="216"/>
      <c r="B1615" s="217"/>
      <c r="C1615" s="218"/>
      <c r="D1615" s="219"/>
      <c r="E1615" s="217"/>
      <c r="F1615" s="217"/>
      <c r="G1615" s="217"/>
      <c r="H1615" s="220"/>
      <c r="I1615" s="217"/>
      <c r="J1615" s="217"/>
      <c r="K1615" s="217"/>
      <c r="L1615" s="217"/>
      <c r="M1615" s="217"/>
      <c r="N1615" s="217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BA1615" s="5"/>
      <c r="BB1615" s="5"/>
      <c r="BC1615" s="5"/>
      <c r="BD1615" s="5"/>
      <c r="BE1615" s="63"/>
      <c r="BF1615" s="63"/>
      <c r="BG1615" s="63"/>
      <c r="BK1615" s="317"/>
      <c r="BL1615" s="5"/>
      <c r="BM1615" s="5"/>
      <c r="BN1615" s="5"/>
      <c r="BO1615" s="5"/>
      <c r="BP1615" s="5"/>
      <c r="BQ1615" s="5"/>
      <c r="BR1615" s="5"/>
      <c r="BS1615" s="5"/>
      <c r="BT1615" s="5"/>
      <c r="BV1615" s="317"/>
      <c r="CF1615" s="5"/>
      <c r="CG1615" s="53"/>
      <c r="CH1615" s="53"/>
      <c r="CI1615" s="53"/>
      <c r="CJ1615" s="53"/>
      <c r="CK1615" s="53"/>
      <c r="CL1615" s="53"/>
      <c r="CN1615" s="53"/>
      <c r="CO1615" s="53"/>
      <c r="CP1615" s="53"/>
      <c r="CQ1615" s="53"/>
      <c r="CR1615" s="53"/>
      <c r="CS1615" s="53"/>
    </row>
    <row r="1616" spans="1:103" ht="10.25" customHeight="1">
      <c r="A1616" s="216"/>
      <c r="B1616" s="217"/>
      <c r="C1616" s="218"/>
      <c r="D1616" s="219"/>
      <c r="E1616" s="217"/>
      <c r="F1616" s="217"/>
      <c r="G1616" s="217"/>
      <c r="H1616" s="220"/>
      <c r="I1616" s="217"/>
      <c r="J1616" s="217"/>
      <c r="K1616" s="217"/>
      <c r="L1616" s="217"/>
      <c r="M1616" s="217"/>
      <c r="N1616" s="217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BA1616" s="5"/>
      <c r="BB1616" s="5"/>
      <c r="BC1616" s="5"/>
      <c r="BD1616" s="5"/>
      <c r="BE1616" s="63"/>
      <c r="BF1616" s="63"/>
      <c r="BG1616" s="63"/>
      <c r="BK1616" s="317"/>
      <c r="BL1616" s="5"/>
      <c r="BM1616" s="5"/>
      <c r="BN1616" s="5"/>
      <c r="BO1616" s="5"/>
      <c r="BP1616" s="5"/>
      <c r="BQ1616" s="5"/>
      <c r="BR1616" s="5"/>
      <c r="BS1616" s="5"/>
      <c r="BT1616" s="5"/>
      <c r="BV1616" s="317"/>
      <c r="CF1616" s="5"/>
      <c r="CG1616" s="53"/>
      <c r="CH1616" s="53"/>
      <c r="CI1616" s="53"/>
      <c r="CJ1616" s="53"/>
      <c r="CK1616" s="53"/>
      <c r="CL1616" s="53"/>
      <c r="CN1616" s="53"/>
      <c r="CO1616" s="53"/>
      <c r="CP1616" s="53"/>
      <c r="CQ1616" s="53"/>
      <c r="CR1616" s="53"/>
      <c r="CS1616" s="53"/>
    </row>
    <row r="1617" spans="1:103" ht="10.25" customHeight="1">
      <c r="A1617" s="216"/>
      <c r="B1617" s="217"/>
      <c r="C1617" s="218"/>
      <c r="D1617" s="219"/>
      <c r="E1617" s="217"/>
      <c r="F1617" s="217"/>
      <c r="G1617" s="217"/>
      <c r="H1617" s="220"/>
      <c r="I1617" s="217"/>
      <c r="J1617" s="217"/>
      <c r="K1617" s="217"/>
      <c r="L1617" s="217"/>
      <c r="M1617" s="217"/>
      <c r="N1617" s="217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BA1617" s="5"/>
      <c r="BB1617" s="5"/>
      <c r="BC1617" s="5"/>
      <c r="BD1617" s="5"/>
      <c r="BE1617" s="63"/>
      <c r="BF1617" s="63"/>
      <c r="BG1617" s="63"/>
      <c r="BK1617" s="317"/>
      <c r="BL1617" s="5"/>
      <c r="BM1617" s="5"/>
      <c r="BN1617" s="5"/>
      <c r="BO1617" s="5"/>
      <c r="BP1617" s="5"/>
      <c r="BQ1617" s="5"/>
      <c r="BR1617" s="5"/>
      <c r="BS1617" s="5"/>
      <c r="BT1617" s="5"/>
      <c r="BV1617" s="317"/>
      <c r="CF1617" s="5"/>
      <c r="CG1617" s="53"/>
      <c r="CH1617" s="53"/>
      <c r="CI1617" s="53"/>
      <c r="CJ1617" s="53"/>
      <c r="CK1617" s="53"/>
      <c r="CL1617" s="53"/>
      <c r="CN1617" s="53"/>
      <c r="CO1617" s="53"/>
      <c r="CP1617" s="53"/>
      <c r="CQ1617" s="53"/>
      <c r="CR1617" s="53"/>
      <c r="CS1617" s="53"/>
    </row>
    <row r="1618" spans="1:103" ht="10.25" customHeight="1">
      <c r="A1618" s="216"/>
      <c r="B1618" s="217"/>
      <c r="C1618" s="218"/>
      <c r="D1618" s="219"/>
      <c r="E1618" s="217"/>
      <c r="F1618" s="217"/>
      <c r="G1618" s="217"/>
      <c r="H1618" s="220"/>
      <c r="I1618" s="217"/>
      <c r="J1618" s="217"/>
      <c r="K1618" s="217"/>
      <c r="L1618" s="217"/>
      <c r="M1618" s="217"/>
      <c r="N1618" s="217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W1618" s="63"/>
      <c r="AX1618" s="63"/>
      <c r="AY1618" s="63"/>
      <c r="AZ1618" s="63"/>
      <c r="BA1618" s="5"/>
      <c r="BB1618" s="5"/>
      <c r="BC1618" s="5"/>
      <c r="BD1618" s="5"/>
      <c r="BE1618" s="63"/>
      <c r="BF1618" s="63"/>
      <c r="BG1618" s="63"/>
      <c r="BV1618" s="317"/>
      <c r="CF1618" s="5"/>
      <c r="CG1618" s="53"/>
      <c r="CH1618" s="53"/>
      <c r="CI1618" s="53"/>
      <c r="CJ1618" s="53"/>
      <c r="CK1618" s="53"/>
      <c r="CL1618" s="53"/>
      <c r="CN1618" s="53"/>
      <c r="CO1618" s="53"/>
      <c r="CP1618" s="53"/>
      <c r="CQ1618" s="53"/>
      <c r="CR1618" s="53"/>
      <c r="CS1618" s="53"/>
    </row>
    <row r="1619" spans="1:103" ht="10.25" customHeight="1">
      <c r="A1619" s="216"/>
      <c r="B1619" s="217"/>
      <c r="C1619" s="218"/>
      <c r="D1619" s="219"/>
      <c r="E1619" s="217"/>
      <c r="F1619" s="217"/>
      <c r="G1619" s="217"/>
      <c r="H1619" s="220"/>
      <c r="I1619" s="217"/>
      <c r="J1619" s="217"/>
      <c r="K1619" s="217"/>
      <c r="L1619" s="217"/>
      <c r="M1619" s="217"/>
      <c r="N1619" s="217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W1619" s="63"/>
      <c r="AX1619" s="63"/>
      <c r="AY1619" s="63"/>
      <c r="AZ1619" s="63"/>
      <c r="BA1619" s="5"/>
      <c r="BB1619" s="5"/>
      <c r="BC1619" s="5"/>
      <c r="BD1619" s="5"/>
      <c r="BE1619" s="63"/>
      <c r="BF1619" s="63"/>
      <c r="BG1619" s="63"/>
      <c r="BV1619" s="317"/>
      <c r="CF1619" s="5"/>
      <c r="CG1619" s="53"/>
      <c r="CH1619" s="53"/>
      <c r="CI1619" s="53"/>
      <c r="CJ1619" s="53"/>
      <c r="CK1619" s="53"/>
      <c r="CL1619" s="53"/>
      <c r="CN1619" s="53"/>
      <c r="CO1619" s="53"/>
      <c r="CP1619" s="53"/>
      <c r="CQ1619" s="53"/>
      <c r="CR1619" s="53"/>
      <c r="CS1619" s="53"/>
    </row>
    <row r="1620" spans="1:103" ht="10.25" customHeight="1">
      <c r="A1620" s="216"/>
      <c r="B1620" s="217"/>
      <c r="C1620" s="218"/>
      <c r="D1620" s="219"/>
      <c r="E1620" s="217"/>
      <c r="F1620" s="217"/>
      <c r="G1620" s="217"/>
      <c r="H1620" s="220"/>
      <c r="I1620" s="217"/>
      <c r="J1620" s="217"/>
      <c r="K1620" s="217"/>
      <c r="L1620" s="217"/>
      <c r="M1620" s="217"/>
      <c r="N1620" s="217"/>
      <c r="O1620" s="44"/>
      <c r="P1620" s="44"/>
      <c r="Q1620" s="44"/>
      <c r="R1620" s="44"/>
      <c r="S1620" s="44"/>
      <c r="T1620" s="44"/>
      <c r="U1620" s="44"/>
      <c r="V1620" s="44"/>
      <c r="W1620" s="44"/>
      <c r="X1620" s="44"/>
      <c r="Y1620" s="44"/>
      <c r="Z1620" s="44"/>
      <c r="AA1620" s="44"/>
      <c r="AB1620" s="44"/>
      <c r="AC1620" s="44"/>
      <c r="AD1620" s="44"/>
      <c r="AE1620" s="44"/>
      <c r="AF1620" s="44"/>
      <c r="AG1620" s="44"/>
      <c r="AH1620" s="44"/>
      <c r="AI1620" s="44"/>
      <c r="AJ1620" s="44"/>
      <c r="AK1620" s="44"/>
      <c r="AL1620" s="44"/>
      <c r="AM1620" s="44"/>
      <c r="AN1620" s="44"/>
      <c r="AO1620" s="44"/>
      <c r="AP1620" s="44"/>
      <c r="AQ1620" s="44"/>
      <c r="AW1620" s="63"/>
      <c r="AX1620" s="63"/>
      <c r="AY1620" s="63"/>
      <c r="AZ1620" s="63"/>
      <c r="BA1620" s="5"/>
      <c r="BB1620" s="5"/>
      <c r="BC1620" s="5"/>
      <c r="BD1620" s="5"/>
      <c r="BE1620" s="63"/>
      <c r="BF1620" s="63"/>
      <c r="BG1620" s="63"/>
      <c r="BV1620" s="317"/>
      <c r="CF1620" s="5"/>
      <c r="CG1620" s="53"/>
      <c r="CH1620" s="53"/>
      <c r="CI1620" s="53"/>
      <c r="CJ1620" s="53"/>
      <c r="CK1620" s="53"/>
      <c r="CL1620" s="53"/>
      <c r="CN1620" s="53"/>
      <c r="CO1620" s="53"/>
      <c r="CP1620" s="53"/>
      <c r="CQ1620" s="53"/>
      <c r="CR1620" s="53"/>
      <c r="CS1620" s="53"/>
      <c r="CT1620" s="5"/>
      <c r="CU1620" s="5"/>
      <c r="CV1620" s="5"/>
      <c r="CW1620" s="5"/>
      <c r="CX1620" s="5"/>
      <c r="CY1620" s="5"/>
    </row>
    <row r="1621" spans="1:103" ht="10.25" customHeight="1">
      <c r="A1621" s="216"/>
      <c r="B1621" s="217"/>
      <c r="C1621" s="218"/>
      <c r="D1621" s="219"/>
      <c r="E1621" s="217"/>
      <c r="F1621" s="217"/>
      <c r="G1621" s="217"/>
      <c r="H1621" s="220"/>
      <c r="I1621" s="217"/>
      <c r="J1621" s="217"/>
      <c r="K1621" s="217"/>
      <c r="L1621" s="217"/>
      <c r="M1621" s="217"/>
      <c r="N1621" s="217"/>
      <c r="O1621" s="44"/>
      <c r="P1621" s="44"/>
      <c r="Q1621" s="44"/>
      <c r="R1621" s="44"/>
      <c r="S1621" s="44"/>
      <c r="T1621" s="44"/>
      <c r="U1621" s="44"/>
      <c r="V1621" s="44"/>
      <c r="W1621" s="44"/>
      <c r="X1621" s="44"/>
      <c r="Y1621" s="44"/>
      <c r="Z1621" s="44"/>
      <c r="AA1621" s="44"/>
      <c r="AB1621" s="44"/>
      <c r="AC1621" s="44"/>
      <c r="AD1621" s="44"/>
      <c r="AE1621" s="44"/>
      <c r="AF1621" s="44"/>
      <c r="AG1621" s="44"/>
      <c r="AH1621" s="44"/>
      <c r="AI1621" s="44"/>
      <c r="AJ1621" s="44"/>
      <c r="AK1621" s="44"/>
      <c r="AL1621" s="44"/>
      <c r="AM1621" s="44"/>
      <c r="AN1621" s="44"/>
      <c r="AO1621" s="44"/>
      <c r="AP1621" s="44"/>
      <c r="AQ1621" s="44"/>
      <c r="AW1621" s="63"/>
      <c r="AX1621" s="63"/>
      <c r="AY1621" s="63"/>
      <c r="AZ1621" s="63"/>
      <c r="BA1621" s="5"/>
      <c r="BB1621" s="5"/>
      <c r="BC1621" s="5"/>
      <c r="BD1621" s="5"/>
      <c r="BE1621" s="63"/>
      <c r="BF1621" s="63"/>
      <c r="BG1621" s="63"/>
      <c r="BV1621" s="317"/>
      <c r="CF1621" s="5"/>
      <c r="CG1621" s="53"/>
      <c r="CH1621" s="53"/>
      <c r="CI1621" s="53"/>
      <c r="CJ1621" s="53"/>
      <c r="CK1621" s="53"/>
      <c r="CL1621" s="53"/>
      <c r="CN1621" s="53"/>
      <c r="CO1621" s="53"/>
      <c r="CP1621" s="53"/>
      <c r="CQ1621" s="53"/>
      <c r="CR1621" s="53"/>
      <c r="CS1621" s="53"/>
      <c r="CT1621" s="5"/>
      <c r="CU1621" s="5"/>
      <c r="CV1621" s="5"/>
      <c r="CW1621" s="5"/>
      <c r="CX1621" s="5"/>
      <c r="CY1621" s="5"/>
    </row>
    <row r="1622" spans="1:103" ht="10.25" customHeight="1">
      <c r="A1622" s="216"/>
      <c r="B1622" s="217"/>
      <c r="C1622" s="218"/>
      <c r="D1622" s="219"/>
      <c r="E1622" s="217"/>
      <c r="F1622" s="217"/>
      <c r="G1622" s="217"/>
      <c r="H1622" s="220"/>
      <c r="I1622" s="217"/>
      <c r="J1622" s="217"/>
      <c r="K1622" s="217"/>
      <c r="L1622" s="217"/>
      <c r="M1622" s="217"/>
      <c r="N1622" s="217"/>
      <c r="O1622" s="44"/>
      <c r="P1622" s="44"/>
      <c r="Q1622" s="44"/>
      <c r="R1622" s="44"/>
      <c r="S1622" s="44"/>
      <c r="T1622" s="44"/>
      <c r="U1622" s="44"/>
      <c r="V1622" s="44"/>
      <c r="W1622" s="44"/>
      <c r="X1622" s="44"/>
      <c r="Y1622" s="44"/>
      <c r="Z1622" s="44"/>
      <c r="AA1622" s="44"/>
      <c r="AB1622" s="44"/>
      <c r="AC1622" s="44"/>
      <c r="AD1622" s="44"/>
      <c r="AE1622" s="44"/>
      <c r="AF1622" s="44"/>
      <c r="AG1622" s="44"/>
      <c r="AH1622" s="44"/>
      <c r="AI1622" s="44"/>
      <c r="AJ1622" s="44"/>
      <c r="AK1622" s="44"/>
      <c r="AL1622" s="44"/>
      <c r="AM1622" s="44"/>
      <c r="AN1622" s="44"/>
      <c r="AO1622" s="44"/>
      <c r="AP1622" s="44"/>
      <c r="AQ1622" s="44"/>
      <c r="AW1622" s="63"/>
      <c r="AX1622" s="63"/>
      <c r="AY1622" s="63"/>
      <c r="AZ1622" s="63"/>
      <c r="BA1622" s="5"/>
      <c r="BB1622" s="5"/>
      <c r="BC1622" s="5"/>
      <c r="BD1622" s="5"/>
      <c r="BE1622" s="63"/>
      <c r="BF1622" s="63"/>
      <c r="BG1622" s="63"/>
      <c r="BV1622" s="317"/>
      <c r="CF1622" s="5"/>
      <c r="CG1622" s="53"/>
      <c r="CH1622" s="53"/>
      <c r="CI1622" s="53"/>
      <c r="CJ1622" s="53"/>
      <c r="CK1622" s="53"/>
      <c r="CL1622" s="53"/>
      <c r="CN1622" s="53"/>
      <c r="CO1622" s="53"/>
      <c r="CP1622" s="53"/>
      <c r="CQ1622" s="53"/>
      <c r="CR1622" s="53"/>
      <c r="CS1622" s="53"/>
      <c r="CT1622" s="5"/>
      <c r="CU1622" s="5"/>
      <c r="CV1622" s="5"/>
      <c r="CW1622" s="5"/>
      <c r="CX1622" s="5"/>
      <c r="CY1622" s="5"/>
    </row>
    <row r="1623" spans="1:103" ht="10.25" customHeight="1">
      <c r="A1623" s="216"/>
      <c r="B1623" s="217"/>
      <c r="C1623" s="218"/>
      <c r="D1623" s="219"/>
      <c r="E1623" s="217"/>
      <c r="F1623" s="217"/>
      <c r="G1623" s="217"/>
      <c r="H1623" s="220"/>
      <c r="I1623" s="217"/>
      <c r="J1623" s="217"/>
      <c r="K1623" s="217"/>
      <c r="L1623" s="217"/>
      <c r="M1623" s="217"/>
      <c r="N1623" s="217"/>
      <c r="O1623" s="44"/>
      <c r="P1623" s="44"/>
      <c r="Q1623" s="44"/>
      <c r="R1623" s="44"/>
      <c r="S1623" s="44"/>
      <c r="T1623" s="44"/>
      <c r="U1623" s="44"/>
      <c r="V1623" s="44"/>
      <c r="W1623" s="44"/>
      <c r="X1623" s="44"/>
      <c r="Y1623" s="44"/>
      <c r="Z1623" s="44"/>
      <c r="AA1623" s="44"/>
      <c r="AB1623" s="44"/>
      <c r="AC1623" s="44"/>
      <c r="AD1623" s="44"/>
      <c r="AE1623" s="44"/>
      <c r="AF1623" s="44"/>
      <c r="AG1623" s="44"/>
      <c r="AH1623" s="44"/>
      <c r="AI1623" s="44"/>
      <c r="AJ1623" s="44"/>
      <c r="AK1623" s="44"/>
      <c r="AL1623" s="44"/>
      <c r="AM1623" s="44"/>
      <c r="AN1623" s="44"/>
      <c r="AO1623" s="44"/>
      <c r="AP1623" s="44"/>
      <c r="AQ1623" s="44"/>
      <c r="BA1623" s="5"/>
      <c r="BB1623" s="5"/>
      <c r="BC1623" s="5"/>
      <c r="BD1623" s="5"/>
      <c r="BE1623" s="63"/>
      <c r="BF1623" s="63"/>
      <c r="BG1623" s="63"/>
      <c r="BV1623" s="317"/>
      <c r="CF1623" s="5"/>
      <c r="CG1623" s="53"/>
      <c r="CH1623" s="53"/>
      <c r="CI1623" s="53"/>
      <c r="CJ1623" s="53"/>
      <c r="CK1623" s="53"/>
      <c r="CL1623" s="53"/>
      <c r="CN1623" s="53"/>
      <c r="CO1623" s="53"/>
      <c r="CP1623" s="53"/>
      <c r="CQ1623" s="53"/>
      <c r="CR1623" s="53"/>
      <c r="CS1623" s="53"/>
      <c r="CT1623" s="5"/>
      <c r="CU1623" s="5"/>
      <c r="CV1623" s="5"/>
      <c r="CW1623" s="5"/>
      <c r="CX1623" s="5"/>
      <c r="CY1623" s="5"/>
    </row>
    <row r="1624" spans="1:103" ht="10.25" customHeight="1">
      <c r="A1624" s="216"/>
      <c r="B1624" s="217"/>
      <c r="C1624" s="218"/>
      <c r="D1624" s="219"/>
      <c r="E1624" s="217"/>
      <c r="F1624" s="217"/>
      <c r="G1624" s="217"/>
      <c r="H1624" s="220"/>
      <c r="I1624" s="217"/>
      <c r="J1624" s="217"/>
      <c r="K1624" s="217"/>
      <c r="L1624" s="217"/>
      <c r="M1624" s="217"/>
      <c r="N1624" s="217"/>
      <c r="O1624" s="44"/>
      <c r="P1624" s="44"/>
      <c r="Q1624" s="44"/>
      <c r="R1624" s="44"/>
      <c r="S1624" s="44"/>
      <c r="T1624" s="44"/>
      <c r="U1624" s="44"/>
      <c r="V1624" s="44"/>
      <c r="W1624" s="44"/>
      <c r="X1624" s="44"/>
      <c r="Y1624" s="44"/>
      <c r="Z1624" s="44"/>
      <c r="AA1624" s="44"/>
      <c r="AB1624" s="44"/>
      <c r="AC1624" s="44"/>
      <c r="AD1624" s="44"/>
      <c r="AE1624" s="44"/>
      <c r="AF1624" s="44"/>
      <c r="AG1624" s="44"/>
      <c r="AH1624" s="44"/>
      <c r="AI1624" s="44"/>
      <c r="AJ1624" s="44"/>
      <c r="AK1624" s="44"/>
      <c r="AL1624" s="44"/>
      <c r="AM1624" s="44"/>
      <c r="AN1624" s="44"/>
      <c r="AO1624" s="44"/>
      <c r="AP1624" s="44"/>
      <c r="AQ1624" s="44"/>
      <c r="BA1624" s="5"/>
      <c r="BB1624" s="5"/>
      <c r="BC1624" s="5"/>
      <c r="BD1624" s="5"/>
      <c r="BE1624" s="63"/>
      <c r="BF1624" s="63"/>
      <c r="BG1624" s="63"/>
      <c r="BV1624" s="317"/>
      <c r="CF1624" s="5"/>
      <c r="CG1624" s="53"/>
      <c r="CH1624" s="53"/>
      <c r="CI1624" s="53"/>
      <c r="CJ1624" s="53"/>
      <c r="CK1624" s="53"/>
      <c r="CL1624" s="53"/>
      <c r="CN1624" s="53"/>
      <c r="CO1624" s="53"/>
      <c r="CP1624" s="53"/>
      <c r="CQ1624" s="53"/>
      <c r="CR1624" s="53"/>
      <c r="CS1624" s="53"/>
      <c r="CT1624" s="5"/>
      <c r="CU1624" s="5"/>
      <c r="CV1624" s="5"/>
      <c r="CW1624" s="5"/>
      <c r="CX1624" s="5"/>
      <c r="CY1624" s="5"/>
    </row>
    <row r="1625" spans="1:103" ht="10.25" customHeight="1">
      <c r="A1625" s="216"/>
      <c r="B1625" s="217"/>
      <c r="C1625" s="218"/>
      <c r="D1625" s="219"/>
      <c r="E1625" s="217"/>
      <c r="F1625" s="217"/>
      <c r="G1625" s="217"/>
      <c r="H1625" s="220"/>
      <c r="I1625" s="217"/>
      <c r="J1625" s="217"/>
      <c r="K1625" s="217"/>
      <c r="L1625" s="217"/>
      <c r="M1625" s="217"/>
      <c r="N1625" s="217"/>
      <c r="O1625" s="44"/>
      <c r="P1625" s="44"/>
      <c r="Q1625" s="44"/>
      <c r="R1625" s="44"/>
      <c r="S1625" s="44"/>
      <c r="T1625" s="44"/>
      <c r="U1625" s="44"/>
      <c r="V1625" s="44"/>
      <c r="W1625" s="44"/>
      <c r="X1625" s="44"/>
      <c r="Y1625" s="44"/>
      <c r="Z1625" s="44"/>
      <c r="AA1625" s="44"/>
      <c r="AB1625" s="44"/>
      <c r="AC1625" s="44"/>
      <c r="AD1625" s="44"/>
      <c r="AE1625" s="44"/>
      <c r="AF1625" s="44"/>
      <c r="AG1625" s="44"/>
      <c r="AH1625" s="44"/>
      <c r="AI1625" s="44"/>
      <c r="AJ1625" s="44"/>
      <c r="AK1625" s="44"/>
      <c r="AL1625" s="44"/>
      <c r="AM1625" s="44"/>
      <c r="AN1625" s="44"/>
      <c r="AO1625" s="44"/>
      <c r="AP1625" s="44"/>
      <c r="AQ1625" s="44"/>
      <c r="BA1625" s="5"/>
      <c r="BB1625" s="5"/>
      <c r="BC1625" s="5"/>
      <c r="BD1625" s="5"/>
      <c r="BE1625" s="63"/>
      <c r="BF1625" s="63"/>
      <c r="BG1625" s="63"/>
      <c r="CA1625" s="317"/>
      <c r="CF1625" s="5"/>
      <c r="CG1625" s="53"/>
      <c r="CH1625" s="53"/>
      <c r="CI1625" s="53"/>
      <c r="CJ1625" s="53"/>
      <c r="CK1625" s="53"/>
      <c r="CL1625" s="53"/>
      <c r="CN1625" s="53"/>
      <c r="CO1625" s="53"/>
      <c r="CP1625" s="53"/>
      <c r="CQ1625" s="53"/>
      <c r="CR1625" s="53"/>
      <c r="CS1625" s="53"/>
      <c r="CT1625" s="5"/>
      <c r="CU1625" s="5"/>
      <c r="CV1625" s="5"/>
      <c r="CW1625" s="5"/>
      <c r="CX1625" s="5"/>
      <c r="CY1625" s="5"/>
    </row>
    <row r="1626" spans="1:103" ht="10.25" customHeight="1">
      <c r="A1626" s="216"/>
      <c r="B1626" s="217"/>
      <c r="C1626" s="218"/>
      <c r="D1626" s="219"/>
      <c r="E1626" s="217"/>
      <c r="F1626" s="217"/>
      <c r="G1626" s="217"/>
      <c r="H1626" s="220"/>
      <c r="I1626" s="217"/>
      <c r="J1626" s="217"/>
      <c r="K1626" s="217"/>
      <c r="L1626" s="217"/>
      <c r="M1626" s="217"/>
      <c r="N1626" s="217"/>
      <c r="O1626" s="44"/>
      <c r="P1626" s="44"/>
      <c r="Q1626" s="44"/>
      <c r="R1626" s="44"/>
      <c r="S1626" s="44"/>
      <c r="T1626" s="44"/>
      <c r="U1626" s="44"/>
      <c r="V1626" s="44"/>
      <c r="W1626" s="44"/>
      <c r="X1626" s="44"/>
      <c r="Y1626" s="44"/>
      <c r="Z1626" s="44"/>
      <c r="AA1626" s="44"/>
      <c r="AB1626" s="44"/>
      <c r="AC1626" s="44"/>
      <c r="AD1626" s="44"/>
      <c r="AE1626" s="44"/>
      <c r="AF1626" s="44"/>
      <c r="AG1626" s="44"/>
      <c r="AH1626" s="44"/>
      <c r="AI1626" s="44"/>
      <c r="AJ1626" s="44"/>
      <c r="AK1626" s="44"/>
      <c r="AL1626" s="44"/>
      <c r="AM1626" s="44"/>
      <c r="AN1626" s="44"/>
      <c r="AO1626" s="44"/>
      <c r="AP1626" s="44"/>
      <c r="AQ1626" s="44"/>
      <c r="BA1626" s="5"/>
      <c r="BB1626" s="5"/>
      <c r="BC1626" s="5"/>
      <c r="BD1626" s="5"/>
      <c r="BE1626" s="63"/>
      <c r="BF1626" s="63"/>
      <c r="BG1626" s="63"/>
      <c r="CA1626" s="317"/>
      <c r="CF1626" s="5"/>
      <c r="CG1626" s="53"/>
      <c r="CH1626" s="53"/>
      <c r="CI1626" s="53"/>
      <c r="CJ1626" s="53"/>
      <c r="CK1626" s="53"/>
      <c r="CL1626" s="53"/>
      <c r="CN1626" s="53"/>
      <c r="CO1626" s="53"/>
      <c r="CP1626" s="53"/>
      <c r="CQ1626" s="53"/>
      <c r="CR1626" s="53"/>
      <c r="CS1626" s="53"/>
      <c r="CT1626" s="5"/>
      <c r="CU1626" s="5"/>
      <c r="CV1626" s="5"/>
      <c r="CW1626" s="5"/>
      <c r="CX1626" s="5"/>
      <c r="CY1626" s="5"/>
    </row>
    <row r="1627" spans="1:103" ht="10.25" customHeight="1">
      <c r="A1627" s="216"/>
      <c r="B1627" s="217"/>
      <c r="C1627" s="218"/>
      <c r="D1627" s="219"/>
      <c r="E1627" s="217"/>
      <c r="F1627" s="217"/>
      <c r="G1627" s="217"/>
      <c r="H1627" s="220"/>
      <c r="I1627" s="217"/>
      <c r="J1627" s="217"/>
      <c r="K1627" s="217"/>
      <c r="L1627" s="217"/>
      <c r="M1627" s="217"/>
      <c r="N1627" s="217"/>
      <c r="O1627" s="44"/>
      <c r="P1627" s="44"/>
      <c r="Q1627" s="44"/>
      <c r="R1627" s="44"/>
      <c r="S1627" s="44"/>
      <c r="T1627" s="44"/>
      <c r="U1627" s="44"/>
      <c r="V1627" s="44"/>
      <c r="W1627" s="44"/>
      <c r="X1627" s="44"/>
      <c r="Y1627" s="44"/>
      <c r="Z1627" s="44"/>
      <c r="AA1627" s="44"/>
      <c r="AB1627" s="44"/>
      <c r="AC1627" s="44"/>
      <c r="AD1627" s="44"/>
      <c r="AE1627" s="44"/>
      <c r="AF1627" s="44"/>
      <c r="AG1627" s="44"/>
      <c r="AH1627" s="44"/>
      <c r="AI1627" s="44"/>
      <c r="AJ1627" s="44"/>
      <c r="AK1627" s="44"/>
      <c r="AL1627" s="44"/>
      <c r="AM1627" s="44"/>
      <c r="AN1627" s="44"/>
      <c r="AO1627" s="44"/>
      <c r="AP1627" s="44"/>
      <c r="AQ1627" s="44"/>
      <c r="BA1627" s="5"/>
      <c r="BB1627" s="5"/>
      <c r="BC1627" s="5"/>
      <c r="BD1627" s="5"/>
      <c r="BE1627" s="63"/>
      <c r="BF1627" s="63"/>
      <c r="BG1627" s="63"/>
      <c r="CA1627" s="317"/>
      <c r="CF1627" s="5"/>
      <c r="CG1627" s="53"/>
      <c r="CH1627" s="53"/>
      <c r="CI1627" s="53"/>
      <c r="CJ1627" s="53"/>
      <c r="CK1627" s="53"/>
      <c r="CL1627" s="53"/>
      <c r="CN1627" s="53"/>
      <c r="CO1627" s="53"/>
      <c r="CP1627" s="53"/>
      <c r="CQ1627" s="53"/>
      <c r="CR1627" s="53"/>
      <c r="CS1627" s="53"/>
      <c r="CT1627" s="5"/>
      <c r="CU1627" s="5"/>
      <c r="CV1627" s="5"/>
      <c r="CW1627" s="5"/>
      <c r="CX1627" s="5"/>
      <c r="CY1627" s="5"/>
    </row>
    <row r="1628" spans="1:103" ht="10.25" customHeight="1">
      <c r="A1628" s="216"/>
      <c r="B1628" s="217"/>
      <c r="C1628" s="218"/>
      <c r="D1628" s="219"/>
      <c r="E1628" s="217"/>
      <c r="F1628" s="217"/>
      <c r="G1628" s="217"/>
      <c r="H1628" s="220"/>
      <c r="I1628" s="217"/>
      <c r="J1628" s="217"/>
      <c r="K1628" s="217"/>
      <c r="L1628" s="217"/>
      <c r="M1628" s="217"/>
      <c r="N1628" s="217"/>
      <c r="O1628" s="44"/>
      <c r="P1628" s="44"/>
      <c r="Q1628" s="44"/>
      <c r="R1628" s="44"/>
      <c r="S1628" s="44"/>
      <c r="T1628" s="44"/>
      <c r="U1628" s="44"/>
      <c r="V1628" s="44"/>
      <c r="W1628" s="44"/>
      <c r="X1628" s="44"/>
      <c r="Y1628" s="44"/>
      <c r="Z1628" s="44"/>
      <c r="AA1628" s="44"/>
      <c r="AB1628" s="44"/>
      <c r="AC1628" s="44"/>
      <c r="AD1628" s="44"/>
      <c r="AE1628" s="44"/>
      <c r="AF1628" s="44"/>
      <c r="AG1628" s="44"/>
      <c r="AH1628" s="44"/>
      <c r="AI1628" s="44"/>
      <c r="AJ1628" s="44"/>
      <c r="AK1628" s="44"/>
      <c r="AL1628" s="44"/>
      <c r="AM1628" s="44"/>
      <c r="AN1628" s="44"/>
      <c r="AO1628" s="44"/>
      <c r="AP1628" s="44"/>
      <c r="AQ1628" s="44"/>
      <c r="BA1628" s="5"/>
      <c r="BB1628" s="5"/>
      <c r="BC1628" s="5"/>
      <c r="BD1628" s="5"/>
      <c r="BE1628" s="63"/>
      <c r="BF1628" s="63"/>
      <c r="BG1628" s="63"/>
      <c r="CA1628" s="317"/>
      <c r="CF1628" s="5"/>
      <c r="CG1628" s="53"/>
      <c r="CH1628" s="53"/>
      <c r="CI1628" s="53"/>
      <c r="CJ1628" s="53"/>
      <c r="CK1628" s="53"/>
      <c r="CL1628" s="53"/>
      <c r="CN1628" s="53"/>
      <c r="CO1628" s="53"/>
      <c r="CP1628" s="53"/>
      <c r="CQ1628" s="53"/>
      <c r="CR1628" s="53"/>
      <c r="CS1628" s="53"/>
      <c r="CT1628" s="5"/>
      <c r="CU1628" s="5"/>
      <c r="CV1628" s="5"/>
      <c r="CW1628" s="5"/>
      <c r="CX1628" s="5"/>
      <c r="CY1628" s="5"/>
    </row>
    <row r="1629" spans="1:103" ht="10.25" customHeight="1">
      <c r="A1629" s="216"/>
      <c r="B1629" s="217"/>
      <c r="C1629" s="218"/>
      <c r="D1629" s="219"/>
      <c r="E1629" s="217"/>
      <c r="F1629" s="217"/>
      <c r="G1629" s="217"/>
      <c r="H1629" s="220"/>
      <c r="I1629" s="217"/>
      <c r="J1629" s="217"/>
      <c r="K1629" s="217"/>
      <c r="L1629" s="217"/>
      <c r="M1629" s="217"/>
      <c r="N1629" s="217"/>
      <c r="O1629" s="44"/>
      <c r="P1629" s="44"/>
      <c r="Q1629" s="44"/>
      <c r="R1629" s="44"/>
      <c r="S1629" s="44"/>
      <c r="T1629" s="44"/>
      <c r="U1629" s="44"/>
      <c r="V1629" s="44"/>
      <c r="W1629" s="44"/>
      <c r="X1629" s="44"/>
      <c r="Y1629" s="44"/>
      <c r="Z1629" s="44"/>
      <c r="AA1629" s="44"/>
      <c r="AB1629" s="44"/>
      <c r="AC1629" s="44"/>
      <c r="AD1629" s="44"/>
      <c r="AE1629" s="44"/>
      <c r="AF1629" s="44"/>
      <c r="AG1629" s="44"/>
      <c r="AH1629" s="44"/>
      <c r="AI1629" s="44"/>
      <c r="AJ1629" s="44"/>
      <c r="AK1629" s="44"/>
      <c r="AL1629" s="44"/>
      <c r="AM1629" s="44"/>
      <c r="AN1629" s="44"/>
      <c r="AO1629" s="44"/>
      <c r="AP1629" s="44"/>
      <c r="AQ1629" s="44"/>
      <c r="BA1629" s="5"/>
      <c r="BB1629" s="5"/>
      <c r="BC1629" s="5"/>
      <c r="BD1629" s="5"/>
      <c r="BE1629" s="63"/>
      <c r="BF1629" s="63"/>
      <c r="BG1629" s="63"/>
      <c r="CA1629" s="317"/>
      <c r="CF1629" s="5"/>
      <c r="CG1629" s="53"/>
      <c r="CH1629" s="53"/>
      <c r="CI1629" s="53"/>
      <c r="CJ1629" s="53"/>
      <c r="CK1629" s="53"/>
      <c r="CL1629" s="53"/>
      <c r="CN1629" s="53"/>
      <c r="CO1629" s="53"/>
      <c r="CP1629" s="53"/>
      <c r="CQ1629" s="53"/>
      <c r="CR1629" s="53"/>
      <c r="CS1629" s="53"/>
      <c r="CT1629" s="5"/>
      <c r="CU1629" s="5"/>
      <c r="CV1629" s="5"/>
      <c r="CW1629" s="5"/>
      <c r="CX1629" s="5"/>
      <c r="CY1629" s="5"/>
    </row>
    <row r="1630" spans="1:103" ht="10.25" customHeight="1">
      <c r="A1630" s="216"/>
      <c r="B1630" s="217"/>
      <c r="C1630" s="218"/>
      <c r="D1630" s="219"/>
      <c r="E1630" s="217"/>
      <c r="F1630" s="217"/>
      <c r="G1630" s="217"/>
      <c r="H1630" s="220"/>
      <c r="I1630" s="217"/>
      <c r="J1630" s="217"/>
      <c r="K1630" s="217"/>
      <c r="L1630" s="217"/>
      <c r="M1630" s="217"/>
      <c r="N1630" s="217"/>
      <c r="O1630" s="44"/>
      <c r="P1630" s="44"/>
      <c r="Q1630" s="44"/>
      <c r="R1630" s="44"/>
      <c r="S1630" s="44"/>
      <c r="T1630" s="44"/>
      <c r="U1630" s="44"/>
      <c r="V1630" s="44"/>
      <c r="W1630" s="44"/>
      <c r="X1630" s="44"/>
      <c r="Y1630" s="44"/>
      <c r="Z1630" s="44"/>
      <c r="AA1630" s="44"/>
      <c r="AB1630" s="44"/>
      <c r="AC1630" s="44"/>
      <c r="AD1630" s="44"/>
      <c r="AE1630" s="44"/>
      <c r="AF1630" s="44"/>
      <c r="AG1630" s="44"/>
      <c r="AH1630" s="44"/>
      <c r="AI1630" s="44"/>
      <c r="AJ1630" s="44"/>
      <c r="AK1630" s="44"/>
      <c r="AL1630" s="44"/>
      <c r="AM1630" s="44"/>
      <c r="AN1630" s="44"/>
      <c r="AO1630" s="44"/>
      <c r="AP1630" s="44"/>
      <c r="AQ1630" s="44"/>
      <c r="BA1630" s="5"/>
      <c r="BB1630" s="5"/>
      <c r="BC1630" s="5"/>
      <c r="BD1630" s="5"/>
      <c r="BE1630" s="63"/>
      <c r="BF1630" s="63"/>
      <c r="BG1630" s="63"/>
      <c r="CA1630" s="317"/>
      <c r="CF1630" s="5"/>
      <c r="CG1630" s="53"/>
      <c r="CH1630" s="53"/>
      <c r="CI1630" s="53"/>
      <c r="CJ1630" s="53"/>
      <c r="CK1630" s="53"/>
      <c r="CL1630" s="53"/>
      <c r="CN1630" s="53"/>
      <c r="CO1630" s="53"/>
      <c r="CP1630" s="53"/>
      <c r="CQ1630" s="53"/>
      <c r="CR1630" s="53"/>
      <c r="CS1630" s="53"/>
      <c r="CT1630" s="5"/>
      <c r="CU1630" s="5"/>
      <c r="CV1630" s="5"/>
      <c r="CW1630" s="5"/>
      <c r="CX1630" s="5"/>
      <c r="CY1630" s="5"/>
    </row>
    <row r="1631" spans="1:103" ht="10.25" customHeight="1">
      <c r="A1631" s="216"/>
      <c r="B1631" s="217"/>
      <c r="C1631" s="218"/>
      <c r="D1631" s="219"/>
      <c r="E1631" s="217"/>
      <c r="F1631" s="217"/>
      <c r="G1631" s="217"/>
      <c r="H1631" s="220"/>
      <c r="I1631" s="217"/>
      <c r="J1631" s="217"/>
      <c r="K1631" s="217"/>
      <c r="L1631" s="217"/>
      <c r="M1631" s="217"/>
      <c r="N1631" s="217"/>
      <c r="O1631" s="44"/>
      <c r="P1631" s="44"/>
      <c r="Q1631" s="44"/>
      <c r="R1631" s="44"/>
      <c r="S1631" s="44"/>
      <c r="T1631" s="44"/>
      <c r="U1631" s="44"/>
      <c r="V1631" s="44"/>
      <c r="W1631" s="44"/>
      <c r="X1631" s="44"/>
      <c r="Y1631" s="44"/>
      <c r="Z1631" s="44"/>
      <c r="AA1631" s="44"/>
      <c r="AB1631" s="44"/>
      <c r="AC1631" s="44"/>
      <c r="AD1631" s="44"/>
      <c r="AE1631" s="44"/>
      <c r="AF1631" s="44"/>
      <c r="AG1631" s="44"/>
      <c r="AH1631" s="44"/>
      <c r="AI1631" s="44"/>
      <c r="AJ1631" s="44"/>
      <c r="AK1631" s="44"/>
      <c r="AL1631" s="44"/>
      <c r="AM1631" s="44"/>
      <c r="AN1631" s="44"/>
      <c r="AO1631" s="44"/>
      <c r="AP1631" s="44"/>
      <c r="AQ1631" s="44"/>
      <c r="BA1631" s="5"/>
      <c r="BB1631" s="5"/>
      <c r="BC1631" s="5"/>
      <c r="BD1631" s="5"/>
      <c r="BE1631" s="63"/>
      <c r="BF1631" s="63"/>
      <c r="BG1631" s="63"/>
      <c r="CA1631" s="317"/>
      <c r="CF1631" s="5"/>
      <c r="CG1631" s="53"/>
      <c r="CH1631" s="53"/>
      <c r="CI1631" s="53"/>
      <c r="CJ1631" s="53"/>
      <c r="CK1631" s="53"/>
      <c r="CL1631" s="53"/>
      <c r="CN1631" s="53"/>
      <c r="CO1631" s="53"/>
      <c r="CP1631" s="53"/>
      <c r="CQ1631" s="53"/>
      <c r="CR1631" s="53"/>
      <c r="CS1631" s="53"/>
      <c r="CT1631" s="5"/>
      <c r="CU1631" s="5"/>
      <c r="CV1631" s="5"/>
      <c r="CW1631" s="5"/>
      <c r="CX1631" s="5"/>
      <c r="CY1631" s="5"/>
    </row>
    <row r="1632" spans="1:103" ht="10.25" customHeight="1">
      <c r="A1632" s="216"/>
      <c r="B1632" s="217"/>
      <c r="C1632" s="218"/>
      <c r="D1632" s="219"/>
      <c r="E1632" s="217"/>
      <c r="F1632" s="217"/>
      <c r="G1632" s="217"/>
      <c r="H1632" s="220"/>
      <c r="I1632" s="217"/>
      <c r="J1632" s="217"/>
      <c r="K1632" s="217"/>
      <c r="L1632" s="217"/>
      <c r="M1632" s="217"/>
      <c r="N1632" s="217"/>
      <c r="O1632" s="44"/>
      <c r="P1632" s="44"/>
      <c r="Q1632" s="44"/>
      <c r="R1632" s="44"/>
      <c r="S1632" s="44"/>
      <c r="T1632" s="44"/>
      <c r="U1632" s="44"/>
      <c r="V1632" s="44"/>
      <c r="W1632" s="44"/>
      <c r="X1632" s="44"/>
      <c r="Y1632" s="44"/>
      <c r="Z1632" s="44"/>
      <c r="AA1632" s="44"/>
      <c r="AB1632" s="44"/>
      <c r="AC1632" s="44"/>
      <c r="AD1632" s="44"/>
      <c r="AE1632" s="44"/>
      <c r="AF1632" s="44"/>
      <c r="AG1632" s="44"/>
      <c r="AH1632" s="44"/>
      <c r="AI1632" s="44"/>
      <c r="AJ1632" s="44"/>
      <c r="AK1632" s="44"/>
      <c r="AL1632" s="44"/>
      <c r="AM1632" s="44"/>
      <c r="AN1632" s="44"/>
      <c r="AO1632" s="44"/>
      <c r="AP1632" s="44"/>
      <c r="AQ1632" s="44"/>
      <c r="BA1632" s="5"/>
      <c r="BB1632" s="5"/>
      <c r="BC1632" s="5"/>
      <c r="BD1632" s="5"/>
      <c r="BE1632" s="63"/>
      <c r="BF1632" s="63"/>
      <c r="BG1632" s="63"/>
      <c r="CA1632" s="317"/>
      <c r="CF1632" s="5"/>
      <c r="CG1632" s="53"/>
      <c r="CH1632" s="53"/>
      <c r="CI1632" s="53"/>
      <c r="CJ1632" s="53"/>
      <c r="CK1632" s="53"/>
      <c r="CL1632" s="53"/>
      <c r="CN1632" s="53"/>
      <c r="CO1632" s="53"/>
      <c r="CP1632" s="53"/>
      <c r="CQ1632" s="53"/>
      <c r="CR1632" s="53"/>
      <c r="CS1632" s="53"/>
      <c r="CT1632" s="5"/>
      <c r="CU1632" s="5"/>
      <c r="CV1632" s="5"/>
      <c r="CW1632" s="5"/>
      <c r="CX1632" s="5"/>
      <c r="CY1632" s="5"/>
    </row>
    <row r="1633" spans="1:103" ht="10.25" customHeight="1">
      <c r="A1633" s="216"/>
      <c r="B1633" s="217"/>
      <c r="C1633" s="218"/>
      <c r="D1633" s="219"/>
      <c r="E1633" s="217"/>
      <c r="F1633" s="217"/>
      <c r="G1633" s="217"/>
      <c r="H1633" s="220"/>
      <c r="I1633" s="217"/>
      <c r="J1633" s="217"/>
      <c r="K1633" s="217"/>
      <c r="L1633" s="217"/>
      <c r="M1633" s="217"/>
      <c r="N1633" s="217"/>
      <c r="O1633" s="44"/>
      <c r="P1633" s="44"/>
      <c r="Q1633" s="44"/>
      <c r="R1633" s="44"/>
      <c r="S1633" s="44"/>
      <c r="T1633" s="44"/>
      <c r="U1633" s="44"/>
      <c r="V1633" s="44"/>
      <c r="W1633" s="44"/>
      <c r="X1633" s="44"/>
      <c r="Y1633" s="44"/>
      <c r="Z1633" s="44"/>
      <c r="AA1633" s="44"/>
      <c r="AB1633" s="44"/>
      <c r="AC1633" s="44"/>
      <c r="AD1633" s="44"/>
      <c r="AE1633" s="44"/>
      <c r="AF1633" s="44"/>
      <c r="AG1633" s="44"/>
      <c r="AH1633" s="44"/>
      <c r="AI1633" s="44"/>
      <c r="AJ1633" s="44"/>
      <c r="AK1633" s="44"/>
      <c r="AL1633" s="44"/>
      <c r="AM1633" s="44"/>
      <c r="AN1633" s="44"/>
      <c r="AO1633" s="44"/>
      <c r="AP1633" s="44"/>
      <c r="AQ1633" s="44"/>
      <c r="BA1633" s="5"/>
      <c r="BB1633" s="5"/>
      <c r="BC1633" s="5"/>
      <c r="BD1633" s="5"/>
      <c r="BE1633" s="63"/>
      <c r="BF1633" s="63"/>
      <c r="BG1633" s="63"/>
      <c r="CA1633" s="317"/>
      <c r="CF1633" s="5"/>
      <c r="CG1633" s="53"/>
      <c r="CH1633" s="53"/>
      <c r="CI1633" s="53"/>
      <c r="CJ1633" s="53"/>
      <c r="CK1633" s="53"/>
      <c r="CL1633" s="53"/>
      <c r="CN1633" s="53"/>
      <c r="CO1633" s="53"/>
      <c r="CP1633" s="53"/>
      <c r="CQ1633" s="53"/>
      <c r="CR1633" s="53"/>
      <c r="CS1633" s="53"/>
      <c r="CT1633" s="5"/>
      <c r="CU1633" s="5"/>
      <c r="CV1633" s="5"/>
      <c r="CW1633" s="5"/>
      <c r="CX1633" s="5"/>
      <c r="CY1633" s="5"/>
    </row>
    <row r="1634" spans="1:103" ht="10.25" customHeight="1">
      <c r="A1634" s="216"/>
      <c r="B1634" s="217"/>
      <c r="C1634" s="218"/>
      <c r="D1634" s="219"/>
      <c r="E1634" s="217"/>
      <c r="F1634" s="217"/>
      <c r="G1634" s="217"/>
      <c r="H1634" s="220"/>
      <c r="I1634" s="217"/>
      <c r="J1634" s="217"/>
      <c r="K1634" s="217"/>
      <c r="L1634" s="217"/>
      <c r="M1634" s="217"/>
      <c r="N1634" s="217"/>
      <c r="O1634" s="44"/>
      <c r="P1634" s="44"/>
      <c r="Q1634" s="44"/>
      <c r="R1634" s="44"/>
      <c r="S1634" s="44"/>
      <c r="T1634" s="44"/>
      <c r="U1634" s="44"/>
      <c r="V1634" s="44"/>
      <c r="W1634" s="44"/>
      <c r="X1634" s="44"/>
      <c r="Y1634" s="44"/>
      <c r="Z1634" s="44"/>
      <c r="AA1634" s="44"/>
      <c r="AB1634" s="44"/>
      <c r="AC1634" s="44"/>
      <c r="AD1634" s="44"/>
      <c r="AE1634" s="44"/>
      <c r="AF1634" s="44"/>
      <c r="AG1634" s="44"/>
      <c r="AH1634" s="44"/>
      <c r="AI1634" s="44"/>
      <c r="AJ1634" s="44"/>
      <c r="AK1634" s="44"/>
      <c r="AL1634" s="44"/>
      <c r="AM1634" s="44"/>
      <c r="AN1634" s="44"/>
      <c r="AO1634" s="44"/>
      <c r="AP1634" s="44"/>
      <c r="AQ1634" s="44"/>
      <c r="BA1634" s="5"/>
      <c r="BB1634" s="5"/>
      <c r="BC1634" s="5"/>
      <c r="BD1634" s="5"/>
      <c r="BE1634" s="63"/>
      <c r="BF1634" s="63"/>
      <c r="BG1634" s="63"/>
      <c r="CA1634" s="317"/>
      <c r="CF1634" s="5"/>
      <c r="CG1634" s="53"/>
      <c r="CH1634" s="53"/>
      <c r="CI1634" s="53"/>
      <c r="CJ1634" s="53"/>
      <c r="CK1634" s="53"/>
      <c r="CL1634" s="53"/>
      <c r="CN1634" s="53"/>
      <c r="CO1634" s="53"/>
      <c r="CP1634" s="53"/>
      <c r="CQ1634" s="53"/>
      <c r="CR1634" s="53"/>
      <c r="CS1634" s="53"/>
      <c r="CT1634" s="5"/>
      <c r="CU1634" s="5"/>
      <c r="CV1634" s="5"/>
      <c r="CW1634" s="5"/>
      <c r="CX1634" s="5"/>
      <c r="CY1634" s="5"/>
    </row>
    <row r="1635" spans="1:103" ht="10.25" customHeight="1">
      <c r="A1635" s="216"/>
      <c r="B1635" s="217"/>
      <c r="C1635" s="218"/>
      <c r="D1635" s="219"/>
      <c r="E1635" s="217"/>
      <c r="F1635" s="217"/>
      <c r="G1635" s="217"/>
      <c r="H1635" s="220"/>
      <c r="I1635" s="217"/>
      <c r="J1635" s="217"/>
      <c r="K1635" s="217"/>
      <c r="L1635" s="217"/>
      <c r="M1635" s="217"/>
      <c r="N1635" s="217"/>
      <c r="O1635" s="44"/>
      <c r="P1635" s="44"/>
      <c r="Q1635" s="44"/>
      <c r="R1635" s="44"/>
      <c r="S1635" s="44"/>
      <c r="T1635" s="44"/>
      <c r="U1635" s="44"/>
      <c r="V1635" s="44"/>
      <c r="W1635" s="44"/>
      <c r="X1635" s="44"/>
      <c r="Y1635" s="44"/>
      <c r="Z1635" s="44"/>
      <c r="AA1635" s="44"/>
      <c r="AB1635" s="44"/>
      <c r="AC1635" s="44"/>
      <c r="AD1635" s="44"/>
      <c r="AE1635" s="44"/>
      <c r="AF1635" s="44"/>
      <c r="AG1635" s="44"/>
      <c r="AH1635" s="44"/>
      <c r="AI1635" s="44"/>
      <c r="AJ1635" s="44"/>
      <c r="AK1635" s="44"/>
      <c r="AL1635" s="44"/>
      <c r="AM1635" s="44"/>
      <c r="AN1635" s="44"/>
      <c r="AO1635" s="44"/>
      <c r="AP1635" s="44"/>
      <c r="AQ1635" s="44"/>
      <c r="BA1635" s="5"/>
      <c r="BB1635" s="5"/>
      <c r="BC1635" s="5"/>
      <c r="BD1635" s="5"/>
      <c r="BE1635" s="63"/>
      <c r="BF1635" s="63"/>
      <c r="BG1635" s="63"/>
      <c r="CA1635" s="317"/>
      <c r="CF1635" s="5"/>
      <c r="CG1635" s="53"/>
      <c r="CH1635" s="53"/>
      <c r="CI1635" s="53"/>
      <c r="CJ1635" s="53"/>
      <c r="CK1635" s="53"/>
      <c r="CL1635" s="53"/>
      <c r="CN1635" s="53"/>
      <c r="CO1635" s="53"/>
      <c r="CP1635" s="53"/>
      <c r="CQ1635" s="53"/>
      <c r="CR1635" s="53"/>
      <c r="CS1635" s="53"/>
      <c r="CT1635" s="5"/>
      <c r="CU1635" s="5"/>
      <c r="CV1635" s="5"/>
      <c r="CW1635" s="5"/>
      <c r="CX1635" s="5"/>
      <c r="CY1635" s="5"/>
    </row>
    <row r="1636" spans="1:103" ht="10.25" customHeight="1">
      <c r="A1636" s="216"/>
      <c r="B1636" s="217"/>
      <c r="C1636" s="218"/>
      <c r="D1636" s="219"/>
      <c r="E1636" s="217"/>
      <c r="F1636" s="217"/>
      <c r="G1636" s="217"/>
      <c r="H1636" s="220"/>
      <c r="I1636" s="217"/>
      <c r="J1636" s="217"/>
      <c r="K1636" s="217"/>
      <c r="L1636" s="217"/>
      <c r="M1636" s="217"/>
      <c r="N1636" s="217"/>
      <c r="O1636" s="44"/>
      <c r="P1636" s="44"/>
      <c r="Q1636" s="44"/>
      <c r="R1636" s="44"/>
      <c r="S1636" s="44"/>
      <c r="T1636" s="44"/>
      <c r="U1636" s="44"/>
      <c r="V1636" s="44"/>
      <c r="W1636" s="44"/>
      <c r="X1636" s="44"/>
      <c r="Y1636" s="44"/>
      <c r="Z1636" s="44"/>
      <c r="AA1636" s="44"/>
      <c r="AB1636" s="44"/>
      <c r="AC1636" s="44"/>
      <c r="AD1636" s="44"/>
      <c r="AE1636" s="44"/>
      <c r="AF1636" s="44"/>
      <c r="AG1636" s="44"/>
      <c r="AH1636" s="44"/>
      <c r="AI1636" s="44"/>
      <c r="AJ1636" s="44"/>
      <c r="AK1636" s="44"/>
      <c r="AL1636" s="44"/>
      <c r="AM1636" s="44"/>
      <c r="AN1636" s="44"/>
      <c r="AO1636" s="44"/>
      <c r="AP1636" s="44"/>
      <c r="AQ1636" s="44"/>
      <c r="BA1636" s="5"/>
      <c r="BB1636" s="5"/>
      <c r="BC1636" s="5"/>
      <c r="BD1636" s="5"/>
      <c r="BE1636" s="63"/>
      <c r="BF1636" s="63"/>
      <c r="BG1636" s="63"/>
      <c r="CA1636" s="317"/>
      <c r="CF1636" s="5"/>
      <c r="CG1636" s="53"/>
      <c r="CH1636" s="53"/>
      <c r="CI1636" s="53"/>
      <c r="CJ1636" s="53"/>
      <c r="CK1636" s="53"/>
      <c r="CL1636" s="53"/>
      <c r="CN1636" s="53"/>
      <c r="CO1636" s="53"/>
      <c r="CP1636" s="53"/>
      <c r="CQ1636" s="53"/>
      <c r="CR1636" s="53"/>
      <c r="CS1636" s="53"/>
      <c r="CT1636" s="5"/>
      <c r="CU1636" s="5"/>
      <c r="CV1636" s="5"/>
      <c r="CW1636" s="5"/>
      <c r="CX1636" s="5"/>
      <c r="CY1636" s="5"/>
    </row>
    <row r="1637" spans="1:103" ht="10.25" customHeight="1">
      <c r="A1637" s="216"/>
      <c r="B1637" s="217"/>
      <c r="C1637" s="218"/>
      <c r="D1637" s="219"/>
      <c r="E1637" s="217"/>
      <c r="F1637" s="217"/>
      <c r="G1637" s="217"/>
      <c r="H1637" s="220"/>
      <c r="I1637" s="217"/>
      <c r="J1637" s="217"/>
      <c r="K1637" s="217"/>
      <c r="L1637" s="217"/>
      <c r="M1637" s="217"/>
      <c r="N1637" s="217"/>
      <c r="O1637" s="44"/>
      <c r="P1637" s="44"/>
      <c r="Q1637" s="44"/>
      <c r="R1637" s="44"/>
      <c r="S1637" s="44"/>
      <c r="T1637" s="44"/>
      <c r="U1637" s="44"/>
      <c r="V1637" s="44"/>
      <c r="W1637" s="44"/>
      <c r="X1637" s="44"/>
      <c r="Y1637" s="44"/>
      <c r="Z1637" s="44"/>
      <c r="AA1637" s="44"/>
      <c r="AB1637" s="44"/>
      <c r="AC1637" s="44"/>
      <c r="AD1637" s="44"/>
      <c r="AE1637" s="44"/>
      <c r="AF1637" s="44"/>
      <c r="AG1637" s="44"/>
      <c r="AH1637" s="44"/>
      <c r="AI1637" s="44"/>
      <c r="AJ1637" s="44"/>
      <c r="AK1637" s="44"/>
      <c r="AL1637" s="44"/>
      <c r="AM1637" s="44"/>
      <c r="AN1637" s="44"/>
      <c r="AO1637" s="44"/>
      <c r="AP1637" s="44"/>
      <c r="AQ1637" s="44"/>
      <c r="BA1637" s="5"/>
      <c r="BB1637" s="5"/>
      <c r="BC1637" s="5"/>
      <c r="BD1637" s="5"/>
      <c r="BE1637" s="63"/>
      <c r="BF1637" s="63"/>
      <c r="BG1637" s="63"/>
      <c r="CA1637" s="256"/>
      <c r="CB1637" s="261"/>
      <c r="CC1637" s="261"/>
      <c r="CD1637" s="261"/>
      <c r="CE1637" s="261"/>
      <c r="CF1637" s="255"/>
      <c r="CG1637" s="53"/>
      <c r="CH1637" s="53"/>
      <c r="CI1637" s="53"/>
      <c r="CJ1637" s="53"/>
      <c r="CK1637" s="53"/>
      <c r="CL1637" s="53"/>
      <c r="CN1637" s="53"/>
      <c r="CO1637" s="53"/>
      <c r="CP1637" s="53"/>
      <c r="CQ1637" s="53"/>
      <c r="CR1637" s="53"/>
      <c r="CS1637" s="53"/>
      <c r="CT1637" s="261"/>
      <c r="CU1637" s="255"/>
      <c r="CV1637" s="261"/>
      <c r="CW1637" s="261"/>
      <c r="CX1637" s="261"/>
      <c r="CY1637" s="255"/>
    </row>
    <row r="1638" spans="1:103" ht="10.25" customHeight="1">
      <c r="A1638" s="216"/>
      <c r="B1638" s="217"/>
      <c r="C1638" s="218"/>
      <c r="D1638" s="219"/>
      <c r="E1638" s="217"/>
      <c r="F1638" s="217"/>
      <c r="G1638" s="217"/>
      <c r="H1638" s="220"/>
      <c r="I1638" s="217"/>
      <c r="J1638" s="217"/>
      <c r="K1638" s="217"/>
      <c r="L1638" s="217"/>
      <c r="M1638" s="217"/>
      <c r="N1638" s="217"/>
      <c r="O1638" s="44"/>
      <c r="P1638" s="44"/>
      <c r="Q1638" s="44"/>
      <c r="R1638" s="44"/>
      <c r="S1638" s="44"/>
      <c r="T1638" s="44"/>
      <c r="U1638" s="44"/>
      <c r="V1638" s="44"/>
      <c r="W1638" s="44"/>
      <c r="X1638" s="44"/>
      <c r="Y1638" s="44"/>
      <c r="Z1638" s="44"/>
      <c r="AA1638" s="44"/>
      <c r="AB1638" s="44"/>
      <c r="AC1638" s="44"/>
      <c r="AD1638" s="44"/>
      <c r="AE1638" s="44"/>
      <c r="AF1638" s="44"/>
      <c r="AG1638" s="44"/>
      <c r="AH1638" s="44"/>
      <c r="AI1638" s="44"/>
      <c r="AJ1638" s="44"/>
      <c r="AK1638" s="44"/>
      <c r="AL1638" s="44"/>
      <c r="AM1638" s="44"/>
      <c r="AN1638" s="44"/>
      <c r="AO1638" s="44"/>
      <c r="AP1638" s="44"/>
      <c r="AQ1638" s="44"/>
      <c r="BA1638" s="5"/>
      <c r="BB1638" s="5"/>
      <c r="BC1638" s="5"/>
      <c r="BD1638" s="5"/>
      <c r="BE1638" s="63"/>
      <c r="BF1638" s="63"/>
      <c r="BG1638" s="63"/>
      <c r="CA1638" s="256"/>
      <c r="CB1638" s="261"/>
      <c r="CC1638" s="261"/>
      <c r="CD1638" s="261"/>
      <c r="CE1638" s="261"/>
      <c r="CF1638" s="255"/>
      <c r="CG1638" s="53"/>
      <c r="CH1638" s="53"/>
      <c r="CI1638" s="53"/>
      <c r="CJ1638" s="53"/>
      <c r="CK1638" s="53"/>
      <c r="CL1638" s="53"/>
      <c r="CN1638" s="53"/>
      <c r="CO1638" s="53"/>
      <c r="CP1638" s="53"/>
      <c r="CQ1638" s="53"/>
      <c r="CR1638" s="53"/>
      <c r="CS1638" s="53"/>
      <c r="CT1638" s="261"/>
      <c r="CU1638" s="255"/>
      <c r="CV1638" s="261"/>
      <c r="CW1638" s="261"/>
      <c r="CX1638" s="261"/>
      <c r="CY1638" s="255"/>
    </row>
    <row r="1639" spans="1:103" ht="10.25" customHeight="1">
      <c r="A1639" s="216"/>
      <c r="B1639" s="217"/>
      <c r="C1639" s="218"/>
      <c r="D1639" s="219"/>
      <c r="E1639" s="217"/>
      <c r="F1639" s="217"/>
      <c r="G1639" s="217"/>
      <c r="H1639" s="220"/>
      <c r="I1639" s="217"/>
      <c r="J1639" s="217"/>
      <c r="K1639" s="217"/>
      <c r="L1639" s="217"/>
      <c r="M1639" s="217"/>
      <c r="N1639" s="217"/>
      <c r="O1639" s="44"/>
      <c r="P1639" s="44"/>
      <c r="Q1639" s="44"/>
      <c r="R1639" s="44"/>
      <c r="S1639" s="44"/>
      <c r="T1639" s="44"/>
      <c r="U1639" s="44"/>
      <c r="V1639" s="44"/>
      <c r="W1639" s="44"/>
      <c r="X1639" s="44"/>
      <c r="Y1639" s="44"/>
      <c r="Z1639" s="44"/>
      <c r="AA1639" s="44"/>
      <c r="AB1639" s="44"/>
      <c r="AC1639" s="44"/>
      <c r="AD1639" s="44"/>
      <c r="AE1639" s="44"/>
      <c r="AF1639" s="44"/>
      <c r="AG1639" s="44"/>
      <c r="AH1639" s="44"/>
      <c r="AI1639" s="44"/>
      <c r="AJ1639" s="44"/>
      <c r="AK1639" s="44"/>
      <c r="AL1639" s="44"/>
      <c r="AM1639" s="44"/>
      <c r="AN1639" s="44"/>
      <c r="AO1639" s="44"/>
      <c r="AP1639" s="44"/>
      <c r="AQ1639" s="44"/>
      <c r="BA1639" s="5"/>
      <c r="BB1639" s="5"/>
      <c r="BC1639" s="5"/>
      <c r="BD1639" s="5"/>
      <c r="BE1639" s="63"/>
      <c r="BF1639" s="63"/>
      <c r="BG1639" s="63"/>
      <c r="CA1639" s="256"/>
      <c r="CB1639" s="261"/>
      <c r="CC1639" s="261"/>
      <c r="CD1639" s="261"/>
      <c r="CE1639" s="261"/>
      <c r="CF1639" s="255"/>
      <c r="CG1639" s="53"/>
      <c r="CH1639" s="53"/>
      <c r="CI1639" s="53"/>
      <c r="CJ1639" s="53"/>
      <c r="CK1639" s="53"/>
      <c r="CL1639" s="53"/>
      <c r="CN1639" s="53"/>
      <c r="CO1639" s="53"/>
      <c r="CP1639" s="53"/>
      <c r="CQ1639" s="53"/>
      <c r="CR1639" s="53"/>
      <c r="CS1639" s="53"/>
      <c r="CT1639" s="261"/>
      <c r="CU1639" s="255"/>
      <c r="CV1639" s="261"/>
      <c r="CW1639" s="255"/>
      <c r="CX1639" s="261"/>
      <c r="CY1639" s="255"/>
    </row>
    <row r="1640" spans="1:103" ht="10.25" customHeight="1">
      <c r="A1640" s="216"/>
      <c r="B1640" s="217"/>
      <c r="C1640" s="218"/>
      <c r="D1640" s="219"/>
      <c r="E1640" s="217"/>
      <c r="F1640" s="217"/>
      <c r="G1640" s="217"/>
      <c r="H1640" s="220"/>
      <c r="I1640" s="217"/>
      <c r="J1640" s="217"/>
      <c r="K1640" s="217"/>
      <c r="L1640" s="217"/>
      <c r="M1640" s="217"/>
      <c r="N1640" s="217"/>
      <c r="O1640" s="44"/>
      <c r="P1640" s="44"/>
      <c r="Q1640" s="44"/>
      <c r="R1640" s="44"/>
      <c r="S1640" s="44"/>
      <c r="T1640" s="44"/>
      <c r="U1640" s="44"/>
      <c r="V1640" s="44"/>
      <c r="W1640" s="44"/>
      <c r="X1640" s="44"/>
      <c r="Y1640" s="44"/>
      <c r="Z1640" s="44"/>
      <c r="AA1640" s="44"/>
      <c r="AB1640" s="44"/>
      <c r="AC1640" s="44"/>
      <c r="AD1640" s="44"/>
      <c r="AE1640" s="44"/>
      <c r="AF1640" s="44"/>
      <c r="AG1640" s="44"/>
      <c r="AH1640" s="44"/>
      <c r="AI1640" s="44"/>
      <c r="AJ1640" s="44"/>
      <c r="AK1640" s="44"/>
      <c r="AL1640" s="44"/>
      <c r="AM1640" s="44"/>
      <c r="AN1640" s="44"/>
      <c r="AO1640" s="44"/>
      <c r="AP1640" s="44"/>
      <c r="AQ1640" s="44"/>
      <c r="BA1640" s="5"/>
      <c r="BB1640" s="5"/>
      <c r="BC1640" s="5"/>
      <c r="BD1640" s="5"/>
      <c r="BE1640" s="63"/>
      <c r="BF1640" s="63"/>
      <c r="BG1640" s="63"/>
      <c r="CA1640" s="256"/>
      <c r="CB1640" s="261"/>
      <c r="CC1640" s="261"/>
      <c r="CD1640" s="261"/>
      <c r="CE1640" s="261"/>
      <c r="CF1640" s="255"/>
      <c r="CG1640" s="53"/>
      <c r="CH1640" s="53"/>
      <c r="CI1640" s="53"/>
      <c r="CJ1640" s="53"/>
      <c r="CK1640" s="53"/>
      <c r="CL1640" s="53"/>
      <c r="CN1640" s="53"/>
      <c r="CO1640" s="53"/>
      <c r="CP1640" s="53"/>
      <c r="CQ1640" s="53"/>
      <c r="CR1640" s="53"/>
      <c r="CS1640" s="53"/>
      <c r="CT1640" s="261"/>
      <c r="CU1640" s="255"/>
      <c r="CV1640" s="255"/>
      <c r="CW1640" s="261"/>
      <c r="CX1640" s="261"/>
      <c r="CY1640" s="255"/>
    </row>
    <row r="1641" spans="1:103" ht="10.25" customHeight="1">
      <c r="A1641" s="216"/>
      <c r="B1641" s="217"/>
      <c r="C1641" s="218"/>
      <c r="D1641" s="219"/>
      <c r="E1641" s="217"/>
      <c r="F1641" s="217"/>
      <c r="G1641" s="217"/>
      <c r="H1641" s="220"/>
      <c r="I1641" s="217"/>
      <c r="J1641" s="217"/>
      <c r="K1641" s="217"/>
      <c r="L1641" s="217"/>
      <c r="M1641" s="217"/>
      <c r="N1641" s="217"/>
      <c r="O1641" s="44"/>
      <c r="P1641" s="44"/>
      <c r="Q1641" s="44"/>
      <c r="R1641" s="44"/>
      <c r="S1641" s="44"/>
      <c r="T1641" s="44"/>
      <c r="U1641" s="44"/>
      <c r="V1641" s="44"/>
      <c r="W1641" s="44"/>
      <c r="X1641" s="44"/>
      <c r="Y1641" s="44"/>
      <c r="Z1641" s="44"/>
      <c r="AA1641" s="44"/>
      <c r="AB1641" s="44"/>
      <c r="AC1641" s="44"/>
      <c r="AD1641" s="44"/>
      <c r="AE1641" s="44"/>
      <c r="AF1641" s="44"/>
      <c r="AG1641" s="44"/>
      <c r="AH1641" s="44"/>
      <c r="AI1641" s="44"/>
      <c r="AJ1641" s="44"/>
      <c r="AK1641" s="44"/>
      <c r="AL1641" s="44"/>
      <c r="AM1641" s="44"/>
      <c r="AN1641" s="44"/>
      <c r="AO1641" s="44"/>
      <c r="AP1641" s="44"/>
      <c r="AQ1641" s="44"/>
      <c r="BA1641" s="5"/>
      <c r="BB1641" s="5"/>
      <c r="BC1641" s="5"/>
      <c r="BD1641" s="5"/>
      <c r="BE1641" s="63"/>
      <c r="BF1641" s="63"/>
      <c r="BG1641" s="63"/>
      <c r="CA1641" s="256"/>
      <c r="CB1641" s="261"/>
      <c r="CC1641" s="261"/>
      <c r="CD1641" s="261"/>
      <c r="CE1641" s="261"/>
      <c r="CF1641" s="255"/>
      <c r="CG1641" s="53"/>
      <c r="CH1641" s="53"/>
      <c r="CI1641" s="53"/>
      <c r="CJ1641" s="53"/>
      <c r="CK1641" s="53"/>
      <c r="CL1641" s="53"/>
      <c r="CN1641" s="53"/>
      <c r="CO1641" s="53"/>
      <c r="CP1641" s="53"/>
      <c r="CQ1641" s="53"/>
      <c r="CR1641" s="53"/>
      <c r="CS1641" s="53"/>
      <c r="CT1641" s="261"/>
      <c r="CU1641" s="255"/>
      <c r="CV1641" s="261"/>
      <c r="CW1641" s="255"/>
      <c r="CX1641" s="261"/>
      <c r="CY1641" s="255"/>
    </row>
    <row r="1642" spans="1:103" ht="10.25" customHeight="1">
      <c r="A1642" s="216"/>
      <c r="B1642" s="217"/>
      <c r="C1642" s="218"/>
      <c r="D1642" s="219"/>
      <c r="E1642" s="217"/>
      <c r="F1642" s="217"/>
      <c r="G1642" s="217"/>
      <c r="H1642" s="220"/>
      <c r="I1642" s="217"/>
      <c r="J1642" s="217"/>
      <c r="K1642" s="217"/>
      <c r="L1642" s="217"/>
      <c r="M1642" s="217"/>
      <c r="N1642" s="217"/>
      <c r="O1642" s="44"/>
      <c r="P1642" s="44"/>
      <c r="Q1642" s="44"/>
      <c r="R1642" s="44"/>
      <c r="S1642" s="44"/>
      <c r="T1642" s="44"/>
      <c r="U1642" s="44"/>
      <c r="V1642" s="44"/>
      <c r="W1642" s="44"/>
      <c r="X1642" s="44"/>
      <c r="Y1642" s="44"/>
      <c r="Z1642" s="44"/>
      <c r="AA1642" s="44"/>
      <c r="AB1642" s="44"/>
      <c r="AC1642" s="44"/>
      <c r="AD1642" s="44"/>
      <c r="AE1642" s="44"/>
      <c r="AF1642" s="44"/>
      <c r="AG1642" s="44"/>
      <c r="AH1642" s="44"/>
      <c r="AI1642" s="44"/>
      <c r="AJ1642" s="44"/>
      <c r="AK1642" s="44"/>
      <c r="AL1642" s="44"/>
      <c r="AM1642" s="44"/>
      <c r="AN1642" s="44"/>
      <c r="AO1642" s="44"/>
      <c r="AP1642" s="44"/>
      <c r="AQ1642" s="44"/>
      <c r="BA1642" s="5"/>
      <c r="BB1642" s="5"/>
      <c r="BC1642" s="5"/>
      <c r="BD1642" s="5"/>
      <c r="BE1642" s="63"/>
      <c r="BF1642" s="63"/>
      <c r="BG1642" s="63"/>
      <c r="CA1642" s="256"/>
      <c r="CB1642" s="261"/>
      <c r="CC1642" s="261"/>
      <c r="CD1642" s="261"/>
      <c r="CE1642" s="255"/>
      <c r="CF1642" s="261"/>
      <c r="CG1642" s="53"/>
      <c r="CH1642" s="53"/>
      <c r="CI1642" s="53"/>
      <c r="CJ1642" s="53"/>
      <c r="CK1642" s="53"/>
      <c r="CL1642" s="53"/>
      <c r="CN1642" s="53"/>
      <c r="CO1642" s="53"/>
      <c r="CP1642" s="53"/>
      <c r="CQ1642" s="53"/>
      <c r="CR1642" s="53"/>
      <c r="CS1642" s="53"/>
      <c r="CT1642" s="255"/>
      <c r="CU1642" s="261"/>
      <c r="CV1642" s="255"/>
      <c r="CW1642" s="261"/>
      <c r="CX1642" s="261"/>
      <c r="CY1642" s="255"/>
    </row>
    <row r="1643" spans="1:103" ht="10.25" customHeight="1">
      <c r="A1643" s="216"/>
      <c r="B1643" s="217"/>
      <c r="C1643" s="218"/>
      <c r="D1643" s="219"/>
      <c r="E1643" s="217"/>
      <c r="F1643" s="217"/>
      <c r="G1643" s="217"/>
      <c r="H1643" s="220"/>
      <c r="I1643" s="217"/>
      <c r="J1643" s="217"/>
      <c r="K1643" s="217"/>
      <c r="L1643" s="217"/>
      <c r="M1643" s="217"/>
      <c r="N1643" s="217"/>
      <c r="O1643" s="44"/>
      <c r="P1643" s="44"/>
      <c r="Q1643" s="44"/>
      <c r="R1643" s="44"/>
      <c r="S1643" s="44"/>
      <c r="T1643" s="44"/>
      <c r="U1643" s="44"/>
      <c r="V1643" s="44"/>
      <c r="W1643" s="44"/>
      <c r="X1643" s="44"/>
      <c r="Y1643" s="44"/>
      <c r="Z1643" s="44"/>
      <c r="AA1643" s="44"/>
      <c r="AB1643" s="44"/>
      <c r="AC1643" s="44"/>
      <c r="AD1643" s="44"/>
      <c r="AE1643" s="44"/>
      <c r="AF1643" s="44"/>
      <c r="AG1643" s="44"/>
      <c r="AH1643" s="44"/>
      <c r="AI1643" s="44"/>
      <c r="AJ1643" s="44"/>
      <c r="AK1643" s="44"/>
      <c r="AL1643" s="44"/>
      <c r="AM1643" s="44"/>
      <c r="AN1643" s="44"/>
      <c r="AO1643" s="44"/>
      <c r="AP1643" s="44"/>
      <c r="AQ1643" s="44"/>
      <c r="BA1643" s="5"/>
      <c r="BB1643" s="5"/>
      <c r="BC1643" s="5"/>
      <c r="BD1643" s="5"/>
      <c r="BE1643" s="63"/>
      <c r="BF1643" s="63"/>
      <c r="BG1643" s="63"/>
      <c r="CA1643" s="256"/>
      <c r="CB1643" s="261"/>
      <c r="CC1643" s="261"/>
      <c r="CD1643" s="261"/>
      <c r="CE1643" s="255"/>
      <c r="CF1643" s="261"/>
      <c r="CG1643" s="53"/>
      <c r="CH1643" s="53"/>
      <c r="CI1643" s="53"/>
      <c r="CJ1643" s="53"/>
      <c r="CK1643" s="53"/>
      <c r="CL1643" s="53"/>
      <c r="CN1643" s="53"/>
      <c r="CO1643" s="53"/>
      <c r="CP1643" s="53"/>
      <c r="CQ1643" s="53"/>
      <c r="CR1643" s="53"/>
      <c r="CS1643" s="53"/>
      <c r="CT1643" s="255"/>
      <c r="CU1643" s="261"/>
      <c r="CV1643" s="261"/>
      <c r="CW1643" s="255"/>
      <c r="CX1643" s="261"/>
      <c r="CY1643" s="255"/>
    </row>
    <row r="1644" spans="1:103" ht="10.25" customHeight="1">
      <c r="A1644" s="216"/>
      <c r="B1644" s="217"/>
      <c r="C1644" s="218"/>
      <c r="D1644" s="219"/>
      <c r="E1644" s="217"/>
      <c r="F1644" s="217"/>
      <c r="G1644" s="217"/>
      <c r="H1644" s="220"/>
      <c r="I1644" s="217"/>
      <c r="J1644" s="217"/>
      <c r="K1644" s="217"/>
      <c r="L1644" s="217"/>
      <c r="M1644" s="217"/>
      <c r="N1644" s="217"/>
      <c r="O1644" s="44"/>
      <c r="P1644" s="44"/>
      <c r="Q1644" s="44"/>
      <c r="R1644" s="44"/>
      <c r="S1644" s="44"/>
      <c r="T1644" s="44"/>
      <c r="U1644" s="44"/>
      <c r="V1644" s="44"/>
      <c r="W1644" s="44"/>
      <c r="X1644" s="44"/>
      <c r="Y1644" s="44"/>
      <c r="Z1644" s="44"/>
      <c r="AA1644" s="44"/>
      <c r="AB1644" s="44"/>
      <c r="AC1644" s="44"/>
      <c r="AD1644" s="44"/>
      <c r="AE1644" s="44"/>
      <c r="AF1644" s="44"/>
      <c r="AG1644" s="44"/>
      <c r="AH1644" s="44"/>
      <c r="AI1644" s="44"/>
      <c r="AJ1644" s="44"/>
      <c r="AK1644" s="44"/>
      <c r="AL1644" s="44"/>
      <c r="AM1644" s="44"/>
      <c r="AN1644" s="44"/>
      <c r="AO1644" s="44"/>
      <c r="AP1644" s="44"/>
      <c r="AQ1644" s="44"/>
      <c r="BA1644" s="5"/>
      <c r="BB1644" s="5"/>
      <c r="BC1644" s="5"/>
      <c r="BD1644" s="5"/>
      <c r="BE1644" s="63"/>
      <c r="BF1644" s="63"/>
      <c r="BG1644" s="63"/>
      <c r="CA1644" s="256"/>
      <c r="CB1644" s="261"/>
      <c r="CC1644" s="261"/>
      <c r="CD1644" s="255"/>
      <c r="CE1644" s="261"/>
      <c r="CF1644" s="261"/>
      <c r="CG1644" s="53"/>
      <c r="CH1644" s="53"/>
      <c r="CI1644" s="53"/>
      <c r="CJ1644" s="53"/>
      <c r="CK1644" s="53"/>
      <c r="CL1644" s="53"/>
      <c r="CN1644" s="53"/>
      <c r="CO1644" s="53"/>
      <c r="CP1644" s="53"/>
      <c r="CQ1644" s="53"/>
      <c r="CR1644" s="53"/>
      <c r="CS1644" s="53"/>
      <c r="CT1644" s="261"/>
      <c r="CU1644" s="261"/>
      <c r="CV1644" s="255"/>
      <c r="CW1644" s="261"/>
      <c r="CX1644" s="261"/>
      <c r="CY1644" s="255"/>
    </row>
    <row r="1645" spans="1:103" ht="10.25" customHeight="1">
      <c r="A1645" s="216"/>
      <c r="B1645" s="217"/>
      <c r="C1645" s="218"/>
      <c r="D1645" s="219"/>
      <c r="E1645" s="217"/>
      <c r="F1645" s="217"/>
      <c r="G1645" s="217"/>
      <c r="H1645" s="220"/>
      <c r="I1645" s="217"/>
      <c r="J1645" s="217"/>
      <c r="K1645" s="217"/>
      <c r="L1645" s="217"/>
      <c r="M1645" s="217"/>
      <c r="N1645" s="217"/>
      <c r="O1645" s="44"/>
      <c r="P1645" s="44"/>
      <c r="Q1645" s="44"/>
      <c r="R1645" s="44"/>
      <c r="S1645" s="44"/>
      <c r="T1645" s="44"/>
      <c r="U1645" s="44"/>
      <c r="V1645" s="44"/>
      <c r="W1645" s="44"/>
      <c r="X1645" s="44"/>
      <c r="Y1645" s="44"/>
      <c r="Z1645" s="44"/>
      <c r="AA1645" s="44"/>
      <c r="AB1645" s="44"/>
      <c r="AC1645" s="44"/>
      <c r="AD1645" s="44"/>
      <c r="AE1645" s="44"/>
      <c r="AF1645" s="44"/>
      <c r="AG1645" s="44"/>
      <c r="AH1645" s="44"/>
      <c r="AI1645" s="44"/>
      <c r="AJ1645" s="44"/>
      <c r="AK1645" s="44"/>
      <c r="AL1645" s="44"/>
      <c r="AM1645" s="44"/>
      <c r="AN1645" s="44"/>
      <c r="AO1645" s="44"/>
      <c r="AP1645" s="44"/>
      <c r="AQ1645" s="44"/>
      <c r="BA1645" s="5"/>
      <c r="BB1645" s="5"/>
      <c r="BC1645" s="5"/>
      <c r="BD1645" s="5"/>
      <c r="BE1645" s="63"/>
      <c r="BF1645" s="63"/>
      <c r="BG1645" s="63"/>
      <c r="CA1645" s="256"/>
      <c r="CB1645" s="261"/>
      <c r="CC1645" s="261"/>
      <c r="CD1645" s="255"/>
      <c r="CE1645" s="261"/>
      <c r="CF1645" s="261"/>
      <c r="CG1645" s="53"/>
      <c r="CH1645" s="53"/>
      <c r="CI1645" s="53"/>
      <c r="CJ1645" s="53"/>
      <c r="CK1645" s="53"/>
      <c r="CL1645" s="53"/>
      <c r="CN1645" s="53"/>
      <c r="CO1645" s="53"/>
      <c r="CP1645" s="53"/>
      <c r="CQ1645" s="53"/>
      <c r="CR1645" s="53"/>
      <c r="CS1645" s="53"/>
      <c r="CT1645" s="261"/>
      <c r="CU1645" s="261"/>
      <c r="CV1645" s="261"/>
      <c r="CW1645" s="255"/>
      <c r="CX1645" s="261"/>
      <c r="CY1645" s="255"/>
    </row>
    <row r="1646" spans="1:103" ht="10.25" customHeight="1">
      <c r="A1646" s="216"/>
      <c r="B1646" s="217"/>
      <c r="C1646" s="218"/>
      <c r="D1646" s="219"/>
      <c r="E1646" s="217"/>
      <c r="F1646" s="217"/>
      <c r="G1646" s="217"/>
      <c r="H1646" s="220"/>
      <c r="I1646" s="217"/>
      <c r="J1646" s="217"/>
      <c r="K1646" s="217"/>
      <c r="L1646" s="217"/>
      <c r="M1646" s="217"/>
      <c r="N1646" s="217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BA1646" s="5"/>
      <c r="BB1646" s="5"/>
      <c r="BC1646" s="5"/>
      <c r="BD1646" s="5"/>
      <c r="BE1646" s="63"/>
      <c r="BF1646" s="63"/>
      <c r="BG1646" s="63"/>
      <c r="CA1646" s="256"/>
      <c r="CB1646" s="261"/>
      <c r="CC1646" s="261"/>
      <c r="CD1646" s="255"/>
      <c r="CE1646" s="261"/>
      <c r="CF1646" s="261"/>
      <c r="CG1646" s="53"/>
      <c r="CH1646" s="53"/>
      <c r="CI1646" s="53"/>
      <c r="CJ1646" s="53"/>
      <c r="CK1646" s="53"/>
      <c r="CL1646" s="53"/>
      <c r="CN1646" s="53"/>
      <c r="CO1646" s="53"/>
      <c r="CP1646" s="53"/>
      <c r="CQ1646" s="53"/>
      <c r="CR1646" s="53"/>
      <c r="CS1646" s="53"/>
      <c r="CT1646" s="261"/>
      <c r="CU1646" s="261"/>
      <c r="CV1646" s="261"/>
      <c r="CW1646" s="261"/>
      <c r="CX1646" s="261"/>
      <c r="CY1646" s="255"/>
    </row>
    <row r="1647" spans="1:103" ht="10.25" customHeight="1">
      <c r="A1647" s="216"/>
      <c r="B1647" s="217"/>
      <c r="C1647" s="218"/>
      <c r="D1647" s="219"/>
      <c r="E1647" s="217"/>
      <c r="F1647" s="217"/>
      <c r="G1647" s="217"/>
      <c r="H1647" s="220"/>
      <c r="I1647" s="217"/>
      <c r="J1647" s="217"/>
      <c r="K1647" s="217"/>
      <c r="L1647" s="217"/>
      <c r="M1647" s="217"/>
      <c r="N1647" s="217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BA1647" s="5"/>
      <c r="BB1647" s="5"/>
      <c r="BC1647" s="5"/>
      <c r="BD1647" s="5"/>
      <c r="BE1647" s="63"/>
      <c r="BF1647" s="63"/>
      <c r="BG1647" s="63"/>
      <c r="CA1647" s="256"/>
      <c r="CB1647" s="261"/>
      <c r="CC1647" s="261"/>
      <c r="CD1647" s="261"/>
      <c r="CE1647" s="261"/>
      <c r="CF1647" s="261"/>
      <c r="CG1647" s="53"/>
      <c r="CH1647" s="53"/>
      <c r="CI1647" s="53"/>
      <c r="CJ1647" s="53"/>
      <c r="CK1647" s="53"/>
      <c r="CL1647" s="53"/>
      <c r="CN1647" s="53"/>
      <c r="CO1647" s="53"/>
      <c r="CP1647" s="53"/>
      <c r="CQ1647" s="53"/>
      <c r="CR1647" s="53"/>
      <c r="CS1647" s="53"/>
      <c r="CT1647" s="261"/>
      <c r="CU1647" s="261"/>
      <c r="CV1647" s="255"/>
      <c r="CW1647" s="255"/>
      <c r="CX1647" s="261"/>
      <c r="CY1647" s="255"/>
    </row>
    <row r="1648" spans="1:103" ht="10.25" customHeight="1">
      <c r="A1648" s="216"/>
      <c r="B1648" s="217"/>
      <c r="C1648" s="218"/>
      <c r="D1648" s="219"/>
      <c r="E1648" s="217"/>
      <c r="F1648" s="217"/>
      <c r="G1648" s="217"/>
      <c r="H1648" s="220"/>
      <c r="I1648" s="217"/>
      <c r="J1648" s="217"/>
      <c r="K1648" s="217"/>
      <c r="L1648" s="217"/>
      <c r="M1648" s="217"/>
      <c r="N1648" s="217"/>
      <c r="O1648" s="44"/>
      <c r="P1648" s="44"/>
      <c r="Q1648" s="44"/>
      <c r="R1648" s="44"/>
      <c r="S1648" s="44"/>
      <c r="T1648" s="44"/>
      <c r="U1648" s="44"/>
      <c r="V1648" s="44"/>
      <c r="W1648" s="44"/>
      <c r="X1648" s="44"/>
      <c r="Y1648" s="44"/>
      <c r="Z1648" s="44"/>
      <c r="AA1648" s="44"/>
      <c r="AB1648" s="44"/>
      <c r="AC1648" s="44"/>
      <c r="AD1648" s="44"/>
      <c r="AE1648" s="44"/>
      <c r="AF1648" s="44"/>
      <c r="AG1648" s="44"/>
      <c r="AH1648" s="44"/>
      <c r="AI1648" s="44"/>
      <c r="AJ1648" s="44"/>
      <c r="AK1648" s="44"/>
      <c r="AL1648" s="44"/>
      <c r="AM1648" s="44"/>
      <c r="AN1648" s="44"/>
      <c r="AO1648" s="44"/>
      <c r="AP1648" s="44"/>
      <c r="AQ1648" s="44"/>
      <c r="BA1648" s="5"/>
      <c r="BB1648" s="5"/>
      <c r="BC1648" s="5"/>
      <c r="BD1648" s="5"/>
      <c r="BE1648" s="63"/>
      <c r="BF1648" s="63"/>
      <c r="BG1648" s="63"/>
      <c r="CA1648" s="256"/>
      <c r="CB1648" s="261"/>
      <c r="CC1648" s="261"/>
      <c r="CD1648" s="261"/>
      <c r="CE1648" s="261"/>
      <c r="CF1648" s="261"/>
      <c r="CG1648" s="53"/>
      <c r="CH1648" s="53"/>
      <c r="CI1648" s="53"/>
      <c r="CJ1648" s="53"/>
      <c r="CK1648" s="53"/>
      <c r="CL1648" s="53"/>
      <c r="CN1648" s="53"/>
      <c r="CO1648" s="53"/>
      <c r="CP1648" s="53"/>
      <c r="CQ1648" s="53"/>
      <c r="CR1648" s="53"/>
      <c r="CS1648" s="53"/>
      <c r="CT1648" s="261"/>
      <c r="CU1648" s="261"/>
      <c r="CV1648" s="261"/>
      <c r="CW1648" s="261"/>
      <c r="CX1648" s="261"/>
      <c r="CY1648" s="255"/>
    </row>
    <row r="1649" spans="1:103" ht="10.25" customHeight="1">
      <c r="A1649" s="216"/>
      <c r="B1649" s="217"/>
      <c r="C1649" s="218"/>
      <c r="D1649" s="219"/>
      <c r="E1649" s="217"/>
      <c r="F1649" s="217"/>
      <c r="G1649" s="217"/>
      <c r="H1649" s="220"/>
      <c r="I1649" s="217"/>
      <c r="J1649" s="217"/>
      <c r="K1649" s="217"/>
      <c r="L1649" s="217"/>
      <c r="M1649" s="217"/>
      <c r="N1649" s="217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44"/>
      <c r="AL1649" s="44"/>
      <c r="AM1649" s="44"/>
      <c r="AN1649" s="44"/>
      <c r="AO1649" s="44"/>
      <c r="AP1649" s="44"/>
      <c r="AQ1649" s="44"/>
      <c r="BA1649" s="5"/>
      <c r="BB1649" s="5"/>
      <c r="BC1649" s="5"/>
      <c r="BD1649" s="5"/>
      <c r="BE1649" s="63"/>
      <c r="BF1649" s="63"/>
      <c r="BG1649" s="63"/>
      <c r="CA1649" s="256"/>
      <c r="CB1649" s="261"/>
      <c r="CC1649" s="261"/>
      <c r="CD1649" s="261"/>
      <c r="CE1649" s="261"/>
      <c r="CF1649" s="261"/>
      <c r="CG1649" s="53"/>
      <c r="CH1649" s="53"/>
      <c r="CI1649" s="53"/>
      <c r="CJ1649" s="53"/>
      <c r="CK1649" s="53"/>
      <c r="CL1649" s="53"/>
      <c r="CN1649" s="53"/>
      <c r="CO1649" s="53"/>
      <c r="CP1649" s="53"/>
      <c r="CQ1649" s="53"/>
      <c r="CR1649" s="53"/>
      <c r="CS1649" s="53"/>
      <c r="CT1649" s="261"/>
      <c r="CU1649" s="261"/>
      <c r="CV1649" s="255"/>
      <c r="CW1649" s="255"/>
      <c r="CX1649" s="261"/>
      <c r="CY1649" s="255"/>
    </row>
    <row r="1650" spans="1:103" ht="10.25" customHeight="1">
      <c r="A1650" s="216"/>
      <c r="B1650" s="217"/>
      <c r="C1650" s="218"/>
      <c r="D1650" s="219"/>
      <c r="E1650" s="217"/>
      <c r="F1650" s="217"/>
      <c r="G1650" s="217"/>
      <c r="H1650" s="220"/>
      <c r="I1650" s="217"/>
      <c r="J1650" s="217"/>
      <c r="K1650" s="217"/>
      <c r="L1650" s="217"/>
      <c r="M1650" s="217"/>
      <c r="N1650" s="217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BA1650" s="5"/>
      <c r="BB1650" s="5"/>
      <c r="BC1650" s="5"/>
      <c r="BD1650" s="5"/>
      <c r="BE1650" s="63"/>
      <c r="BF1650" s="63"/>
      <c r="BG1650" s="63"/>
      <c r="CA1650" s="256"/>
      <c r="CB1650" s="261"/>
      <c r="CC1650" s="261"/>
      <c r="CD1650" s="261"/>
      <c r="CE1650" s="261"/>
      <c r="CF1650" s="261"/>
      <c r="CG1650" s="53"/>
      <c r="CH1650" s="53"/>
      <c r="CI1650" s="53"/>
      <c r="CJ1650" s="53"/>
      <c r="CK1650" s="53"/>
      <c r="CL1650" s="53"/>
      <c r="CN1650" s="53"/>
      <c r="CO1650" s="53"/>
      <c r="CP1650" s="53"/>
      <c r="CQ1650" s="53"/>
      <c r="CR1650" s="53"/>
      <c r="CS1650" s="53"/>
      <c r="CT1650" s="261"/>
      <c r="CU1650" s="261"/>
      <c r="CV1650" s="261"/>
      <c r="CW1650" s="261"/>
      <c r="CX1650" s="255"/>
      <c r="CY1650" s="255"/>
    </row>
    <row r="1651" spans="1:103" ht="10.25" customHeight="1">
      <c r="A1651" s="216"/>
      <c r="B1651" s="217"/>
      <c r="C1651" s="218"/>
      <c r="D1651" s="219"/>
      <c r="E1651" s="217"/>
      <c r="F1651" s="217"/>
      <c r="G1651" s="217"/>
      <c r="H1651" s="220"/>
      <c r="I1651" s="217"/>
      <c r="J1651" s="217"/>
      <c r="K1651" s="217"/>
      <c r="L1651" s="217"/>
      <c r="M1651" s="217"/>
      <c r="N1651" s="217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BA1651" s="5"/>
      <c r="BB1651" s="5"/>
      <c r="BC1651" s="5"/>
      <c r="BD1651" s="5"/>
      <c r="BE1651" s="63"/>
      <c r="BF1651" s="63"/>
      <c r="BG1651" s="63"/>
      <c r="CA1651" s="256"/>
      <c r="CB1651" s="261"/>
      <c r="CC1651" s="261"/>
      <c r="CD1651" s="261"/>
      <c r="CE1651" s="261"/>
      <c r="CF1651" s="261"/>
      <c r="CG1651" s="53"/>
      <c r="CH1651" s="53"/>
      <c r="CI1651" s="53"/>
      <c r="CJ1651" s="53"/>
      <c r="CK1651" s="53"/>
      <c r="CL1651" s="53"/>
      <c r="CN1651" s="53"/>
      <c r="CO1651" s="53"/>
      <c r="CP1651" s="53"/>
      <c r="CQ1651" s="53"/>
      <c r="CR1651" s="53"/>
      <c r="CS1651" s="53"/>
      <c r="CT1651" s="261"/>
      <c r="CU1651" s="261"/>
      <c r="CV1651" s="255"/>
      <c r="CW1651" s="255"/>
      <c r="CX1651" s="261"/>
      <c r="CY1651" s="255"/>
    </row>
    <row r="1652" spans="1:103" ht="10.25" customHeight="1">
      <c r="A1652" s="216"/>
      <c r="B1652" s="217"/>
      <c r="C1652" s="218"/>
      <c r="D1652" s="219"/>
      <c r="E1652" s="217"/>
      <c r="F1652" s="217"/>
      <c r="G1652" s="217"/>
      <c r="H1652" s="220"/>
      <c r="I1652" s="217"/>
      <c r="J1652" s="217"/>
      <c r="K1652" s="217"/>
      <c r="L1652" s="217"/>
      <c r="M1652" s="217"/>
      <c r="N1652" s="217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BA1652" s="5"/>
      <c r="BB1652" s="5"/>
      <c r="BC1652" s="5"/>
      <c r="BD1652" s="5"/>
      <c r="BE1652" s="63"/>
      <c r="BF1652" s="63"/>
      <c r="BG1652" s="63"/>
      <c r="CA1652" s="256"/>
      <c r="CB1652" s="261"/>
      <c r="CC1652" s="261"/>
      <c r="CD1652" s="261"/>
      <c r="CE1652" s="261"/>
      <c r="CF1652" s="261"/>
      <c r="CG1652" s="53"/>
      <c r="CH1652" s="53"/>
      <c r="CI1652" s="53"/>
      <c r="CJ1652" s="53"/>
      <c r="CK1652" s="53"/>
      <c r="CL1652" s="53"/>
      <c r="CN1652" s="53"/>
      <c r="CO1652" s="53"/>
      <c r="CP1652" s="53"/>
      <c r="CQ1652" s="53"/>
      <c r="CR1652" s="53"/>
      <c r="CS1652" s="53"/>
      <c r="CT1652" s="261"/>
      <c r="CU1652" s="261"/>
      <c r="CV1652" s="261"/>
      <c r="CW1652" s="261"/>
      <c r="CX1652" s="261"/>
      <c r="CY1652" s="255"/>
    </row>
    <row r="1653" spans="1:103" ht="10.25" customHeight="1">
      <c r="A1653" s="216"/>
      <c r="B1653" s="217"/>
      <c r="C1653" s="218"/>
      <c r="D1653" s="219"/>
      <c r="E1653" s="217"/>
      <c r="F1653" s="217"/>
      <c r="G1653" s="217"/>
      <c r="H1653" s="220"/>
      <c r="I1653" s="217"/>
      <c r="J1653" s="217"/>
      <c r="K1653" s="217"/>
      <c r="L1653" s="217"/>
      <c r="M1653" s="217"/>
      <c r="N1653" s="217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BA1653" s="5"/>
      <c r="BB1653" s="5"/>
      <c r="BC1653" s="5"/>
      <c r="BD1653" s="5"/>
      <c r="BE1653" s="63"/>
      <c r="BF1653" s="63"/>
      <c r="BG1653" s="63"/>
      <c r="CA1653" s="256"/>
      <c r="CB1653" s="261"/>
      <c r="CC1653" s="261"/>
      <c r="CD1653" s="261"/>
      <c r="CE1653" s="261"/>
      <c r="CF1653" s="261"/>
      <c r="CG1653" s="53"/>
      <c r="CH1653" s="53"/>
      <c r="CI1653" s="53"/>
      <c r="CJ1653" s="53"/>
      <c r="CK1653" s="53"/>
      <c r="CL1653" s="53"/>
      <c r="CN1653" s="53"/>
      <c r="CO1653" s="53"/>
      <c r="CP1653" s="53"/>
      <c r="CQ1653" s="53"/>
      <c r="CR1653" s="53"/>
      <c r="CS1653" s="53"/>
      <c r="CT1653" s="261"/>
      <c r="CU1653" s="261"/>
      <c r="CV1653" s="261"/>
      <c r="CW1653" s="255"/>
      <c r="CX1653" s="261"/>
      <c r="CY1653" s="255"/>
    </row>
    <row r="1654" spans="1:103" ht="10.25" customHeight="1">
      <c r="A1654" s="216"/>
      <c r="B1654" s="217"/>
      <c r="C1654" s="218"/>
      <c r="D1654" s="219"/>
      <c r="E1654" s="217"/>
      <c r="F1654" s="217"/>
      <c r="G1654" s="217"/>
      <c r="H1654" s="220"/>
      <c r="I1654" s="217"/>
      <c r="J1654" s="217"/>
      <c r="K1654" s="217"/>
      <c r="L1654" s="217"/>
      <c r="M1654" s="217"/>
      <c r="N1654" s="217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BA1654" s="5"/>
      <c r="BB1654" s="5"/>
      <c r="BC1654" s="5"/>
      <c r="BD1654" s="5"/>
      <c r="BE1654" s="63"/>
      <c r="BF1654" s="63"/>
      <c r="BG1654" s="63"/>
      <c r="CA1654" s="256"/>
      <c r="CB1654" s="261"/>
      <c r="CC1654" s="261"/>
      <c r="CD1654" s="261"/>
      <c r="CE1654" s="261"/>
      <c r="CF1654" s="261"/>
      <c r="CG1654" s="53"/>
      <c r="CH1654" s="53"/>
      <c r="CI1654" s="53"/>
      <c r="CJ1654" s="53"/>
      <c r="CK1654" s="53"/>
      <c r="CL1654" s="53"/>
      <c r="CN1654" s="53"/>
      <c r="CO1654" s="53"/>
      <c r="CP1654" s="53"/>
      <c r="CQ1654" s="53"/>
      <c r="CR1654" s="53"/>
      <c r="CS1654" s="53"/>
      <c r="CT1654" s="261"/>
      <c r="CU1654" s="261"/>
      <c r="CV1654" s="261"/>
      <c r="CW1654" s="261"/>
      <c r="CX1654" s="261"/>
      <c r="CY1654" s="255"/>
    </row>
    <row r="1655" spans="1:103" ht="10.25" customHeight="1">
      <c r="A1655" s="216"/>
      <c r="B1655" s="217"/>
      <c r="C1655" s="218"/>
      <c r="D1655" s="219"/>
      <c r="E1655" s="217"/>
      <c r="F1655" s="217"/>
      <c r="G1655" s="217"/>
      <c r="H1655" s="220"/>
      <c r="I1655" s="217"/>
      <c r="J1655" s="217"/>
      <c r="K1655" s="217"/>
      <c r="L1655" s="217"/>
      <c r="M1655" s="217"/>
      <c r="N1655" s="217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BA1655" s="5"/>
      <c r="BB1655" s="5"/>
      <c r="BC1655" s="5"/>
      <c r="BD1655" s="5"/>
      <c r="BE1655" s="63"/>
      <c r="BF1655" s="63"/>
      <c r="BG1655" s="63"/>
      <c r="CA1655" s="256"/>
      <c r="CB1655" s="261"/>
      <c r="CC1655" s="261"/>
      <c r="CD1655" s="261"/>
      <c r="CE1655" s="261"/>
      <c r="CF1655" s="261"/>
      <c r="CG1655" s="53"/>
      <c r="CH1655" s="53"/>
      <c r="CI1655" s="53"/>
      <c r="CJ1655" s="53"/>
      <c r="CK1655" s="53"/>
      <c r="CL1655" s="53"/>
      <c r="CN1655" s="53"/>
      <c r="CO1655" s="53"/>
      <c r="CP1655" s="53"/>
      <c r="CQ1655" s="53"/>
      <c r="CR1655" s="53"/>
      <c r="CS1655" s="53"/>
      <c r="CT1655" s="261"/>
      <c r="CU1655" s="261"/>
      <c r="CV1655" s="255"/>
      <c r="CW1655" s="255"/>
      <c r="CX1655" s="261"/>
      <c r="CY1655" s="255"/>
    </row>
    <row r="1656" spans="1:103" ht="10.25" customHeight="1">
      <c r="A1656" s="216"/>
      <c r="B1656" s="217"/>
      <c r="C1656" s="218"/>
      <c r="D1656" s="219"/>
      <c r="E1656" s="217"/>
      <c r="F1656" s="217"/>
      <c r="G1656" s="217"/>
      <c r="H1656" s="220"/>
      <c r="I1656" s="217"/>
      <c r="J1656" s="217"/>
      <c r="K1656" s="217"/>
      <c r="L1656" s="217"/>
      <c r="M1656" s="217"/>
      <c r="N1656" s="217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BA1656" s="5"/>
      <c r="BB1656" s="5"/>
      <c r="BC1656" s="5"/>
      <c r="BD1656" s="5"/>
      <c r="BE1656" s="63"/>
      <c r="BF1656" s="63"/>
      <c r="BG1656" s="63"/>
      <c r="CA1656" s="256"/>
      <c r="CB1656" s="261"/>
      <c r="CC1656" s="261"/>
      <c r="CD1656" s="261"/>
      <c r="CE1656" s="261"/>
      <c r="CF1656" s="261"/>
      <c r="CG1656" s="53"/>
      <c r="CH1656" s="53"/>
      <c r="CI1656" s="53"/>
      <c r="CJ1656" s="53"/>
      <c r="CK1656" s="53"/>
      <c r="CL1656" s="53"/>
      <c r="CN1656" s="53"/>
      <c r="CO1656" s="53"/>
      <c r="CP1656" s="53"/>
      <c r="CQ1656" s="53"/>
      <c r="CR1656" s="53"/>
      <c r="CS1656" s="53"/>
      <c r="CT1656" s="261"/>
      <c r="CU1656" s="261"/>
      <c r="CV1656" s="261"/>
      <c r="CW1656" s="261"/>
      <c r="CX1656" s="261"/>
      <c r="CY1656" s="255"/>
    </row>
    <row r="1657" spans="1:103" ht="10.25" customHeight="1">
      <c r="A1657" s="216"/>
      <c r="B1657" s="217"/>
      <c r="C1657" s="218"/>
      <c r="D1657" s="219"/>
      <c r="E1657" s="217"/>
      <c r="F1657" s="217"/>
      <c r="G1657" s="217"/>
      <c r="H1657" s="220"/>
      <c r="I1657" s="217"/>
      <c r="J1657" s="217"/>
      <c r="K1657" s="217"/>
      <c r="L1657" s="217"/>
      <c r="M1657" s="217"/>
      <c r="N1657" s="217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BA1657" s="5"/>
      <c r="BB1657" s="5"/>
      <c r="BC1657" s="5"/>
      <c r="BD1657" s="5"/>
      <c r="BE1657" s="63"/>
      <c r="BF1657" s="63"/>
      <c r="BG1657" s="63"/>
      <c r="CA1657" s="256"/>
      <c r="CB1657" s="261"/>
      <c r="CC1657" s="261"/>
      <c r="CD1657" s="261"/>
      <c r="CE1657" s="261"/>
      <c r="CF1657" s="261"/>
      <c r="CG1657" s="53"/>
      <c r="CH1657" s="53"/>
      <c r="CI1657" s="53"/>
      <c r="CJ1657" s="53"/>
      <c r="CK1657" s="53"/>
      <c r="CL1657" s="53"/>
      <c r="CN1657" s="53"/>
      <c r="CO1657" s="53"/>
      <c r="CP1657" s="53"/>
      <c r="CQ1657" s="53"/>
      <c r="CR1657" s="53"/>
      <c r="CS1657" s="53"/>
      <c r="CT1657" s="261"/>
      <c r="CU1657" s="261"/>
      <c r="CV1657" s="255"/>
      <c r="CW1657" s="255"/>
      <c r="CX1657" s="255"/>
      <c r="CY1657" s="255"/>
    </row>
    <row r="1658" spans="1:103" ht="10.25" customHeight="1">
      <c r="A1658" s="216"/>
      <c r="B1658" s="217"/>
      <c r="C1658" s="218"/>
      <c r="D1658" s="219"/>
      <c r="E1658" s="217"/>
      <c r="F1658" s="217"/>
      <c r="G1658" s="217"/>
      <c r="H1658" s="220"/>
      <c r="I1658" s="217"/>
      <c r="J1658" s="217"/>
      <c r="K1658" s="217"/>
      <c r="L1658" s="217"/>
      <c r="M1658" s="217"/>
      <c r="N1658" s="217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BA1658" s="5"/>
      <c r="BB1658" s="5"/>
      <c r="BC1658" s="5"/>
      <c r="BD1658" s="5"/>
      <c r="BE1658" s="63"/>
      <c r="BF1658" s="63"/>
      <c r="BG1658" s="63"/>
      <c r="CA1658" s="256"/>
      <c r="CB1658" s="261"/>
      <c r="CC1658" s="261"/>
      <c r="CD1658" s="261"/>
      <c r="CE1658" s="261"/>
      <c r="CF1658" s="261"/>
      <c r="CG1658" s="53"/>
      <c r="CH1658" s="53"/>
      <c r="CI1658" s="53"/>
      <c r="CJ1658" s="53"/>
      <c r="CK1658" s="53"/>
      <c r="CL1658" s="53"/>
      <c r="CN1658" s="53"/>
      <c r="CO1658" s="53"/>
      <c r="CP1658" s="53"/>
      <c r="CQ1658" s="53"/>
      <c r="CR1658" s="53"/>
      <c r="CS1658" s="53"/>
      <c r="CT1658" s="261"/>
      <c r="CU1658" s="261"/>
      <c r="CV1658" s="261"/>
      <c r="CW1658" s="255"/>
      <c r="CX1658" s="261"/>
      <c r="CY1658" s="255"/>
    </row>
    <row r="1659" spans="1:103" ht="10.25" customHeight="1">
      <c r="A1659" s="216"/>
      <c r="B1659" s="217"/>
      <c r="C1659" s="218"/>
      <c r="D1659" s="219"/>
      <c r="E1659" s="217"/>
      <c r="F1659" s="217"/>
      <c r="G1659" s="217"/>
      <c r="H1659" s="220"/>
      <c r="I1659" s="217"/>
      <c r="J1659" s="217"/>
      <c r="K1659" s="217"/>
      <c r="L1659" s="217"/>
      <c r="M1659" s="217"/>
      <c r="N1659" s="217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BA1659" s="5"/>
      <c r="BB1659" s="5"/>
      <c r="BC1659" s="5"/>
      <c r="BD1659" s="5"/>
      <c r="BE1659" s="63"/>
      <c r="BF1659" s="63"/>
      <c r="BG1659" s="63"/>
      <c r="CA1659" s="256"/>
      <c r="CB1659" s="261"/>
      <c r="CC1659" s="261"/>
      <c r="CD1659" s="261"/>
      <c r="CE1659" s="261"/>
      <c r="CF1659" s="261"/>
      <c r="CG1659" s="53"/>
      <c r="CH1659" s="53"/>
      <c r="CI1659" s="53"/>
      <c r="CJ1659" s="53"/>
      <c r="CK1659" s="53"/>
      <c r="CL1659" s="53"/>
      <c r="CN1659" s="53"/>
      <c r="CO1659" s="53"/>
      <c r="CP1659" s="53"/>
      <c r="CQ1659" s="53"/>
      <c r="CR1659" s="53"/>
      <c r="CS1659" s="53"/>
      <c r="CT1659" s="261"/>
      <c r="CU1659" s="261"/>
      <c r="CV1659" s="255"/>
      <c r="CW1659" s="255"/>
      <c r="CX1659" s="261"/>
      <c r="CY1659" s="255"/>
    </row>
    <row r="1660" spans="1:103" ht="10.25" customHeight="1">
      <c r="A1660" s="216"/>
      <c r="B1660" s="217"/>
      <c r="C1660" s="218"/>
      <c r="D1660" s="219"/>
      <c r="E1660" s="217"/>
      <c r="F1660" s="217"/>
      <c r="G1660" s="217"/>
      <c r="H1660" s="220"/>
      <c r="I1660" s="217"/>
      <c r="J1660" s="217"/>
      <c r="K1660" s="217"/>
      <c r="L1660" s="217"/>
      <c r="M1660" s="217"/>
      <c r="N1660" s="217"/>
      <c r="O1660" s="44"/>
      <c r="P1660" s="44"/>
      <c r="Q1660" s="44"/>
      <c r="R1660" s="44"/>
      <c r="S1660" s="44"/>
      <c r="T1660" s="44"/>
      <c r="U1660" s="44"/>
      <c r="V1660" s="44"/>
      <c r="W1660" s="44"/>
      <c r="X1660" s="44"/>
      <c r="Y1660" s="44"/>
      <c r="Z1660" s="44"/>
      <c r="AA1660" s="44"/>
      <c r="AB1660" s="44"/>
      <c r="AC1660" s="44"/>
      <c r="AD1660" s="44"/>
      <c r="AE1660" s="44"/>
      <c r="AF1660" s="44"/>
      <c r="AG1660" s="44"/>
      <c r="AH1660" s="44"/>
      <c r="AI1660" s="44"/>
      <c r="AJ1660" s="44"/>
      <c r="AK1660" s="44"/>
      <c r="AL1660" s="44"/>
      <c r="AM1660" s="44"/>
      <c r="AN1660" s="44"/>
      <c r="AO1660" s="44"/>
      <c r="AP1660" s="44"/>
      <c r="AQ1660" s="44"/>
      <c r="BA1660" s="5"/>
      <c r="BB1660" s="5"/>
      <c r="BC1660" s="5"/>
      <c r="BD1660" s="5"/>
      <c r="BE1660" s="63"/>
      <c r="BF1660" s="63"/>
      <c r="BG1660" s="63"/>
      <c r="CA1660" s="256"/>
      <c r="CB1660" s="261"/>
      <c r="CC1660" s="261"/>
      <c r="CD1660" s="261"/>
      <c r="CE1660" s="261"/>
      <c r="CF1660" s="261"/>
      <c r="CG1660" s="53"/>
      <c r="CH1660" s="53"/>
      <c r="CI1660" s="53"/>
      <c r="CJ1660" s="53"/>
      <c r="CK1660" s="53"/>
      <c r="CL1660" s="53"/>
      <c r="CN1660" s="53"/>
      <c r="CO1660" s="53"/>
      <c r="CP1660" s="53"/>
      <c r="CQ1660" s="53"/>
      <c r="CR1660" s="53"/>
      <c r="CS1660" s="53"/>
      <c r="CT1660" s="261"/>
      <c r="CU1660" s="261"/>
      <c r="CV1660" s="261"/>
      <c r="CW1660" s="261"/>
      <c r="CX1660" s="261"/>
      <c r="CY1660" s="255"/>
    </row>
    <row r="1661" spans="1:103" ht="10.25" customHeight="1">
      <c r="A1661" s="216"/>
      <c r="B1661" s="217"/>
      <c r="C1661" s="218"/>
      <c r="D1661" s="219"/>
      <c r="E1661" s="217"/>
      <c r="F1661" s="217"/>
      <c r="G1661" s="217"/>
      <c r="H1661" s="220"/>
      <c r="I1661" s="217"/>
      <c r="J1661" s="217"/>
      <c r="K1661" s="217"/>
      <c r="L1661" s="217"/>
      <c r="M1661" s="217"/>
      <c r="N1661" s="217"/>
      <c r="O1661" s="44"/>
      <c r="P1661" s="44"/>
      <c r="Q1661" s="44"/>
      <c r="R1661" s="44"/>
      <c r="S1661" s="44"/>
      <c r="T1661" s="44"/>
      <c r="U1661" s="44"/>
      <c r="V1661" s="44"/>
      <c r="W1661" s="44"/>
      <c r="X1661" s="44"/>
      <c r="Y1661" s="44"/>
      <c r="Z1661" s="44"/>
      <c r="AA1661" s="44"/>
      <c r="AB1661" s="44"/>
      <c r="AC1661" s="44"/>
      <c r="AD1661" s="44"/>
      <c r="AE1661" s="44"/>
      <c r="AF1661" s="44"/>
      <c r="AG1661" s="44"/>
      <c r="AH1661" s="44"/>
      <c r="AI1661" s="44"/>
      <c r="AJ1661" s="44"/>
      <c r="AK1661" s="44"/>
      <c r="AL1661" s="44"/>
      <c r="AM1661" s="44"/>
      <c r="AN1661" s="44"/>
      <c r="AO1661" s="44"/>
      <c r="AP1661" s="44"/>
      <c r="AQ1661" s="44"/>
      <c r="BA1661" s="5"/>
      <c r="BB1661" s="5"/>
      <c r="BC1661" s="5"/>
      <c r="BD1661" s="5"/>
      <c r="BE1661" s="63"/>
      <c r="BF1661" s="63"/>
      <c r="BG1661" s="63"/>
      <c r="CA1661" s="256"/>
      <c r="CB1661" s="261"/>
      <c r="CC1661" s="261"/>
      <c r="CD1661" s="261"/>
      <c r="CE1661" s="261"/>
      <c r="CF1661" s="261"/>
      <c r="CG1661" s="53"/>
      <c r="CH1661" s="53"/>
      <c r="CI1661" s="53"/>
      <c r="CJ1661" s="53"/>
      <c r="CK1661" s="53"/>
      <c r="CL1661" s="53"/>
      <c r="CN1661" s="53"/>
      <c r="CO1661" s="53"/>
      <c r="CP1661" s="53"/>
      <c r="CQ1661" s="53"/>
      <c r="CR1661" s="53"/>
      <c r="CS1661" s="53"/>
      <c r="CT1661" s="261"/>
      <c r="CU1661" s="261"/>
      <c r="CV1661" s="255"/>
      <c r="CW1661" s="255"/>
      <c r="CX1661" s="261"/>
      <c r="CY1661" s="255"/>
    </row>
    <row r="1662" spans="1:103" ht="10.25" customHeight="1">
      <c r="A1662" s="216"/>
      <c r="B1662" s="217"/>
      <c r="C1662" s="218"/>
      <c r="D1662" s="219"/>
      <c r="E1662" s="217"/>
      <c r="F1662" s="217"/>
      <c r="G1662" s="217"/>
      <c r="H1662" s="220"/>
      <c r="I1662" s="217"/>
      <c r="J1662" s="217"/>
      <c r="K1662" s="217"/>
      <c r="L1662" s="217"/>
      <c r="M1662" s="217"/>
      <c r="N1662" s="217"/>
      <c r="O1662" s="44"/>
      <c r="P1662" s="44"/>
      <c r="Q1662" s="44"/>
      <c r="R1662" s="44"/>
      <c r="S1662" s="44"/>
      <c r="T1662" s="44"/>
      <c r="U1662" s="44"/>
      <c r="V1662" s="44"/>
      <c r="W1662" s="44"/>
      <c r="X1662" s="44"/>
      <c r="Y1662" s="44"/>
      <c r="Z1662" s="44"/>
      <c r="AA1662" s="44"/>
      <c r="AB1662" s="44"/>
      <c r="AC1662" s="44"/>
      <c r="AD1662" s="44"/>
      <c r="AE1662" s="44"/>
      <c r="AF1662" s="44"/>
      <c r="AG1662" s="44"/>
      <c r="AH1662" s="44"/>
      <c r="AI1662" s="44"/>
      <c r="AJ1662" s="44"/>
      <c r="AK1662" s="44"/>
      <c r="AL1662" s="44"/>
      <c r="AM1662" s="44"/>
      <c r="AN1662" s="44"/>
      <c r="AO1662" s="44"/>
      <c r="AP1662" s="44"/>
      <c r="AQ1662" s="44"/>
      <c r="BA1662" s="5"/>
      <c r="BB1662" s="5"/>
      <c r="BC1662" s="5"/>
      <c r="BD1662" s="5"/>
      <c r="BE1662" s="63"/>
      <c r="BF1662" s="63"/>
      <c r="BG1662" s="63"/>
      <c r="CA1662" s="256"/>
      <c r="CB1662" s="261"/>
      <c r="CC1662" s="261"/>
      <c r="CD1662" s="261"/>
      <c r="CE1662" s="261"/>
      <c r="CF1662" s="255"/>
      <c r="CG1662" s="53"/>
      <c r="CH1662" s="53"/>
      <c r="CI1662" s="53"/>
      <c r="CJ1662" s="53"/>
      <c r="CK1662" s="53"/>
      <c r="CL1662" s="53"/>
      <c r="CN1662" s="53"/>
      <c r="CO1662" s="53"/>
      <c r="CP1662" s="53"/>
      <c r="CQ1662" s="53"/>
      <c r="CR1662" s="53"/>
      <c r="CS1662" s="53"/>
      <c r="CT1662" s="261"/>
      <c r="CU1662" s="255"/>
      <c r="CV1662" s="261"/>
      <c r="CW1662" s="261"/>
      <c r="CX1662" s="261"/>
      <c r="CY1662" s="255"/>
    </row>
    <row r="1663" spans="1:103" ht="10.25" customHeight="1">
      <c r="A1663" s="216"/>
      <c r="B1663" s="217"/>
      <c r="C1663" s="218"/>
      <c r="D1663" s="219"/>
      <c r="E1663" s="217"/>
      <c r="F1663" s="217"/>
      <c r="G1663" s="217"/>
      <c r="H1663" s="220"/>
      <c r="I1663" s="217"/>
      <c r="J1663" s="217"/>
      <c r="K1663" s="217"/>
      <c r="L1663" s="217"/>
      <c r="M1663" s="217"/>
      <c r="N1663" s="217"/>
      <c r="O1663" s="44"/>
      <c r="P1663" s="44"/>
      <c r="Q1663" s="44"/>
      <c r="R1663" s="44"/>
      <c r="S1663" s="44"/>
      <c r="T1663" s="44"/>
      <c r="U1663" s="44"/>
      <c r="V1663" s="44"/>
      <c r="W1663" s="44"/>
      <c r="X1663" s="44"/>
      <c r="Y1663" s="44"/>
      <c r="Z1663" s="44"/>
      <c r="AA1663" s="44"/>
      <c r="AB1663" s="44"/>
      <c r="AC1663" s="44"/>
      <c r="AD1663" s="44"/>
      <c r="AE1663" s="44"/>
      <c r="AF1663" s="44"/>
      <c r="AG1663" s="44"/>
      <c r="AH1663" s="44"/>
      <c r="AI1663" s="44"/>
      <c r="AJ1663" s="44"/>
      <c r="AK1663" s="44"/>
      <c r="AL1663" s="44"/>
      <c r="AM1663" s="44"/>
      <c r="AN1663" s="44"/>
      <c r="AO1663" s="44"/>
      <c r="AP1663" s="44"/>
      <c r="AQ1663" s="44"/>
      <c r="BA1663" s="5"/>
      <c r="BB1663" s="5"/>
      <c r="BC1663" s="5"/>
      <c r="BD1663" s="5"/>
      <c r="BE1663" s="63"/>
      <c r="BF1663" s="63"/>
      <c r="BG1663" s="63"/>
      <c r="CA1663" s="256"/>
      <c r="CB1663" s="261"/>
      <c r="CC1663" s="261"/>
      <c r="CD1663" s="261"/>
      <c r="CE1663" s="261"/>
      <c r="CF1663" s="255"/>
      <c r="CG1663" s="53"/>
      <c r="CH1663" s="53"/>
      <c r="CI1663" s="53"/>
      <c r="CJ1663" s="53"/>
      <c r="CK1663" s="53"/>
      <c r="CL1663" s="53"/>
      <c r="CN1663" s="53"/>
      <c r="CO1663" s="53"/>
      <c r="CP1663" s="53"/>
      <c r="CQ1663" s="53"/>
      <c r="CR1663" s="53"/>
      <c r="CS1663" s="53"/>
      <c r="CT1663" s="261"/>
      <c r="CU1663" s="255"/>
      <c r="CV1663" s="255"/>
      <c r="CW1663" s="255"/>
      <c r="CX1663" s="261"/>
      <c r="CY1663" s="255"/>
    </row>
    <row r="1664" spans="1:103" ht="10.25" customHeight="1">
      <c r="A1664" s="216"/>
      <c r="B1664" s="217"/>
      <c r="C1664" s="218"/>
      <c r="D1664" s="219"/>
      <c r="E1664" s="217"/>
      <c r="F1664" s="217"/>
      <c r="G1664" s="217"/>
      <c r="H1664" s="220"/>
      <c r="I1664" s="217"/>
      <c r="J1664" s="217"/>
      <c r="K1664" s="217"/>
      <c r="L1664" s="217"/>
      <c r="M1664" s="217"/>
      <c r="N1664" s="217"/>
      <c r="O1664" s="44"/>
      <c r="P1664" s="44"/>
      <c r="Q1664" s="44"/>
      <c r="R1664" s="44"/>
      <c r="S1664" s="44"/>
      <c r="T1664" s="44"/>
      <c r="U1664" s="44"/>
      <c r="V1664" s="44"/>
      <c r="W1664" s="44"/>
      <c r="X1664" s="44"/>
      <c r="Y1664" s="44"/>
      <c r="Z1664" s="44"/>
      <c r="AA1664" s="44"/>
      <c r="AB1664" s="44"/>
      <c r="AC1664" s="44"/>
      <c r="AD1664" s="44"/>
      <c r="AE1664" s="44"/>
      <c r="AF1664" s="44"/>
      <c r="AG1664" s="44"/>
      <c r="AH1664" s="44"/>
      <c r="AI1664" s="44"/>
      <c r="AJ1664" s="44"/>
      <c r="AK1664" s="44"/>
      <c r="AL1664" s="44"/>
      <c r="AM1664" s="44"/>
      <c r="AN1664" s="44"/>
      <c r="AO1664" s="44"/>
      <c r="AP1664" s="44"/>
      <c r="AQ1664" s="44"/>
      <c r="BA1664" s="5"/>
      <c r="BB1664" s="5"/>
      <c r="BC1664" s="5"/>
      <c r="BD1664" s="5"/>
      <c r="BE1664" s="63"/>
      <c r="BF1664" s="63"/>
      <c r="BG1664" s="63"/>
      <c r="CA1664" s="256"/>
      <c r="CB1664" s="261"/>
      <c r="CC1664" s="261"/>
      <c r="CD1664" s="261"/>
      <c r="CE1664" s="255"/>
      <c r="CF1664" s="261"/>
      <c r="CG1664" s="53"/>
      <c r="CH1664" s="53"/>
      <c r="CI1664" s="53"/>
      <c r="CJ1664" s="53"/>
      <c r="CK1664" s="53"/>
      <c r="CL1664" s="53"/>
      <c r="CN1664" s="53"/>
      <c r="CO1664" s="53"/>
      <c r="CP1664" s="53"/>
      <c r="CQ1664" s="53"/>
      <c r="CR1664" s="53"/>
      <c r="CS1664" s="53"/>
      <c r="CT1664" s="255"/>
      <c r="CU1664" s="261"/>
      <c r="CV1664" s="261"/>
      <c r="CW1664" s="261"/>
      <c r="CX1664" s="261"/>
      <c r="CY1664" s="255"/>
    </row>
    <row r="1665" spans="1:103" ht="10.25" customHeight="1">
      <c r="A1665" s="216"/>
      <c r="B1665" s="217"/>
      <c r="C1665" s="218"/>
      <c r="D1665" s="219"/>
      <c r="E1665" s="217"/>
      <c r="F1665" s="217"/>
      <c r="G1665" s="217"/>
      <c r="H1665" s="220"/>
      <c r="I1665" s="217"/>
      <c r="J1665" s="217"/>
      <c r="K1665" s="217"/>
      <c r="L1665" s="217"/>
      <c r="M1665" s="217"/>
      <c r="N1665" s="217"/>
      <c r="O1665" s="44"/>
      <c r="P1665" s="44"/>
      <c r="Q1665" s="44"/>
      <c r="R1665" s="44"/>
      <c r="S1665" s="44"/>
      <c r="T1665" s="44"/>
      <c r="U1665" s="44"/>
      <c r="V1665" s="44"/>
      <c r="W1665" s="44"/>
      <c r="X1665" s="44"/>
      <c r="Y1665" s="44"/>
      <c r="Z1665" s="44"/>
      <c r="AA1665" s="44"/>
      <c r="AB1665" s="44"/>
      <c r="AC1665" s="44"/>
      <c r="AD1665" s="44"/>
      <c r="AE1665" s="44"/>
      <c r="AF1665" s="44"/>
      <c r="AG1665" s="44"/>
      <c r="AH1665" s="44"/>
      <c r="AI1665" s="44"/>
      <c r="AJ1665" s="44"/>
      <c r="AK1665" s="44"/>
      <c r="AL1665" s="44"/>
      <c r="AM1665" s="44"/>
      <c r="AN1665" s="44"/>
      <c r="AO1665" s="44"/>
      <c r="AP1665" s="44"/>
      <c r="AQ1665" s="44"/>
      <c r="BA1665" s="5"/>
      <c r="BB1665" s="5"/>
      <c r="BC1665" s="5"/>
      <c r="BD1665" s="5"/>
      <c r="BE1665" s="63"/>
      <c r="BF1665" s="63"/>
      <c r="BG1665" s="63"/>
      <c r="CA1665" s="256"/>
      <c r="CB1665" s="261"/>
      <c r="CC1665" s="261"/>
      <c r="CD1665" s="261"/>
      <c r="CE1665" s="255"/>
      <c r="CF1665" s="261"/>
      <c r="CG1665" s="53"/>
      <c r="CH1665" s="53"/>
      <c r="CI1665" s="53"/>
      <c r="CJ1665" s="53"/>
      <c r="CK1665" s="53"/>
      <c r="CL1665" s="53"/>
      <c r="CN1665" s="53"/>
      <c r="CO1665" s="53"/>
      <c r="CP1665" s="53"/>
      <c r="CQ1665" s="53"/>
      <c r="CR1665" s="53"/>
      <c r="CS1665" s="53"/>
      <c r="CT1665" s="255"/>
      <c r="CU1665" s="261"/>
      <c r="CV1665" s="255"/>
      <c r="CW1665" s="255"/>
      <c r="CX1665" s="261"/>
      <c r="CY1665" s="255"/>
    </row>
    <row r="1666" spans="1:103" ht="10.25" customHeight="1">
      <c r="A1666" s="216"/>
      <c r="B1666" s="217"/>
      <c r="C1666" s="218"/>
      <c r="D1666" s="219"/>
      <c r="E1666" s="217"/>
      <c r="F1666" s="217"/>
      <c r="G1666" s="217"/>
      <c r="H1666" s="220"/>
      <c r="I1666" s="217"/>
      <c r="J1666" s="217"/>
      <c r="K1666" s="217"/>
      <c r="L1666" s="217"/>
      <c r="M1666" s="217"/>
      <c r="N1666" s="217"/>
      <c r="O1666" s="44"/>
      <c r="P1666" s="44"/>
      <c r="Q1666" s="44"/>
      <c r="R1666" s="44"/>
      <c r="S1666" s="44"/>
      <c r="T1666" s="44"/>
      <c r="U1666" s="44"/>
      <c r="V1666" s="44"/>
      <c r="W1666" s="44"/>
      <c r="X1666" s="44"/>
      <c r="Y1666" s="44"/>
      <c r="Z1666" s="44"/>
      <c r="AA1666" s="44"/>
      <c r="AB1666" s="44"/>
      <c r="AC1666" s="44"/>
      <c r="AD1666" s="44"/>
      <c r="AE1666" s="44"/>
      <c r="AF1666" s="44"/>
      <c r="AG1666" s="44"/>
      <c r="AH1666" s="44"/>
      <c r="AI1666" s="44"/>
      <c r="AJ1666" s="44"/>
      <c r="AK1666" s="44"/>
      <c r="AL1666" s="44"/>
      <c r="AM1666" s="44"/>
      <c r="AN1666" s="44"/>
      <c r="AO1666" s="44"/>
      <c r="AP1666" s="44"/>
      <c r="AQ1666" s="44"/>
      <c r="BA1666" s="5"/>
      <c r="BB1666" s="5"/>
      <c r="BC1666" s="5"/>
      <c r="BD1666" s="5"/>
      <c r="BE1666" s="63"/>
      <c r="BF1666" s="63"/>
      <c r="BG1666" s="63"/>
      <c r="CA1666" s="256"/>
      <c r="CB1666" s="261"/>
      <c r="CC1666" s="261"/>
      <c r="CD1666" s="261"/>
      <c r="CE1666" s="261"/>
      <c r="CF1666" s="261"/>
      <c r="CG1666" s="53"/>
      <c r="CH1666" s="53"/>
      <c r="CI1666" s="53"/>
      <c r="CJ1666" s="53"/>
      <c r="CK1666" s="53"/>
      <c r="CL1666" s="53"/>
      <c r="CN1666" s="53"/>
      <c r="CO1666" s="53"/>
      <c r="CP1666" s="53"/>
      <c r="CQ1666" s="53"/>
      <c r="CR1666" s="53"/>
      <c r="CS1666" s="53"/>
      <c r="CT1666" s="261"/>
      <c r="CU1666" s="261"/>
      <c r="CV1666" s="261"/>
      <c r="CW1666" s="261"/>
      <c r="CX1666" s="255"/>
      <c r="CY1666" s="255"/>
    </row>
    <row r="1667" spans="1:103" ht="10.25" customHeight="1">
      <c r="A1667" s="216"/>
      <c r="B1667" s="217"/>
      <c r="C1667" s="218"/>
      <c r="D1667" s="219"/>
      <c r="E1667" s="217"/>
      <c r="F1667" s="217"/>
      <c r="G1667" s="217"/>
      <c r="H1667" s="220"/>
      <c r="I1667" s="217"/>
      <c r="J1667" s="217"/>
      <c r="K1667" s="217"/>
      <c r="L1667" s="217"/>
      <c r="M1667" s="217"/>
      <c r="N1667" s="217"/>
      <c r="O1667" s="44"/>
      <c r="P1667" s="44"/>
      <c r="Q1667" s="44"/>
      <c r="R1667" s="44"/>
      <c r="S1667" s="44"/>
      <c r="T1667" s="44"/>
      <c r="U1667" s="44"/>
      <c r="V1667" s="44"/>
      <c r="W1667" s="44"/>
      <c r="X1667" s="44"/>
      <c r="Y1667" s="44"/>
      <c r="Z1667" s="44"/>
      <c r="AA1667" s="44"/>
      <c r="AB1667" s="44"/>
      <c r="AC1667" s="44"/>
      <c r="AD1667" s="44"/>
      <c r="AE1667" s="44"/>
      <c r="AF1667" s="44"/>
      <c r="AG1667" s="44"/>
      <c r="AH1667" s="44"/>
      <c r="AI1667" s="44"/>
      <c r="AJ1667" s="44"/>
      <c r="AK1667" s="44"/>
      <c r="AL1667" s="44"/>
      <c r="AM1667" s="44"/>
      <c r="AN1667" s="44"/>
      <c r="AO1667" s="44"/>
      <c r="AP1667" s="44"/>
      <c r="AQ1667" s="44"/>
      <c r="BA1667" s="5"/>
      <c r="BB1667" s="5"/>
      <c r="BC1667" s="5"/>
      <c r="BD1667" s="5"/>
      <c r="BE1667" s="63"/>
      <c r="BF1667" s="63"/>
      <c r="BG1667" s="63"/>
      <c r="CA1667" s="256"/>
      <c r="CB1667" s="261"/>
      <c r="CC1667" s="261"/>
      <c r="CD1667" s="261"/>
      <c r="CE1667" s="261"/>
      <c r="CF1667" s="261"/>
      <c r="CG1667" s="53"/>
      <c r="CH1667" s="53"/>
      <c r="CI1667" s="53"/>
      <c r="CJ1667" s="53"/>
      <c r="CK1667" s="53"/>
      <c r="CL1667" s="53"/>
      <c r="CN1667" s="53"/>
      <c r="CO1667" s="53"/>
      <c r="CP1667" s="53"/>
      <c r="CQ1667" s="53"/>
      <c r="CR1667" s="53"/>
      <c r="CS1667" s="53"/>
      <c r="CT1667" s="261"/>
      <c r="CU1667" s="261"/>
      <c r="CV1667" s="255"/>
      <c r="CW1667" s="255"/>
      <c r="CX1667" s="261"/>
      <c r="CY1667" s="255"/>
    </row>
    <row r="1668" spans="1:103" ht="10.25" customHeight="1">
      <c r="A1668" s="216"/>
      <c r="B1668" s="217"/>
      <c r="C1668" s="218"/>
      <c r="D1668" s="219"/>
      <c r="E1668" s="217"/>
      <c r="F1668" s="217"/>
      <c r="G1668" s="217"/>
      <c r="H1668" s="220"/>
      <c r="I1668" s="217"/>
      <c r="J1668" s="217"/>
      <c r="K1668" s="217"/>
      <c r="L1668" s="217"/>
      <c r="M1668" s="217"/>
      <c r="N1668" s="217"/>
      <c r="O1668" s="44"/>
      <c r="P1668" s="44"/>
      <c r="Q1668" s="44"/>
      <c r="R1668" s="44"/>
      <c r="S1668" s="44"/>
      <c r="T1668" s="44"/>
      <c r="U1668" s="44"/>
      <c r="V1668" s="44"/>
      <c r="W1668" s="44"/>
      <c r="X1668" s="44"/>
      <c r="Y1668" s="44"/>
      <c r="Z1668" s="44"/>
      <c r="AA1668" s="44"/>
      <c r="AB1668" s="44"/>
      <c r="AC1668" s="44"/>
      <c r="AD1668" s="44"/>
      <c r="AE1668" s="44"/>
      <c r="AF1668" s="44"/>
      <c r="AG1668" s="44"/>
      <c r="AH1668" s="44"/>
      <c r="AI1668" s="44"/>
      <c r="AJ1668" s="44"/>
      <c r="AK1668" s="44"/>
      <c r="AL1668" s="44"/>
      <c r="AM1668" s="44"/>
      <c r="AN1668" s="44"/>
      <c r="AO1668" s="44"/>
      <c r="AP1668" s="44"/>
      <c r="AQ1668" s="44"/>
      <c r="BA1668" s="5"/>
      <c r="BB1668" s="5"/>
      <c r="BC1668" s="5"/>
      <c r="BD1668" s="5"/>
      <c r="BE1668" s="63"/>
      <c r="BF1668" s="63"/>
      <c r="BG1668" s="63"/>
      <c r="CA1668" s="256"/>
      <c r="CB1668" s="261"/>
      <c r="CC1668" s="261"/>
      <c r="CD1668" s="261"/>
      <c r="CE1668" s="261"/>
      <c r="CF1668" s="261"/>
      <c r="CG1668" s="53"/>
      <c r="CH1668" s="53"/>
      <c r="CI1668" s="53"/>
      <c r="CJ1668" s="53"/>
      <c r="CK1668" s="53"/>
      <c r="CL1668" s="53"/>
      <c r="CN1668" s="53"/>
      <c r="CO1668" s="53"/>
      <c r="CP1668" s="53"/>
      <c r="CQ1668" s="53"/>
      <c r="CR1668" s="53"/>
      <c r="CS1668" s="53"/>
      <c r="CT1668" s="261"/>
      <c r="CU1668" s="261"/>
      <c r="CV1668" s="261"/>
      <c r="CW1668" s="255"/>
      <c r="CX1668" s="261"/>
      <c r="CY1668" s="255"/>
    </row>
    <row r="1669" spans="1:103" ht="10.25" customHeight="1">
      <c r="A1669" s="216"/>
      <c r="B1669" s="217"/>
      <c r="C1669" s="218"/>
      <c r="D1669" s="219"/>
      <c r="E1669" s="217"/>
      <c r="F1669" s="217"/>
      <c r="G1669" s="217"/>
      <c r="H1669" s="220"/>
      <c r="I1669" s="217"/>
      <c r="J1669" s="217"/>
      <c r="K1669" s="217"/>
      <c r="L1669" s="217"/>
      <c r="M1669" s="217"/>
      <c r="N1669" s="217"/>
      <c r="O1669" s="44"/>
      <c r="P1669" s="44"/>
      <c r="Q1669" s="44"/>
      <c r="R1669" s="44"/>
      <c r="S1669" s="44"/>
      <c r="T1669" s="44"/>
      <c r="U1669" s="44"/>
      <c r="V1669" s="44"/>
      <c r="W1669" s="44"/>
      <c r="X1669" s="44"/>
      <c r="Y1669" s="44"/>
      <c r="Z1669" s="44"/>
      <c r="AA1669" s="44"/>
      <c r="AB1669" s="44"/>
      <c r="AC1669" s="44"/>
      <c r="AD1669" s="44"/>
      <c r="AE1669" s="44"/>
      <c r="AF1669" s="44"/>
      <c r="AG1669" s="44"/>
      <c r="AH1669" s="44"/>
      <c r="AI1669" s="44"/>
      <c r="AJ1669" s="44"/>
      <c r="AK1669" s="44"/>
      <c r="AL1669" s="44"/>
      <c r="AM1669" s="44"/>
      <c r="AN1669" s="44"/>
      <c r="AO1669" s="44"/>
      <c r="AP1669" s="44"/>
      <c r="AQ1669" s="44"/>
      <c r="BA1669" s="5"/>
      <c r="BB1669" s="5"/>
      <c r="BC1669" s="5"/>
      <c r="BD1669" s="5"/>
      <c r="BE1669" s="63"/>
      <c r="BF1669" s="63"/>
      <c r="BG1669" s="63"/>
      <c r="CA1669" s="256"/>
      <c r="CB1669" s="261"/>
      <c r="CC1669" s="261"/>
      <c r="CD1669" s="261"/>
      <c r="CE1669" s="261"/>
      <c r="CF1669" s="261"/>
      <c r="CG1669" s="53"/>
      <c r="CH1669" s="53"/>
      <c r="CI1669" s="53"/>
      <c r="CJ1669" s="53"/>
      <c r="CK1669" s="53"/>
      <c r="CL1669" s="53"/>
      <c r="CN1669" s="53"/>
      <c r="CO1669" s="53"/>
      <c r="CP1669" s="53"/>
      <c r="CQ1669" s="53"/>
      <c r="CR1669" s="53"/>
      <c r="CS1669" s="53"/>
      <c r="CT1669" s="261"/>
      <c r="CU1669" s="261"/>
      <c r="CV1669" s="255"/>
      <c r="CW1669" s="255"/>
      <c r="CX1669" s="261"/>
      <c r="CY1669" s="255"/>
    </row>
    <row r="1670" spans="1:103" ht="10.25" customHeight="1">
      <c r="A1670" s="216"/>
      <c r="B1670" s="217"/>
      <c r="C1670" s="218"/>
      <c r="D1670" s="219"/>
      <c r="E1670" s="217"/>
      <c r="F1670" s="217"/>
      <c r="G1670" s="217"/>
      <c r="H1670" s="220"/>
      <c r="I1670" s="217"/>
      <c r="J1670" s="217"/>
      <c r="K1670" s="217"/>
      <c r="L1670" s="217"/>
      <c r="M1670" s="217"/>
      <c r="N1670" s="217"/>
      <c r="O1670" s="44"/>
      <c r="P1670" s="44"/>
      <c r="Q1670" s="44"/>
      <c r="R1670" s="44"/>
      <c r="S1670" s="44"/>
      <c r="T1670" s="44"/>
      <c r="U1670" s="44"/>
      <c r="V1670" s="44"/>
      <c r="W1670" s="44"/>
      <c r="X1670" s="44"/>
      <c r="Y1670" s="44"/>
      <c r="Z1670" s="44"/>
      <c r="AA1670" s="44"/>
      <c r="AB1670" s="44"/>
      <c r="AC1670" s="44"/>
      <c r="AD1670" s="44"/>
      <c r="AE1670" s="44"/>
      <c r="AF1670" s="44"/>
      <c r="AG1670" s="44"/>
      <c r="AH1670" s="44"/>
      <c r="AI1670" s="44"/>
      <c r="AJ1670" s="44"/>
      <c r="AK1670" s="44"/>
      <c r="AL1670" s="44"/>
      <c r="AM1670" s="44"/>
      <c r="AN1670" s="44"/>
      <c r="AO1670" s="44"/>
      <c r="AP1670" s="44"/>
      <c r="AQ1670" s="44"/>
      <c r="BA1670" s="5"/>
      <c r="BB1670" s="5"/>
      <c r="BC1670" s="5"/>
      <c r="BD1670" s="5"/>
      <c r="BE1670" s="63"/>
      <c r="BF1670" s="63"/>
      <c r="BG1670" s="63"/>
      <c r="CA1670" s="256"/>
      <c r="CB1670" s="261"/>
      <c r="CC1670" s="261"/>
      <c r="CD1670" s="261"/>
      <c r="CE1670" s="261"/>
      <c r="CF1670" s="261"/>
      <c r="CG1670" s="53"/>
      <c r="CH1670" s="53"/>
      <c r="CI1670" s="53"/>
      <c r="CJ1670" s="53"/>
      <c r="CK1670" s="53"/>
      <c r="CL1670" s="53"/>
      <c r="CN1670" s="53"/>
      <c r="CO1670" s="53"/>
      <c r="CP1670" s="53"/>
      <c r="CQ1670" s="53"/>
      <c r="CR1670" s="53"/>
      <c r="CS1670" s="53"/>
      <c r="CT1670" s="261"/>
      <c r="CU1670" s="261"/>
      <c r="CV1670" s="261"/>
      <c r="CW1670" s="261"/>
      <c r="CX1670" s="261"/>
      <c r="CY1670" s="255"/>
    </row>
    <row r="1671" spans="1:103" ht="10.25" customHeight="1">
      <c r="A1671" s="216"/>
      <c r="B1671" s="217"/>
      <c r="C1671" s="218"/>
      <c r="D1671" s="219"/>
      <c r="E1671" s="217"/>
      <c r="F1671" s="217"/>
      <c r="G1671" s="217"/>
      <c r="H1671" s="220"/>
      <c r="I1671" s="217"/>
      <c r="J1671" s="217"/>
      <c r="K1671" s="217"/>
      <c r="L1671" s="217"/>
      <c r="M1671" s="217"/>
      <c r="N1671" s="217"/>
      <c r="O1671" s="44"/>
      <c r="P1671" s="44"/>
      <c r="Q1671" s="44"/>
      <c r="R1671" s="44"/>
      <c r="S1671" s="44"/>
      <c r="T1671" s="44"/>
      <c r="U1671" s="44"/>
      <c r="V1671" s="44"/>
      <c r="W1671" s="44"/>
      <c r="X1671" s="44"/>
      <c r="Y1671" s="44"/>
      <c r="Z1671" s="44"/>
      <c r="AA1671" s="44"/>
      <c r="AB1671" s="44"/>
      <c r="AC1671" s="44"/>
      <c r="AD1671" s="44"/>
      <c r="AE1671" s="44"/>
      <c r="AF1671" s="44"/>
      <c r="AG1671" s="44"/>
      <c r="AH1671" s="44"/>
      <c r="AI1671" s="44"/>
      <c r="AJ1671" s="44"/>
      <c r="AK1671" s="44"/>
      <c r="AL1671" s="44"/>
      <c r="AM1671" s="44"/>
      <c r="AN1671" s="44"/>
      <c r="AO1671" s="44"/>
      <c r="AP1671" s="44"/>
      <c r="AQ1671" s="44"/>
      <c r="BA1671" s="5"/>
      <c r="BB1671" s="5"/>
      <c r="BC1671" s="5"/>
      <c r="BD1671" s="5"/>
      <c r="BE1671" s="63"/>
      <c r="BF1671" s="63"/>
      <c r="BG1671" s="63"/>
      <c r="CA1671" s="256"/>
      <c r="CB1671" s="261"/>
      <c r="CC1671" s="261"/>
      <c r="CD1671" s="255"/>
      <c r="CE1671" s="261"/>
      <c r="CF1671" s="261"/>
      <c r="CG1671" s="53"/>
      <c r="CH1671" s="53"/>
      <c r="CI1671" s="53"/>
      <c r="CJ1671" s="53"/>
      <c r="CK1671" s="53"/>
      <c r="CL1671" s="53"/>
      <c r="CN1671" s="53"/>
      <c r="CO1671" s="53"/>
      <c r="CP1671" s="53"/>
      <c r="CQ1671" s="53"/>
      <c r="CR1671" s="53"/>
      <c r="CS1671" s="53"/>
      <c r="CT1671" s="261"/>
      <c r="CU1671" s="261"/>
      <c r="CV1671" s="261"/>
      <c r="CW1671" s="261"/>
      <c r="CX1671" s="261"/>
      <c r="CY1671" s="255"/>
    </row>
    <row r="1672" spans="1:103" ht="10.25" customHeight="1">
      <c r="A1672" s="216"/>
      <c r="B1672" s="217"/>
      <c r="C1672" s="218"/>
      <c r="D1672" s="219"/>
      <c r="E1672" s="217"/>
      <c r="F1672" s="217"/>
      <c r="G1672" s="217"/>
      <c r="H1672" s="220"/>
      <c r="I1672" s="217"/>
      <c r="J1672" s="217"/>
      <c r="K1672" s="217"/>
      <c r="L1672" s="217"/>
      <c r="M1672" s="217"/>
      <c r="N1672" s="217"/>
      <c r="O1672" s="44"/>
      <c r="P1672" s="44"/>
      <c r="Q1672" s="44"/>
      <c r="R1672" s="44"/>
      <c r="S1672" s="44"/>
      <c r="T1672" s="44"/>
      <c r="U1672" s="44"/>
      <c r="V1672" s="44"/>
      <c r="W1672" s="44"/>
      <c r="X1672" s="44"/>
      <c r="Y1672" s="44"/>
      <c r="Z1672" s="44"/>
      <c r="AA1672" s="44"/>
      <c r="AB1672" s="44"/>
      <c r="AC1672" s="44"/>
      <c r="AD1672" s="44"/>
      <c r="AE1672" s="44"/>
      <c r="AF1672" s="44"/>
      <c r="AG1672" s="44"/>
      <c r="AH1672" s="44"/>
      <c r="AI1672" s="44"/>
      <c r="AJ1672" s="44"/>
      <c r="AK1672" s="44"/>
      <c r="AL1672" s="44"/>
      <c r="AM1672" s="44"/>
      <c r="AN1672" s="44"/>
      <c r="AO1672" s="44"/>
      <c r="AP1672" s="44"/>
      <c r="AQ1672" s="44"/>
      <c r="BA1672" s="5"/>
      <c r="BB1672" s="5"/>
      <c r="BC1672" s="5"/>
      <c r="BD1672" s="5"/>
      <c r="BE1672" s="63"/>
      <c r="BF1672" s="63"/>
      <c r="BG1672" s="63"/>
      <c r="CA1672" s="256"/>
      <c r="CB1672" s="261"/>
      <c r="CC1672" s="261"/>
      <c r="CD1672" s="255"/>
      <c r="CE1672" s="261"/>
      <c r="CF1672" s="261"/>
      <c r="CG1672" s="53"/>
      <c r="CH1672" s="53"/>
      <c r="CI1672" s="53"/>
      <c r="CJ1672" s="53"/>
      <c r="CK1672" s="53"/>
      <c r="CL1672" s="53"/>
      <c r="CN1672" s="53"/>
      <c r="CO1672" s="53"/>
      <c r="CP1672" s="53"/>
      <c r="CQ1672" s="53"/>
      <c r="CR1672" s="53"/>
      <c r="CS1672" s="53"/>
      <c r="CT1672" s="261"/>
      <c r="CU1672" s="261"/>
      <c r="CV1672" s="261"/>
      <c r="CW1672" s="261"/>
      <c r="CX1672" s="261"/>
      <c r="CY1672" s="255"/>
    </row>
    <row r="1673" spans="1:103" ht="10.25" customHeight="1">
      <c r="A1673" s="216"/>
      <c r="B1673" s="217"/>
      <c r="C1673" s="218"/>
      <c r="D1673" s="219"/>
      <c r="E1673" s="217"/>
      <c r="F1673" s="217"/>
      <c r="G1673" s="217"/>
      <c r="H1673" s="220"/>
      <c r="I1673" s="217"/>
      <c r="J1673" s="217"/>
      <c r="K1673" s="217"/>
      <c r="L1673" s="217"/>
      <c r="M1673" s="217"/>
      <c r="N1673" s="217"/>
      <c r="O1673" s="44"/>
      <c r="P1673" s="44"/>
      <c r="Q1673" s="44"/>
      <c r="R1673" s="44"/>
      <c r="S1673" s="44"/>
      <c r="T1673" s="44"/>
      <c r="U1673" s="44"/>
      <c r="V1673" s="44"/>
      <c r="W1673" s="44"/>
      <c r="X1673" s="44"/>
      <c r="Y1673" s="44"/>
      <c r="Z1673" s="44"/>
      <c r="AA1673" s="44"/>
      <c r="AB1673" s="44"/>
      <c r="AC1673" s="44"/>
      <c r="AD1673" s="44"/>
      <c r="AE1673" s="44"/>
      <c r="AF1673" s="44"/>
      <c r="AG1673" s="44"/>
      <c r="AH1673" s="44"/>
      <c r="AI1673" s="44"/>
      <c r="AJ1673" s="44"/>
      <c r="AK1673" s="44"/>
      <c r="AL1673" s="44"/>
      <c r="AM1673" s="44"/>
      <c r="AN1673" s="44"/>
      <c r="AO1673" s="44"/>
      <c r="AP1673" s="44"/>
      <c r="AQ1673" s="44"/>
      <c r="BA1673" s="5"/>
      <c r="BB1673" s="5"/>
      <c r="BC1673" s="5"/>
      <c r="BD1673" s="5"/>
      <c r="BE1673" s="63"/>
      <c r="BF1673" s="63"/>
      <c r="BG1673" s="63"/>
      <c r="CA1673" s="256"/>
      <c r="CB1673" s="261"/>
      <c r="CC1673" s="261"/>
      <c r="CD1673" s="255"/>
      <c r="CE1673" s="261"/>
      <c r="CF1673" s="261"/>
      <c r="CG1673" s="53"/>
      <c r="CH1673" s="53"/>
      <c r="CI1673" s="53"/>
      <c r="CJ1673" s="53"/>
      <c r="CK1673" s="53"/>
      <c r="CL1673" s="53"/>
      <c r="CN1673" s="53"/>
      <c r="CO1673" s="53"/>
      <c r="CP1673" s="53"/>
      <c r="CQ1673" s="53"/>
      <c r="CR1673" s="53"/>
      <c r="CS1673" s="53"/>
      <c r="CT1673" s="261"/>
      <c r="CU1673" s="261"/>
      <c r="CV1673" s="261"/>
      <c r="CW1673" s="261"/>
      <c r="CX1673" s="261"/>
      <c r="CY1673" s="255"/>
    </row>
    <row r="1674" spans="1:103" ht="10.25" customHeight="1">
      <c r="A1674" s="216"/>
      <c r="B1674" s="217"/>
      <c r="C1674" s="218"/>
      <c r="D1674" s="219"/>
      <c r="E1674" s="217"/>
      <c r="F1674" s="217"/>
      <c r="G1674" s="217"/>
      <c r="H1674" s="220"/>
      <c r="I1674" s="217"/>
      <c r="J1674" s="217"/>
      <c r="K1674" s="217"/>
      <c r="L1674" s="217"/>
      <c r="M1674" s="217"/>
      <c r="N1674" s="217"/>
      <c r="O1674" s="44"/>
      <c r="P1674" s="44"/>
      <c r="Q1674" s="44"/>
      <c r="R1674" s="44"/>
      <c r="S1674" s="44"/>
      <c r="T1674" s="44"/>
      <c r="U1674" s="44"/>
      <c r="V1674" s="44"/>
      <c r="W1674" s="44"/>
      <c r="X1674" s="44"/>
      <c r="Y1674" s="44"/>
      <c r="Z1674" s="44"/>
      <c r="AA1674" s="44"/>
      <c r="AB1674" s="44"/>
      <c r="AC1674" s="44"/>
      <c r="AD1674" s="44"/>
      <c r="AE1674" s="44"/>
      <c r="AF1674" s="44"/>
      <c r="AG1674" s="44"/>
      <c r="AH1674" s="44"/>
      <c r="AI1674" s="44"/>
      <c r="AJ1674" s="44"/>
      <c r="AK1674" s="44"/>
      <c r="AL1674" s="44"/>
      <c r="AM1674" s="44"/>
      <c r="AN1674" s="44"/>
      <c r="AO1674" s="44"/>
      <c r="AP1674" s="44"/>
      <c r="AQ1674" s="44"/>
      <c r="BA1674" s="5"/>
      <c r="BB1674" s="5"/>
      <c r="BC1674" s="5"/>
      <c r="BD1674" s="5"/>
      <c r="BE1674" s="63"/>
      <c r="BF1674" s="63"/>
      <c r="BG1674" s="63"/>
      <c r="CA1674" s="256"/>
      <c r="CB1674" s="261"/>
      <c r="CC1674" s="255"/>
      <c r="CD1674" s="261"/>
      <c r="CE1674" s="261"/>
      <c r="CF1674" s="261"/>
      <c r="CG1674" s="53"/>
      <c r="CH1674" s="53"/>
      <c r="CI1674" s="53"/>
      <c r="CJ1674" s="53"/>
      <c r="CK1674" s="53"/>
      <c r="CL1674" s="53"/>
      <c r="CN1674" s="53"/>
      <c r="CO1674" s="53"/>
      <c r="CP1674" s="53"/>
      <c r="CQ1674" s="53"/>
      <c r="CR1674" s="53"/>
      <c r="CS1674" s="53"/>
      <c r="CT1674" s="261"/>
      <c r="CU1674" s="261"/>
      <c r="CV1674" s="261"/>
      <c r="CW1674" s="261"/>
      <c r="CX1674" s="261"/>
      <c r="CY1674" s="255"/>
    </row>
    <row r="1675" spans="1:103" ht="10.25" customHeight="1">
      <c r="A1675" s="216"/>
      <c r="B1675" s="217"/>
      <c r="C1675" s="218"/>
      <c r="D1675" s="219"/>
      <c r="E1675" s="217"/>
      <c r="F1675" s="217"/>
      <c r="G1675" s="217"/>
      <c r="H1675" s="220"/>
      <c r="I1675" s="217"/>
      <c r="J1675" s="217"/>
      <c r="K1675" s="217"/>
      <c r="L1675" s="217"/>
      <c r="M1675" s="217"/>
      <c r="N1675" s="217"/>
      <c r="O1675" s="44"/>
      <c r="P1675" s="44"/>
      <c r="Q1675" s="44"/>
      <c r="R1675" s="44"/>
      <c r="S1675" s="44"/>
      <c r="T1675" s="44"/>
      <c r="U1675" s="44"/>
      <c r="V1675" s="44"/>
      <c r="W1675" s="44"/>
      <c r="X1675" s="44"/>
      <c r="Y1675" s="44"/>
      <c r="Z1675" s="44"/>
      <c r="AA1675" s="44"/>
      <c r="AB1675" s="44"/>
      <c r="AC1675" s="44"/>
      <c r="AD1675" s="44"/>
      <c r="AE1675" s="44"/>
      <c r="AF1675" s="44"/>
      <c r="AG1675" s="44"/>
      <c r="AH1675" s="44"/>
      <c r="AI1675" s="44"/>
      <c r="AJ1675" s="44"/>
      <c r="AK1675" s="44"/>
      <c r="AL1675" s="44"/>
      <c r="AM1675" s="44"/>
      <c r="AN1675" s="44"/>
      <c r="AO1675" s="44"/>
      <c r="AP1675" s="44"/>
      <c r="AQ1675" s="44"/>
      <c r="BA1675" s="5"/>
      <c r="BB1675" s="5"/>
      <c r="BC1675" s="5"/>
      <c r="BD1675" s="5"/>
      <c r="BE1675" s="63"/>
      <c r="BF1675" s="63"/>
      <c r="BG1675" s="63"/>
      <c r="CA1675" s="256"/>
      <c r="CB1675" s="261"/>
      <c r="CC1675" s="255"/>
      <c r="CD1675" s="261"/>
      <c r="CE1675" s="261"/>
      <c r="CF1675" s="261"/>
      <c r="CG1675" s="53"/>
      <c r="CH1675" s="53"/>
      <c r="CI1675" s="53"/>
      <c r="CJ1675" s="53"/>
      <c r="CK1675" s="53"/>
      <c r="CL1675" s="53"/>
      <c r="CN1675" s="53"/>
      <c r="CO1675" s="53"/>
      <c r="CP1675" s="53"/>
      <c r="CQ1675" s="53"/>
      <c r="CR1675" s="53"/>
      <c r="CS1675" s="53"/>
      <c r="CT1675" s="261"/>
      <c r="CU1675" s="261"/>
      <c r="CV1675" s="261"/>
      <c r="CW1675" s="261"/>
      <c r="CX1675" s="261"/>
      <c r="CY1675" s="255"/>
    </row>
    <row r="1676" spans="1:103" ht="10.25" customHeight="1">
      <c r="A1676" s="371"/>
      <c r="B1676" s="371"/>
      <c r="C1676" s="371"/>
      <c r="D1676" s="269"/>
      <c r="L1676" s="269"/>
      <c r="M1676" s="269"/>
      <c r="N1676" s="269"/>
      <c r="O1676" s="63"/>
      <c r="P1676" s="63"/>
      <c r="Q1676" s="63"/>
      <c r="R1676" s="63"/>
      <c r="S1676" s="63"/>
      <c r="T1676" s="63"/>
      <c r="U1676" s="63"/>
      <c r="V1676" s="63"/>
      <c r="W1676" s="63"/>
      <c r="X1676" s="63"/>
      <c r="Y1676" s="63"/>
      <c r="Z1676" s="63"/>
      <c r="AA1676" s="63"/>
      <c r="AB1676" s="63"/>
      <c r="AC1676" s="63"/>
      <c r="AD1676" s="63"/>
      <c r="AE1676" s="63"/>
      <c r="AF1676" s="63"/>
      <c r="AG1676" s="63"/>
      <c r="AH1676" s="63"/>
      <c r="AI1676" s="63"/>
      <c r="AJ1676" s="63"/>
      <c r="AK1676" s="63"/>
      <c r="AL1676" s="63"/>
      <c r="AM1676" s="63"/>
      <c r="AN1676" s="63"/>
      <c r="AO1676" s="63"/>
      <c r="AP1676" s="63"/>
      <c r="AQ1676" s="63"/>
      <c r="CA1676" s="256"/>
      <c r="CB1676" s="261"/>
      <c r="CC1676" s="255"/>
      <c r="CD1676" s="261"/>
      <c r="CE1676" s="261"/>
      <c r="CF1676" s="261"/>
      <c r="CG1676" s="261"/>
      <c r="CH1676" s="261"/>
      <c r="CI1676" s="261"/>
      <c r="CJ1676" s="261"/>
      <c r="CK1676" s="261"/>
      <c r="CL1676" s="255"/>
      <c r="CN1676" s="256"/>
      <c r="CO1676" s="256"/>
      <c r="CP1676" s="261"/>
      <c r="CQ1676" s="261"/>
      <c r="CR1676" s="255"/>
      <c r="CS1676" s="261"/>
      <c r="CT1676" s="261"/>
      <c r="CU1676" s="261"/>
      <c r="CV1676" s="261"/>
      <c r="CW1676" s="261"/>
      <c r="CX1676" s="261"/>
      <c r="CY1676" s="255"/>
    </row>
    <row r="1677" spans="1:103" ht="12.65" customHeight="1">
      <c r="A1677" s="270"/>
      <c r="C1677" s="271"/>
      <c r="D1677" s="372"/>
      <c r="E1677" s="372"/>
      <c r="F1677" s="272"/>
      <c r="G1677" s="272"/>
      <c r="H1677" s="273"/>
      <c r="L1677" s="269"/>
      <c r="M1677" s="269"/>
      <c r="N1677" s="269"/>
      <c r="O1677" s="63"/>
      <c r="P1677" s="63"/>
      <c r="Q1677" s="63"/>
      <c r="R1677" s="63"/>
      <c r="S1677" s="63"/>
      <c r="T1677" s="63"/>
      <c r="U1677" s="63"/>
      <c r="V1677" s="63"/>
      <c r="W1677" s="63"/>
      <c r="X1677" s="63"/>
      <c r="Y1677" s="63"/>
      <c r="Z1677" s="63"/>
      <c r="AA1677" s="63"/>
      <c r="AB1677" s="63"/>
      <c r="AC1677" s="63"/>
      <c r="AD1677" s="63"/>
      <c r="AE1677" s="63"/>
      <c r="AF1677" s="63"/>
      <c r="AG1677" s="63"/>
      <c r="AH1677" s="63"/>
      <c r="AI1677" s="63"/>
      <c r="AJ1677" s="63"/>
      <c r="AK1677" s="63"/>
      <c r="AL1677" s="63"/>
      <c r="AM1677" s="63"/>
      <c r="AN1677" s="63"/>
      <c r="AO1677" s="63"/>
      <c r="AP1677" s="63"/>
      <c r="AQ1677" s="63"/>
      <c r="CA1677" s="256"/>
      <c r="CB1677" s="261"/>
      <c r="CC1677" s="255"/>
      <c r="CD1677" s="261"/>
      <c r="CE1677" s="261"/>
      <c r="CF1677" s="261"/>
      <c r="CG1677" s="261"/>
      <c r="CH1677" s="261"/>
      <c r="CI1677" s="261"/>
      <c r="CJ1677" s="261"/>
      <c r="CK1677" s="255"/>
      <c r="CL1677" s="255"/>
      <c r="CN1677" s="256"/>
      <c r="CO1677" s="256"/>
      <c r="CP1677" s="261"/>
      <c r="CQ1677" s="261"/>
      <c r="CR1677" s="255"/>
      <c r="CS1677" s="261"/>
      <c r="CT1677" s="261"/>
      <c r="CU1677" s="261"/>
      <c r="CV1677" s="261"/>
      <c r="CW1677" s="261"/>
      <c r="CX1677" s="255"/>
      <c r="CY1677" s="255"/>
    </row>
    <row r="1678" spans="1:103" ht="10.25" customHeight="1">
      <c r="A1678" s="270"/>
      <c r="D1678" s="372"/>
      <c r="E1678" s="372"/>
      <c r="F1678" s="272"/>
      <c r="G1678" s="272"/>
      <c r="H1678" s="273"/>
      <c r="L1678" s="269"/>
      <c r="M1678" s="269"/>
      <c r="N1678" s="269"/>
      <c r="O1678" s="63"/>
      <c r="P1678" s="63"/>
      <c r="Q1678" s="63"/>
      <c r="R1678" s="63"/>
      <c r="S1678" s="63"/>
      <c r="T1678" s="63"/>
      <c r="U1678" s="63"/>
      <c r="V1678" s="63"/>
      <c r="W1678" s="63"/>
      <c r="X1678" s="63"/>
      <c r="Y1678" s="63"/>
      <c r="Z1678" s="63"/>
      <c r="AA1678" s="63"/>
      <c r="AB1678" s="63"/>
      <c r="AC1678" s="63"/>
      <c r="AD1678" s="63"/>
      <c r="AE1678" s="63"/>
      <c r="AF1678" s="63"/>
      <c r="AG1678" s="63"/>
      <c r="AH1678" s="63"/>
      <c r="AI1678" s="63"/>
      <c r="AJ1678" s="63"/>
      <c r="AK1678" s="63"/>
      <c r="AL1678" s="63"/>
      <c r="AM1678" s="63"/>
      <c r="AN1678" s="63"/>
      <c r="AO1678" s="63"/>
      <c r="AP1678" s="63"/>
      <c r="AQ1678" s="63"/>
      <c r="CA1678" s="256"/>
      <c r="CB1678" s="261"/>
      <c r="CC1678" s="255"/>
      <c r="CD1678" s="261"/>
      <c r="CE1678" s="261"/>
      <c r="CF1678" s="261"/>
      <c r="CG1678" s="261"/>
      <c r="CH1678" s="261"/>
      <c r="CI1678" s="261"/>
      <c r="CJ1678" s="261"/>
      <c r="CK1678" s="261"/>
      <c r="CL1678" s="255"/>
      <c r="CN1678" s="256"/>
      <c r="CO1678" s="256"/>
      <c r="CP1678" s="261"/>
      <c r="CQ1678" s="261"/>
      <c r="CR1678" s="255"/>
      <c r="CS1678" s="261"/>
      <c r="CT1678" s="261"/>
      <c r="CU1678" s="261"/>
      <c r="CV1678" s="261"/>
      <c r="CW1678" s="261"/>
      <c r="CX1678" s="261"/>
      <c r="CY1678" s="255"/>
    </row>
    <row r="1679" spans="1:103" ht="10.25" customHeight="1">
      <c r="C1679" s="270"/>
      <c r="D1679" s="274"/>
      <c r="E1679" s="214"/>
      <c r="F1679" s="272"/>
      <c r="G1679" s="272"/>
      <c r="H1679" s="272"/>
      <c r="I1679" s="273"/>
      <c r="J1679" s="273"/>
      <c r="K1679" s="273"/>
      <c r="L1679" s="275"/>
      <c r="M1679" s="269"/>
      <c r="N1679" s="269"/>
      <c r="O1679" s="63"/>
      <c r="P1679" s="63"/>
      <c r="Q1679" s="63"/>
      <c r="R1679" s="63"/>
      <c r="S1679" s="63"/>
      <c r="T1679" s="63"/>
      <c r="U1679" s="63"/>
      <c r="V1679" s="63"/>
      <c r="W1679" s="63"/>
      <c r="X1679" s="63"/>
      <c r="Y1679" s="63"/>
      <c r="Z1679" s="63"/>
      <c r="AA1679" s="63"/>
      <c r="AB1679" s="63"/>
      <c r="AC1679" s="63"/>
      <c r="AD1679" s="63"/>
      <c r="AE1679" s="63"/>
      <c r="AF1679" s="63"/>
      <c r="AG1679" s="63"/>
      <c r="AH1679" s="63"/>
      <c r="AI1679" s="63"/>
      <c r="AJ1679" s="63"/>
      <c r="AK1679" s="63"/>
      <c r="AL1679" s="63"/>
      <c r="AM1679" s="63"/>
      <c r="AN1679" s="63"/>
      <c r="AO1679" s="63"/>
      <c r="AP1679" s="63"/>
      <c r="AQ1679" s="63"/>
      <c r="CA1679" s="256"/>
      <c r="CB1679" s="261"/>
      <c r="CC1679" s="255"/>
      <c r="CD1679" s="261"/>
      <c r="CE1679" s="261"/>
      <c r="CF1679" s="261"/>
      <c r="CG1679" s="261"/>
      <c r="CH1679" s="261"/>
      <c r="CI1679" s="261"/>
      <c r="CJ1679" s="261"/>
      <c r="CK1679" s="261"/>
      <c r="CL1679" s="255"/>
      <c r="CN1679" s="256"/>
      <c r="CO1679" s="256"/>
      <c r="CP1679" s="261"/>
      <c r="CQ1679" s="261"/>
      <c r="CR1679" s="255"/>
      <c r="CS1679" s="261"/>
      <c r="CT1679" s="261"/>
      <c r="CU1679" s="261"/>
      <c r="CV1679" s="261"/>
      <c r="CW1679" s="261"/>
      <c r="CX1679" s="261"/>
      <c r="CY1679" s="255"/>
    </row>
    <row r="1680" spans="1:103" ht="10.25" customHeight="1">
      <c r="A1680" s="270"/>
      <c r="D1680" s="372"/>
      <c r="E1680" s="372"/>
      <c r="F1680" s="272"/>
      <c r="G1680" s="272"/>
      <c r="H1680" s="272"/>
      <c r="I1680" s="273"/>
      <c r="J1680" s="273"/>
      <c r="K1680" s="273"/>
      <c r="L1680" s="275"/>
      <c r="M1680" s="269"/>
      <c r="N1680" s="269"/>
      <c r="O1680" s="63"/>
      <c r="P1680" s="63"/>
      <c r="Q1680" s="63"/>
      <c r="R1680" s="63"/>
      <c r="S1680" s="63"/>
      <c r="T1680" s="63"/>
      <c r="U1680" s="63"/>
      <c r="V1680" s="63"/>
      <c r="W1680" s="63"/>
      <c r="X1680" s="63"/>
      <c r="Y1680" s="63"/>
      <c r="Z1680" s="63"/>
      <c r="AA1680" s="63"/>
      <c r="AB1680" s="63"/>
      <c r="AC1680" s="63"/>
      <c r="AD1680" s="63"/>
      <c r="AE1680" s="63"/>
      <c r="AF1680" s="63"/>
      <c r="AG1680" s="63"/>
      <c r="AH1680" s="63"/>
      <c r="AI1680" s="63"/>
      <c r="AJ1680" s="63"/>
      <c r="AK1680" s="63"/>
      <c r="AL1680" s="63"/>
      <c r="AM1680" s="63"/>
      <c r="AN1680" s="63"/>
      <c r="AO1680" s="63"/>
      <c r="AP1680" s="63"/>
      <c r="AQ1680" s="63"/>
      <c r="CA1680" s="256"/>
      <c r="CB1680" s="261"/>
      <c r="CC1680" s="255"/>
      <c r="CD1680" s="261"/>
      <c r="CE1680" s="261"/>
      <c r="CF1680" s="261"/>
      <c r="CG1680" s="261"/>
      <c r="CH1680" s="261"/>
      <c r="CI1680" s="255"/>
      <c r="CJ1680" s="255"/>
      <c r="CK1680" s="261"/>
      <c r="CL1680" s="255"/>
      <c r="CN1680" s="256"/>
      <c r="CO1680" s="256"/>
      <c r="CP1680" s="261"/>
      <c r="CQ1680" s="261"/>
      <c r="CR1680" s="255"/>
      <c r="CS1680" s="261"/>
      <c r="CT1680" s="261"/>
      <c r="CU1680" s="261"/>
      <c r="CV1680" s="261"/>
      <c r="CW1680" s="255"/>
      <c r="CX1680" s="261"/>
      <c r="CY1680" s="255"/>
    </row>
    <row r="1681" spans="1:103" ht="10.25" customHeight="1">
      <c r="A1681" s="270"/>
      <c r="D1681" s="372"/>
      <c r="E1681" s="372"/>
      <c r="F1681" s="272"/>
      <c r="G1681" s="272"/>
      <c r="H1681" s="272"/>
      <c r="I1681" s="273"/>
      <c r="J1681" s="273"/>
      <c r="K1681" s="273"/>
      <c r="L1681" s="275"/>
      <c r="M1681" s="269"/>
      <c r="N1681" s="269"/>
      <c r="O1681" s="63"/>
      <c r="P1681" s="63"/>
      <c r="Q1681" s="63"/>
      <c r="R1681" s="63"/>
      <c r="S1681" s="63"/>
      <c r="T1681" s="63"/>
      <c r="U1681" s="63"/>
      <c r="V1681" s="63"/>
      <c r="W1681" s="63"/>
      <c r="X1681" s="63"/>
      <c r="Y1681" s="63"/>
      <c r="Z1681" s="63"/>
      <c r="AA1681" s="63"/>
      <c r="AB1681" s="63"/>
      <c r="AC1681" s="63"/>
      <c r="AD1681" s="63"/>
      <c r="AE1681" s="63"/>
      <c r="AF1681" s="63"/>
      <c r="AG1681" s="63"/>
      <c r="AH1681" s="63"/>
      <c r="AI1681" s="63"/>
      <c r="AJ1681" s="63"/>
      <c r="AK1681" s="63"/>
      <c r="AL1681" s="63"/>
      <c r="AM1681" s="63"/>
      <c r="AN1681" s="63"/>
      <c r="AO1681" s="63"/>
      <c r="AP1681" s="63"/>
      <c r="AQ1681" s="63"/>
      <c r="CA1681" s="256"/>
      <c r="CB1681" s="261"/>
      <c r="CC1681" s="255"/>
      <c r="CD1681" s="261"/>
      <c r="CE1681" s="261"/>
      <c r="CF1681" s="261"/>
      <c r="CG1681" s="255"/>
      <c r="CH1681" s="255"/>
      <c r="CI1681" s="261"/>
      <c r="CJ1681" s="261"/>
      <c r="CK1681" s="261"/>
      <c r="CL1681" s="255"/>
      <c r="CN1681" s="256"/>
      <c r="CO1681" s="256"/>
      <c r="CP1681" s="261"/>
      <c r="CQ1681" s="261"/>
      <c r="CR1681" s="255"/>
      <c r="CS1681" s="261"/>
      <c r="CT1681" s="261"/>
      <c r="CU1681" s="261"/>
      <c r="CV1681" s="255"/>
      <c r="CW1681" s="261"/>
      <c r="CX1681" s="261"/>
      <c r="CY1681" s="255"/>
    </row>
    <row r="1682" spans="1:103" ht="10.25" customHeight="1">
      <c r="A1682" s="270"/>
      <c r="D1682" s="372"/>
      <c r="E1682" s="372"/>
      <c r="F1682" s="272"/>
      <c r="G1682" s="272"/>
      <c r="H1682" s="272"/>
      <c r="I1682" s="273"/>
      <c r="J1682" s="273"/>
      <c r="K1682" s="273"/>
      <c r="L1682" s="275"/>
      <c r="M1682" s="269"/>
      <c r="N1682" s="269"/>
      <c r="O1682" s="63"/>
      <c r="P1682" s="63"/>
      <c r="Q1682" s="63"/>
      <c r="R1682" s="63"/>
      <c r="S1682" s="63"/>
      <c r="T1682" s="63"/>
      <c r="U1682" s="63"/>
      <c r="V1682" s="63"/>
      <c r="W1682" s="63"/>
      <c r="X1682" s="63"/>
      <c r="Y1682" s="63"/>
      <c r="Z1682" s="63"/>
      <c r="AA1682" s="63"/>
      <c r="AB1682" s="63"/>
      <c r="AC1682" s="63"/>
      <c r="AD1682" s="63"/>
      <c r="AE1682" s="63"/>
      <c r="AF1682" s="63"/>
      <c r="AG1682" s="63"/>
      <c r="AH1682" s="63"/>
      <c r="AI1682" s="63"/>
      <c r="AJ1682" s="63"/>
      <c r="AK1682" s="63"/>
      <c r="AL1682" s="63"/>
      <c r="AM1682" s="63"/>
      <c r="AN1682" s="63"/>
      <c r="AO1682" s="63"/>
      <c r="AP1682" s="63"/>
      <c r="AQ1682" s="63"/>
      <c r="CA1682" s="256"/>
      <c r="CB1682" s="261"/>
      <c r="CC1682" s="255"/>
      <c r="CD1682" s="261"/>
      <c r="CE1682" s="261"/>
      <c r="CF1682" s="261"/>
      <c r="CG1682" s="255"/>
      <c r="CH1682" s="255"/>
      <c r="CI1682" s="261"/>
      <c r="CJ1682" s="261"/>
      <c r="CK1682" s="261"/>
      <c r="CL1682" s="255"/>
      <c r="CN1682" s="256"/>
      <c r="CO1682" s="256"/>
      <c r="CP1682" s="261"/>
      <c r="CQ1682" s="261"/>
      <c r="CR1682" s="255"/>
      <c r="CS1682" s="261"/>
      <c r="CT1682" s="261"/>
      <c r="CU1682" s="261"/>
      <c r="CV1682" s="255"/>
      <c r="CW1682" s="261"/>
      <c r="CX1682" s="261"/>
      <c r="CY1682" s="255"/>
    </row>
    <row r="1683" spans="1:103" ht="10.25" customHeight="1">
      <c r="A1683" s="270"/>
      <c r="D1683" s="372"/>
      <c r="E1683" s="372"/>
      <c r="F1683" s="272"/>
      <c r="G1683" s="272"/>
      <c r="H1683" s="272"/>
      <c r="I1683" s="375"/>
      <c r="J1683" s="375"/>
      <c r="K1683" s="375"/>
      <c r="L1683" s="375"/>
      <c r="M1683" s="269"/>
      <c r="N1683" s="269"/>
      <c r="O1683" s="63"/>
      <c r="P1683" s="63"/>
      <c r="Q1683" s="63"/>
      <c r="R1683" s="63"/>
      <c r="S1683" s="63"/>
      <c r="T1683" s="63"/>
      <c r="U1683" s="63"/>
      <c r="V1683" s="63"/>
      <c r="W1683" s="63"/>
      <c r="X1683" s="63"/>
      <c r="Y1683" s="63"/>
      <c r="Z1683" s="63"/>
      <c r="AA1683" s="63"/>
      <c r="AB1683" s="63"/>
      <c r="AC1683" s="63"/>
      <c r="AD1683" s="63"/>
      <c r="AE1683" s="63"/>
      <c r="AF1683" s="63"/>
      <c r="AG1683" s="63"/>
      <c r="AH1683" s="63"/>
      <c r="AI1683" s="63"/>
      <c r="AJ1683" s="63"/>
      <c r="AK1683" s="63"/>
      <c r="AL1683" s="63"/>
      <c r="AM1683" s="63"/>
      <c r="AN1683" s="63"/>
      <c r="AO1683" s="63"/>
      <c r="AP1683" s="63"/>
      <c r="AQ1683" s="63"/>
      <c r="CA1683" s="256"/>
      <c r="CB1683" s="261"/>
      <c r="CC1683" s="255"/>
      <c r="CD1683" s="261"/>
      <c r="CE1683" s="261"/>
      <c r="CF1683" s="261"/>
      <c r="CG1683" s="261"/>
      <c r="CH1683" s="261"/>
      <c r="CI1683" s="261"/>
      <c r="CJ1683" s="261"/>
      <c r="CK1683" s="261"/>
      <c r="CL1683" s="255"/>
      <c r="CN1683" s="256"/>
      <c r="CO1683" s="256"/>
      <c r="CP1683" s="261"/>
      <c r="CQ1683" s="261"/>
      <c r="CR1683" s="255"/>
      <c r="CS1683" s="261"/>
      <c r="CT1683" s="261"/>
      <c r="CU1683" s="261"/>
      <c r="CV1683" s="261"/>
      <c r="CW1683" s="261"/>
      <c r="CX1683" s="261"/>
      <c r="CY1683" s="255"/>
    </row>
    <row r="1684" spans="1:103" ht="10.25" customHeight="1">
      <c r="A1684" s="270"/>
      <c r="D1684" s="372"/>
      <c r="E1684" s="372"/>
      <c r="H1684" s="209"/>
      <c r="I1684" s="213"/>
      <c r="J1684" s="213"/>
      <c r="K1684" s="213"/>
      <c r="L1684" s="213"/>
      <c r="M1684" s="213"/>
      <c r="N1684" s="213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  <c r="AG1684" s="5"/>
      <c r="AH1684" s="5"/>
      <c r="AI1684" s="5"/>
      <c r="AJ1684" s="5"/>
      <c r="AK1684" s="5"/>
      <c r="AL1684" s="5"/>
      <c r="AM1684" s="5"/>
      <c r="AN1684" s="5"/>
      <c r="AO1684" s="5"/>
      <c r="AP1684" s="5"/>
      <c r="AQ1684" s="5"/>
      <c r="CA1684" s="256"/>
      <c r="CB1684" s="261"/>
      <c r="CC1684" s="255"/>
      <c r="CD1684" s="261"/>
      <c r="CE1684" s="261"/>
      <c r="CF1684" s="261"/>
      <c r="CG1684" s="261"/>
      <c r="CH1684" s="261"/>
      <c r="CI1684" s="261"/>
      <c r="CJ1684" s="261"/>
      <c r="CK1684" s="261"/>
      <c r="CL1684" s="255"/>
      <c r="CN1684" s="256"/>
      <c r="CO1684" s="256"/>
      <c r="CP1684" s="261"/>
      <c r="CQ1684" s="261"/>
      <c r="CR1684" s="255"/>
      <c r="CS1684" s="261"/>
      <c r="CT1684" s="261"/>
      <c r="CU1684" s="261"/>
      <c r="CV1684" s="261"/>
      <c r="CW1684" s="261"/>
      <c r="CX1684" s="261"/>
      <c r="CY1684" s="255"/>
    </row>
    <row r="1685" spans="1:103" ht="10.25" customHeight="1">
      <c r="A1685" s="270"/>
      <c r="C1685" s="269"/>
      <c r="D1685" s="275"/>
      <c r="E1685" s="275"/>
      <c r="F1685" s="209"/>
      <c r="G1685" s="209"/>
      <c r="H1685" s="209"/>
      <c r="I1685" s="209"/>
      <c r="J1685" s="209"/>
      <c r="K1685" s="209"/>
      <c r="L1685" s="376"/>
      <c r="M1685" s="376"/>
      <c r="N1685" s="279"/>
      <c r="O1685" s="51"/>
      <c r="P1685" s="51"/>
      <c r="Q1685" s="51"/>
      <c r="R1685" s="51"/>
      <c r="S1685" s="51"/>
      <c r="T1685" s="51"/>
      <c r="U1685" s="51"/>
      <c r="V1685" s="51"/>
      <c r="W1685" s="51"/>
      <c r="X1685" s="51"/>
      <c r="Y1685" s="51"/>
      <c r="Z1685" s="51"/>
      <c r="AA1685" s="51"/>
      <c r="AB1685" s="51"/>
      <c r="AC1685" s="51"/>
      <c r="AD1685" s="51"/>
      <c r="AE1685" s="51"/>
      <c r="AF1685" s="51"/>
      <c r="AG1685" s="51"/>
      <c r="AH1685" s="51"/>
      <c r="AI1685" s="51"/>
      <c r="AJ1685" s="51"/>
      <c r="AK1685" s="51"/>
      <c r="AL1685" s="51"/>
      <c r="AM1685" s="51"/>
      <c r="AN1685" s="51"/>
      <c r="AO1685" s="51"/>
      <c r="AP1685" s="51"/>
      <c r="AQ1685" s="51"/>
      <c r="CA1685" s="256"/>
      <c r="CB1685" s="261"/>
      <c r="CC1685" s="255"/>
      <c r="CD1685" s="261"/>
      <c r="CE1685" s="261"/>
      <c r="CF1685" s="261"/>
      <c r="CG1685" s="261"/>
      <c r="CH1685" s="261"/>
      <c r="CI1685" s="261"/>
      <c r="CJ1685" s="261"/>
      <c r="CK1685" s="261"/>
      <c r="CL1685" s="255"/>
      <c r="CN1685" s="256"/>
      <c r="CO1685" s="256"/>
      <c r="CP1685" s="261"/>
      <c r="CQ1685" s="261"/>
      <c r="CR1685" s="255"/>
      <c r="CS1685" s="261"/>
      <c r="CT1685" s="261"/>
      <c r="CU1685" s="261"/>
      <c r="CV1685" s="261"/>
      <c r="CW1685" s="261"/>
      <c r="CX1685" s="261"/>
      <c r="CY1685" s="255"/>
    </row>
    <row r="1686" spans="1:103" ht="10.25" customHeight="1">
      <c r="A1686" s="270"/>
      <c r="C1686" s="269"/>
      <c r="D1686" s="269"/>
      <c r="F1686" s="209"/>
      <c r="G1686" s="209"/>
      <c r="H1686" s="276"/>
      <c r="I1686" s="276"/>
      <c r="J1686" s="276"/>
      <c r="K1686" s="276"/>
      <c r="L1686" s="374"/>
      <c r="M1686" s="374"/>
      <c r="N1686" s="213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  <c r="AL1686" s="5"/>
      <c r="AM1686" s="5"/>
      <c r="AN1686" s="5"/>
      <c r="AO1686" s="5"/>
      <c r="AP1686" s="5"/>
      <c r="AQ1686" s="5"/>
      <c r="CA1686" s="256"/>
      <c r="CB1686" s="261"/>
      <c r="CC1686" s="255"/>
      <c r="CD1686" s="261"/>
      <c r="CE1686" s="261"/>
      <c r="CF1686" s="261"/>
      <c r="CG1686" s="261"/>
      <c r="CH1686" s="261"/>
      <c r="CI1686" s="261"/>
      <c r="CJ1686" s="261"/>
      <c r="CK1686" s="261"/>
      <c r="CL1686" s="255"/>
      <c r="CN1686" s="256"/>
      <c r="CO1686" s="256"/>
      <c r="CP1686" s="261"/>
      <c r="CQ1686" s="261"/>
      <c r="CR1686" s="255"/>
      <c r="CS1686" s="261"/>
      <c r="CT1686" s="261"/>
      <c r="CU1686" s="261"/>
      <c r="CV1686" s="261"/>
      <c r="CW1686" s="261"/>
      <c r="CX1686" s="261"/>
      <c r="CY1686" s="255"/>
    </row>
    <row r="1687" spans="1:103" ht="10.25" customHeight="1">
      <c r="A1687" s="270"/>
      <c r="D1687" s="269"/>
      <c r="F1687" s="208"/>
      <c r="G1687" s="208"/>
      <c r="H1687" s="277"/>
      <c r="I1687" s="277"/>
      <c r="J1687" s="277"/>
      <c r="K1687" s="277"/>
      <c r="L1687" s="372"/>
      <c r="M1687" s="372"/>
      <c r="N1687" s="214"/>
      <c r="O1687" s="41"/>
      <c r="P1687" s="41"/>
      <c r="Q1687" s="41"/>
      <c r="R1687" s="41"/>
      <c r="S1687" s="41"/>
      <c r="T1687" s="41"/>
      <c r="U1687" s="41"/>
      <c r="V1687" s="41"/>
      <c r="W1687" s="41"/>
      <c r="X1687" s="41"/>
      <c r="Y1687" s="41"/>
      <c r="Z1687" s="41"/>
      <c r="AA1687" s="41"/>
      <c r="AB1687" s="41"/>
      <c r="AC1687" s="41"/>
      <c r="AD1687" s="41"/>
      <c r="AE1687" s="41"/>
      <c r="AF1687" s="41"/>
      <c r="AG1687" s="41"/>
      <c r="AH1687" s="41"/>
      <c r="AI1687" s="41"/>
      <c r="AJ1687" s="41"/>
      <c r="AK1687" s="41"/>
      <c r="AL1687" s="41"/>
      <c r="AM1687" s="41"/>
      <c r="AN1687" s="41"/>
      <c r="AO1687" s="41"/>
      <c r="AP1687" s="41"/>
      <c r="AQ1687" s="41"/>
      <c r="CA1687" s="256"/>
      <c r="CB1687" s="261"/>
      <c r="CC1687" s="255"/>
      <c r="CD1687" s="261"/>
      <c r="CE1687" s="261"/>
      <c r="CF1687" s="261"/>
      <c r="CG1687" s="261"/>
      <c r="CH1687" s="261"/>
      <c r="CI1687" s="261"/>
      <c r="CJ1687" s="261"/>
      <c r="CK1687" s="261"/>
      <c r="CL1687" s="255"/>
      <c r="CN1687" s="256"/>
      <c r="CO1687" s="256"/>
      <c r="CP1687" s="261"/>
      <c r="CQ1687" s="261"/>
      <c r="CR1687" s="255"/>
      <c r="CS1687" s="261"/>
      <c r="CT1687" s="261"/>
      <c r="CU1687" s="261"/>
      <c r="CV1687" s="261"/>
      <c r="CW1687" s="261"/>
      <c r="CX1687" s="261"/>
      <c r="CY1687" s="255"/>
    </row>
    <row r="1688" spans="1:103" ht="10.25" customHeight="1">
      <c r="CA1688" s="256"/>
      <c r="CB1688" s="261"/>
      <c r="CC1688" s="255"/>
      <c r="CD1688" s="261"/>
      <c r="CE1688" s="261"/>
      <c r="CF1688" s="255"/>
      <c r="CG1688" s="261"/>
      <c r="CH1688" s="261"/>
      <c r="CI1688" s="261"/>
      <c r="CJ1688" s="261"/>
      <c r="CK1688" s="261"/>
      <c r="CL1688" s="255"/>
      <c r="CN1688" s="256"/>
      <c r="CO1688" s="256"/>
      <c r="CP1688" s="261"/>
      <c r="CQ1688" s="261"/>
      <c r="CR1688" s="255"/>
      <c r="CS1688" s="261"/>
      <c r="CT1688" s="261"/>
      <c r="CU1688" s="255"/>
      <c r="CV1688" s="261"/>
      <c r="CW1688" s="261"/>
      <c r="CX1688" s="261"/>
      <c r="CY1688" s="255"/>
    </row>
    <row r="1689" spans="1:103" ht="10.25" customHeight="1">
      <c r="C1689" s="278"/>
      <c r="CA1689" s="256"/>
      <c r="CB1689" s="261"/>
      <c r="CC1689" s="255"/>
      <c r="CD1689" s="261"/>
      <c r="CE1689" s="261"/>
      <c r="CF1689" s="255"/>
      <c r="CG1689" s="261"/>
      <c r="CH1689" s="261"/>
      <c r="CI1689" s="261"/>
      <c r="CJ1689" s="261"/>
      <c r="CK1689" s="261"/>
      <c r="CL1689" s="255"/>
      <c r="CN1689" s="256"/>
      <c r="CO1689" s="256"/>
      <c r="CP1689" s="261"/>
      <c r="CQ1689" s="261"/>
      <c r="CR1689" s="255"/>
      <c r="CS1689" s="261"/>
      <c r="CT1689" s="261"/>
      <c r="CU1689" s="255"/>
      <c r="CV1689" s="261"/>
      <c r="CW1689" s="261"/>
      <c r="CX1689" s="261"/>
      <c r="CY1689" s="255"/>
    </row>
    <row r="1690" spans="1:103" ht="10.25" customHeight="1">
      <c r="C1690" s="278"/>
      <c r="F1690" s="377"/>
      <c r="G1690" s="377"/>
      <c r="H1690" s="377"/>
      <c r="I1690" s="377"/>
      <c r="J1690" s="377"/>
      <c r="K1690" s="377"/>
      <c r="L1690" s="377"/>
      <c r="M1690" s="377"/>
      <c r="N1690" s="269"/>
      <c r="O1690" s="63"/>
      <c r="P1690" s="63"/>
      <c r="Q1690" s="63"/>
      <c r="R1690" s="63"/>
      <c r="S1690" s="63"/>
      <c r="T1690" s="63"/>
      <c r="U1690" s="63"/>
      <c r="V1690" s="63"/>
      <c r="W1690" s="63"/>
      <c r="X1690" s="63"/>
      <c r="Y1690" s="63"/>
      <c r="Z1690" s="63"/>
      <c r="AA1690" s="63"/>
      <c r="AB1690" s="63"/>
      <c r="AC1690" s="63"/>
      <c r="AD1690" s="63"/>
      <c r="AE1690" s="63"/>
      <c r="AF1690" s="63"/>
      <c r="AG1690" s="63"/>
      <c r="AH1690" s="63"/>
      <c r="AI1690" s="63"/>
      <c r="AJ1690" s="63"/>
      <c r="AK1690" s="63"/>
      <c r="AL1690" s="63"/>
      <c r="AM1690" s="63"/>
      <c r="AN1690" s="63"/>
      <c r="AO1690" s="63"/>
      <c r="AP1690" s="63"/>
      <c r="AQ1690" s="63"/>
      <c r="CA1690" s="256"/>
      <c r="CB1690" s="261"/>
      <c r="CC1690" s="255"/>
      <c r="CD1690" s="261"/>
      <c r="CE1690" s="261"/>
      <c r="CF1690" s="255"/>
      <c r="CG1690" s="261"/>
      <c r="CH1690" s="261"/>
      <c r="CI1690" s="261"/>
      <c r="CJ1690" s="261"/>
      <c r="CK1690" s="261"/>
      <c r="CL1690" s="255"/>
      <c r="CN1690" s="256"/>
      <c r="CO1690" s="256"/>
      <c r="CP1690" s="261"/>
      <c r="CQ1690" s="261"/>
      <c r="CR1690" s="255"/>
      <c r="CS1690" s="261"/>
      <c r="CT1690" s="261"/>
      <c r="CU1690" s="255"/>
      <c r="CV1690" s="261"/>
      <c r="CW1690" s="261"/>
      <c r="CX1690" s="261"/>
      <c r="CY1690" s="255"/>
    </row>
    <row r="1691" spans="1:103" ht="10.4" customHeight="1">
      <c r="C1691" s="278"/>
      <c r="F1691" s="377"/>
      <c r="G1691" s="377"/>
      <c r="H1691" s="377"/>
      <c r="I1691" s="377"/>
      <c r="J1691" s="377"/>
      <c r="K1691" s="377"/>
      <c r="L1691" s="377"/>
      <c r="M1691" s="377"/>
      <c r="N1691" s="269"/>
      <c r="O1691" s="63"/>
      <c r="P1691" s="63"/>
      <c r="Q1691" s="63"/>
      <c r="R1691" s="63"/>
      <c r="S1691" s="63"/>
      <c r="T1691" s="63"/>
      <c r="U1691" s="63"/>
      <c r="V1691" s="63"/>
      <c r="W1691" s="63"/>
      <c r="X1691" s="63"/>
      <c r="Y1691" s="63"/>
      <c r="Z1691" s="63"/>
      <c r="AA1691" s="63"/>
      <c r="AB1691" s="63"/>
      <c r="AC1691" s="63"/>
      <c r="AD1691" s="63"/>
      <c r="AE1691" s="63"/>
      <c r="AF1691" s="63"/>
      <c r="AG1691" s="63"/>
      <c r="AH1691" s="63"/>
      <c r="AI1691" s="63"/>
      <c r="AJ1691" s="63"/>
      <c r="AK1691" s="63"/>
      <c r="AL1691" s="63"/>
      <c r="AM1691" s="63"/>
      <c r="AN1691" s="63"/>
      <c r="AO1691" s="63"/>
      <c r="AP1691" s="63"/>
      <c r="AQ1691" s="63"/>
      <c r="AS1691" s="236"/>
      <c r="BE1691" s="63"/>
      <c r="BF1691" s="63"/>
      <c r="BG1691" s="63"/>
      <c r="BK1691" s="317"/>
      <c r="BL1691" s="5"/>
      <c r="BM1691" s="5"/>
      <c r="BN1691" s="5"/>
      <c r="BO1691" s="5"/>
      <c r="BP1691" s="5"/>
      <c r="BQ1691" s="5"/>
      <c r="BR1691" s="5"/>
      <c r="BS1691" s="5"/>
      <c r="BT1691" s="5"/>
      <c r="BV1691" s="317"/>
      <c r="CF1691" s="5"/>
      <c r="CG1691" s="5"/>
      <c r="CH1691" s="5"/>
      <c r="CI1691" s="5"/>
      <c r="CJ1691" s="5"/>
      <c r="CK1691" s="5"/>
      <c r="CL1691" s="5"/>
    </row>
    <row r="1692" spans="1:103" ht="10.25" customHeight="1">
      <c r="A1692" s="377"/>
      <c r="B1692" s="377"/>
      <c r="C1692" s="377"/>
      <c r="D1692" s="377"/>
      <c r="E1692" s="377"/>
      <c r="F1692" s="377"/>
      <c r="G1692" s="377"/>
      <c r="H1692" s="377"/>
      <c r="I1692" s="377"/>
      <c r="J1692" s="377"/>
      <c r="K1692" s="377"/>
      <c r="L1692" s="377"/>
      <c r="M1692" s="377"/>
      <c r="N1692" s="269"/>
      <c r="O1692" s="63"/>
      <c r="P1692" s="63"/>
      <c r="Q1692" s="63"/>
      <c r="R1692" s="63"/>
      <c r="S1692" s="63"/>
      <c r="T1692" s="63"/>
      <c r="U1692" s="63"/>
      <c r="V1692" s="63"/>
      <c r="W1692" s="63"/>
      <c r="X1692" s="63"/>
      <c r="Y1692" s="63"/>
      <c r="Z1692" s="63"/>
      <c r="AA1692" s="63"/>
      <c r="AB1692" s="63"/>
      <c r="AC1692" s="63"/>
      <c r="AD1692" s="63"/>
      <c r="AE1692" s="63"/>
      <c r="AF1692" s="63"/>
      <c r="AG1692" s="63"/>
      <c r="AH1692" s="63"/>
      <c r="AI1692" s="63"/>
      <c r="AJ1692" s="63"/>
      <c r="AK1692" s="63"/>
      <c r="AL1692" s="63"/>
      <c r="AM1692" s="63"/>
      <c r="AN1692" s="63"/>
      <c r="AO1692" s="63"/>
      <c r="AP1692" s="63"/>
      <c r="AQ1692" s="63"/>
      <c r="BE1692" s="63"/>
      <c r="BF1692" s="63"/>
      <c r="BG1692" s="63"/>
      <c r="BK1692" s="317"/>
      <c r="BL1692" s="5"/>
      <c r="BM1692" s="5"/>
      <c r="BN1692" s="5"/>
      <c r="BO1692" s="5"/>
      <c r="BP1692" s="5"/>
      <c r="BQ1692" s="5"/>
      <c r="BR1692" s="5"/>
      <c r="BS1692" s="5"/>
      <c r="BT1692" s="5"/>
      <c r="BV1692" s="317"/>
      <c r="CF1692" s="5"/>
      <c r="CG1692" s="5"/>
      <c r="CH1692" s="5"/>
      <c r="CI1692" s="5"/>
      <c r="CJ1692" s="5"/>
      <c r="CK1692" s="5"/>
      <c r="CL1692" s="5"/>
    </row>
    <row r="1693" spans="1:103" ht="10.25" customHeight="1">
      <c r="A1693" s="376"/>
      <c r="B1693" s="376"/>
      <c r="C1693" s="376"/>
      <c r="D1693" s="376"/>
      <c r="E1693" s="376"/>
      <c r="F1693" s="376"/>
      <c r="G1693" s="376"/>
      <c r="H1693" s="376"/>
      <c r="I1693" s="376"/>
      <c r="J1693" s="376"/>
      <c r="K1693" s="376"/>
      <c r="L1693" s="376"/>
      <c r="M1693" s="376"/>
      <c r="N1693" s="279"/>
      <c r="O1693" s="51"/>
      <c r="P1693" s="51"/>
      <c r="Q1693" s="51"/>
      <c r="R1693" s="51"/>
      <c r="S1693" s="51"/>
      <c r="T1693" s="51"/>
      <c r="U1693" s="51"/>
      <c r="V1693" s="51"/>
      <c r="W1693" s="51"/>
      <c r="X1693" s="51"/>
      <c r="Y1693" s="51"/>
      <c r="Z1693" s="51"/>
      <c r="AA1693" s="51"/>
      <c r="AB1693" s="51"/>
      <c r="AC1693" s="51"/>
      <c r="AD1693" s="51"/>
      <c r="AE1693" s="51"/>
      <c r="AF1693" s="51"/>
      <c r="AG1693" s="51"/>
      <c r="AH1693" s="51"/>
      <c r="AI1693" s="51"/>
      <c r="AJ1693" s="51"/>
      <c r="AK1693" s="51"/>
      <c r="AL1693" s="51"/>
      <c r="AM1693" s="51"/>
      <c r="AN1693" s="51"/>
      <c r="AO1693" s="51"/>
      <c r="AP1693" s="51"/>
      <c r="AQ1693" s="51"/>
      <c r="BE1693" s="63"/>
      <c r="BF1693" s="63"/>
      <c r="BG1693" s="63"/>
      <c r="BK1693" s="317"/>
      <c r="BL1693" s="5"/>
      <c r="BM1693" s="5"/>
      <c r="BN1693" s="5"/>
      <c r="BO1693" s="5"/>
      <c r="BP1693" s="5"/>
      <c r="BQ1693" s="5"/>
      <c r="BR1693" s="5"/>
      <c r="BS1693" s="5"/>
      <c r="BT1693" s="5"/>
      <c r="BV1693" s="317"/>
      <c r="CF1693" s="5"/>
      <c r="CG1693" s="5"/>
      <c r="CH1693" s="5"/>
      <c r="CI1693" s="5"/>
      <c r="CJ1693" s="5"/>
      <c r="CK1693" s="5"/>
      <c r="CL1693" s="5"/>
    </row>
    <row r="1694" spans="1:103" ht="10.25" customHeight="1">
      <c r="A1694" s="374"/>
      <c r="B1694" s="374"/>
      <c r="C1694" s="374"/>
      <c r="D1694" s="374"/>
      <c r="E1694" s="374"/>
      <c r="F1694" s="374"/>
      <c r="G1694" s="374"/>
      <c r="H1694" s="374"/>
      <c r="I1694" s="374"/>
      <c r="J1694" s="374"/>
      <c r="K1694" s="374"/>
      <c r="L1694" s="374"/>
      <c r="M1694" s="374"/>
      <c r="N1694" s="213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  <c r="AL1694" s="5"/>
      <c r="AM1694" s="5"/>
      <c r="AN1694" s="5"/>
      <c r="AO1694" s="5"/>
      <c r="AP1694" s="5"/>
      <c r="AQ1694" s="5"/>
      <c r="BE1694" s="63"/>
      <c r="BF1694" s="63"/>
      <c r="BG1694" s="63"/>
      <c r="BK1694" s="317"/>
      <c r="BL1694" s="5"/>
      <c r="BM1694" s="5"/>
      <c r="BN1694" s="5"/>
      <c r="BO1694" s="5"/>
      <c r="BP1694" s="5"/>
      <c r="BQ1694" s="5"/>
      <c r="BR1694" s="5"/>
      <c r="BS1694" s="5"/>
      <c r="BT1694" s="5"/>
      <c r="BV1694" s="317"/>
      <c r="CF1694" s="5"/>
      <c r="CG1694" s="5"/>
      <c r="CH1694" s="5"/>
      <c r="CI1694" s="5"/>
      <c r="CJ1694" s="5"/>
      <c r="CK1694" s="5"/>
      <c r="CL1694" s="5"/>
    </row>
    <row r="1695" spans="1:103" ht="6" customHeight="1">
      <c r="A1695" s="208"/>
      <c r="B1695" s="209"/>
      <c r="C1695" s="209"/>
      <c r="D1695" s="209"/>
      <c r="E1695" s="209"/>
      <c r="F1695" s="280"/>
      <c r="G1695" s="280"/>
      <c r="H1695" s="280"/>
      <c r="I1695" s="280"/>
      <c r="J1695" s="280"/>
      <c r="K1695" s="280"/>
      <c r="L1695" s="280"/>
      <c r="M1695" s="280"/>
      <c r="N1695" s="280"/>
      <c r="O1695" s="42"/>
      <c r="P1695" s="42"/>
      <c r="Q1695" s="42"/>
      <c r="R1695" s="42"/>
      <c r="S1695" s="42"/>
      <c r="T1695" s="42"/>
      <c r="U1695" s="42"/>
      <c r="V1695" s="42"/>
      <c r="W1695" s="42"/>
      <c r="X1695" s="42"/>
      <c r="Y1695" s="42"/>
      <c r="Z1695" s="42"/>
      <c r="AA1695" s="42"/>
      <c r="AB1695" s="42"/>
      <c r="AC1695" s="42"/>
      <c r="AD1695" s="42"/>
      <c r="AE1695" s="42"/>
      <c r="AF1695" s="42"/>
      <c r="AG1695" s="42"/>
      <c r="AH1695" s="42"/>
      <c r="AI1695" s="42"/>
      <c r="AJ1695" s="42"/>
      <c r="AK1695" s="42"/>
      <c r="AL1695" s="42"/>
      <c r="AM1695" s="42"/>
      <c r="AN1695" s="42"/>
      <c r="AO1695" s="42"/>
      <c r="AP1695" s="42"/>
      <c r="AQ1695" s="42"/>
      <c r="BK1695" s="317"/>
      <c r="BL1695" s="5"/>
      <c r="BM1695" s="5"/>
      <c r="BN1695" s="5"/>
      <c r="BO1695" s="5"/>
      <c r="BP1695" s="5"/>
      <c r="BQ1695" s="5"/>
      <c r="BR1695" s="5"/>
      <c r="BS1695" s="5"/>
      <c r="BT1695" s="5"/>
      <c r="BV1695" s="317"/>
      <c r="CF1695" s="5"/>
      <c r="CG1695" s="5"/>
      <c r="CH1695" s="5"/>
      <c r="CI1695" s="5"/>
      <c r="CJ1695" s="5"/>
      <c r="CK1695" s="5"/>
      <c r="CL1695" s="5"/>
    </row>
    <row r="1696" spans="1:103" ht="10.25" customHeight="1">
      <c r="A1696" s="208"/>
      <c r="B1696" s="209"/>
      <c r="C1696" s="209"/>
      <c r="D1696" s="210"/>
      <c r="E1696" s="211"/>
      <c r="F1696" s="369"/>
      <c r="G1696" s="369"/>
      <c r="H1696" s="369"/>
      <c r="I1696" s="369"/>
      <c r="J1696" s="369"/>
      <c r="K1696" s="369"/>
      <c r="L1696" s="369"/>
      <c r="M1696" s="230"/>
      <c r="N1696" s="230"/>
      <c r="O1696" s="235"/>
      <c r="P1696" s="235"/>
      <c r="Q1696" s="235"/>
      <c r="R1696" s="235"/>
      <c r="S1696" s="235"/>
      <c r="T1696" s="235"/>
      <c r="U1696" s="235"/>
      <c r="V1696" s="235"/>
      <c r="W1696" s="235"/>
      <c r="X1696" s="235"/>
      <c r="Y1696" s="235"/>
      <c r="Z1696" s="235"/>
      <c r="AA1696" s="235"/>
      <c r="AB1696" s="235"/>
      <c r="AC1696" s="235"/>
      <c r="AD1696" s="235"/>
      <c r="AE1696" s="235"/>
      <c r="AF1696" s="235"/>
      <c r="AG1696" s="235"/>
      <c r="AH1696" s="235"/>
      <c r="AI1696" s="235"/>
      <c r="AJ1696" s="235"/>
      <c r="AK1696" s="235"/>
      <c r="AL1696" s="235"/>
      <c r="AM1696" s="235"/>
      <c r="AN1696" s="235"/>
      <c r="AO1696" s="235"/>
      <c r="AP1696" s="235"/>
      <c r="AQ1696" s="235"/>
      <c r="BK1696" s="317"/>
      <c r="BL1696" s="5"/>
      <c r="BM1696" s="5"/>
      <c r="BN1696" s="5"/>
      <c r="BO1696" s="5"/>
      <c r="BP1696" s="5"/>
      <c r="BQ1696" s="5"/>
      <c r="BR1696" s="5"/>
      <c r="BS1696" s="5"/>
      <c r="BT1696" s="5"/>
      <c r="BV1696" s="317"/>
      <c r="CF1696" s="5"/>
      <c r="CG1696" s="5"/>
      <c r="CH1696" s="5"/>
      <c r="CI1696" s="5"/>
      <c r="CJ1696" s="5"/>
      <c r="CK1696" s="5"/>
      <c r="CL1696" s="5"/>
    </row>
    <row r="1697" spans="1:103" ht="2" customHeight="1">
      <c r="A1697" s="209"/>
      <c r="B1697" s="209"/>
      <c r="C1697" s="212"/>
      <c r="D1697" s="213"/>
      <c r="E1697" s="209"/>
      <c r="F1697" s="209"/>
      <c r="G1697" s="209"/>
      <c r="H1697" s="209"/>
      <c r="I1697" s="209"/>
      <c r="J1697" s="209"/>
      <c r="K1697" s="209"/>
      <c r="L1697" s="209"/>
      <c r="M1697" s="209"/>
      <c r="N1697" s="209"/>
      <c r="O1697" s="46"/>
      <c r="P1697" s="46"/>
      <c r="Q1697" s="46"/>
      <c r="R1697" s="46"/>
      <c r="S1697" s="46"/>
      <c r="T1697" s="46"/>
      <c r="U1697" s="46"/>
      <c r="V1697" s="46"/>
      <c r="W1697" s="46"/>
      <c r="X1697" s="46"/>
      <c r="Y1697" s="46"/>
      <c r="Z1697" s="46"/>
      <c r="AA1697" s="46"/>
      <c r="AB1697" s="46"/>
      <c r="AC1697" s="46"/>
      <c r="AD1697" s="46"/>
      <c r="AE1697" s="46"/>
      <c r="AF1697" s="46"/>
      <c r="AG1697" s="46"/>
      <c r="AH1697" s="46"/>
      <c r="AI1697" s="46"/>
      <c r="AJ1697" s="46"/>
      <c r="AK1697" s="46"/>
      <c r="AL1697" s="46"/>
      <c r="AM1697" s="46"/>
      <c r="AN1697" s="46"/>
      <c r="AO1697" s="46"/>
      <c r="AP1697" s="46"/>
      <c r="AQ1697" s="46"/>
      <c r="BK1697" s="317"/>
      <c r="BL1697" s="5"/>
      <c r="BM1697" s="5"/>
      <c r="BN1697" s="5"/>
      <c r="BO1697" s="5"/>
      <c r="BP1697" s="5"/>
      <c r="BQ1697" s="5"/>
      <c r="BR1697" s="5"/>
      <c r="BS1697" s="5"/>
      <c r="BT1697" s="5"/>
      <c r="BV1697" s="317"/>
      <c r="CF1697" s="5"/>
      <c r="CG1697" s="5"/>
      <c r="CH1697" s="5"/>
      <c r="CI1697" s="5"/>
      <c r="CJ1697" s="5"/>
      <c r="CK1697" s="5"/>
      <c r="CL1697" s="5"/>
    </row>
    <row r="1698" spans="1:103" ht="26.4" customHeight="1">
      <c r="A1698" s="374"/>
      <c r="B1698" s="374"/>
      <c r="C1698" s="374"/>
      <c r="D1698" s="372"/>
      <c r="E1698" s="373"/>
      <c r="F1698" s="370"/>
      <c r="G1698" s="215"/>
      <c r="H1698" s="373"/>
      <c r="I1698" s="370"/>
      <c r="J1698" s="370"/>
      <c r="K1698" s="370"/>
      <c r="L1698" s="373"/>
      <c r="M1698" s="374"/>
      <c r="N1698" s="213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  <c r="BK1698" s="317"/>
      <c r="BL1698" s="5"/>
      <c r="BM1698" s="5"/>
      <c r="BN1698" s="5"/>
      <c r="BO1698" s="5"/>
      <c r="BP1698" s="5"/>
      <c r="BQ1698" s="5"/>
      <c r="BR1698" s="5"/>
      <c r="BS1698" s="5"/>
      <c r="BT1698" s="5"/>
      <c r="BV1698" s="317"/>
      <c r="CF1698" s="5"/>
      <c r="CG1698" s="5"/>
      <c r="CH1698" s="5"/>
      <c r="CI1698" s="5"/>
      <c r="CJ1698" s="5"/>
      <c r="CK1698" s="5"/>
      <c r="CL1698" s="5"/>
    </row>
    <row r="1699" spans="1:103" ht="9.65" customHeight="1">
      <c r="A1699" s="374"/>
      <c r="B1699" s="374"/>
      <c r="C1699" s="374"/>
      <c r="D1699" s="372"/>
      <c r="E1699" s="373"/>
      <c r="F1699" s="370"/>
      <c r="G1699" s="215"/>
      <c r="H1699" s="373"/>
      <c r="I1699" s="233"/>
      <c r="J1699" s="233"/>
      <c r="K1699" s="233"/>
      <c r="L1699" s="373"/>
      <c r="M1699" s="374"/>
      <c r="N1699" s="213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BK1699" s="317"/>
      <c r="BL1699" s="5"/>
      <c r="BM1699" s="5"/>
      <c r="BN1699" s="5"/>
      <c r="BO1699" s="5"/>
      <c r="BP1699" s="5"/>
      <c r="BQ1699" s="5"/>
      <c r="BR1699" s="5"/>
      <c r="BS1699" s="5"/>
      <c r="BT1699" s="5"/>
      <c r="BV1699" s="317"/>
      <c r="CF1699" s="5"/>
      <c r="CG1699" s="5"/>
      <c r="CH1699" s="5"/>
      <c r="CI1699" s="5"/>
      <c r="CJ1699" s="5"/>
      <c r="CK1699" s="5"/>
      <c r="CL1699" s="5"/>
    </row>
    <row r="1700" spans="1:103" ht="10.25" customHeight="1">
      <c r="A1700" s="216"/>
      <c r="B1700" s="217"/>
      <c r="C1700" s="218"/>
      <c r="D1700" s="219"/>
      <c r="E1700" s="217"/>
      <c r="F1700" s="217"/>
      <c r="G1700" s="217"/>
      <c r="H1700" s="220"/>
      <c r="I1700" s="217"/>
      <c r="J1700" s="217"/>
      <c r="K1700" s="217"/>
      <c r="L1700" s="217"/>
      <c r="M1700" s="217"/>
      <c r="N1700" s="217"/>
      <c r="O1700" s="44"/>
      <c r="P1700" s="44"/>
      <c r="Q1700" s="44"/>
      <c r="R1700" s="44"/>
      <c r="S1700" s="44"/>
      <c r="T1700" s="44"/>
      <c r="U1700" s="44"/>
      <c r="V1700" s="44"/>
      <c r="W1700" s="44"/>
      <c r="X1700" s="44"/>
      <c r="Y1700" s="44"/>
      <c r="Z1700" s="44"/>
      <c r="AA1700" s="44"/>
      <c r="AB1700" s="44"/>
      <c r="AC1700" s="44"/>
      <c r="AD1700" s="44"/>
      <c r="AE1700" s="44"/>
      <c r="AF1700" s="44"/>
      <c r="AG1700" s="44"/>
      <c r="AH1700" s="44"/>
      <c r="AI1700" s="44"/>
      <c r="AJ1700" s="44"/>
      <c r="AK1700" s="44"/>
      <c r="AL1700" s="44"/>
      <c r="AM1700" s="44"/>
      <c r="AN1700" s="44"/>
      <c r="AO1700" s="44"/>
      <c r="AP1700" s="44"/>
      <c r="AQ1700" s="44"/>
      <c r="BA1700" s="5"/>
      <c r="BB1700" s="5"/>
      <c r="BC1700" s="5"/>
      <c r="BD1700" s="5"/>
      <c r="BE1700" s="63"/>
      <c r="BF1700" s="63"/>
      <c r="BG1700" s="63"/>
      <c r="BK1700" s="317"/>
      <c r="BL1700" s="5"/>
      <c r="BM1700" s="5"/>
      <c r="BN1700" s="5"/>
      <c r="BO1700" s="5"/>
      <c r="BP1700" s="5"/>
      <c r="BQ1700" s="5"/>
      <c r="BR1700" s="5"/>
      <c r="BS1700" s="5"/>
      <c r="BT1700" s="5"/>
      <c r="BV1700" s="317"/>
      <c r="CF1700" s="5"/>
      <c r="CG1700" s="53"/>
      <c r="CH1700" s="53"/>
      <c r="CI1700" s="53"/>
      <c r="CJ1700" s="53"/>
      <c r="CK1700" s="53"/>
      <c r="CL1700" s="53"/>
      <c r="CN1700" s="53"/>
      <c r="CO1700" s="53"/>
      <c r="CP1700" s="53"/>
      <c r="CQ1700" s="53"/>
      <c r="CR1700" s="53"/>
      <c r="CS1700" s="53"/>
    </row>
    <row r="1701" spans="1:103" ht="10.25" customHeight="1">
      <c r="A1701" s="216"/>
      <c r="B1701" s="217"/>
      <c r="C1701" s="218"/>
      <c r="D1701" s="219"/>
      <c r="E1701" s="217"/>
      <c r="F1701" s="217"/>
      <c r="G1701" s="217"/>
      <c r="H1701" s="220"/>
      <c r="I1701" s="217"/>
      <c r="J1701" s="217"/>
      <c r="K1701" s="217"/>
      <c r="L1701" s="217"/>
      <c r="M1701" s="217"/>
      <c r="N1701" s="217"/>
      <c r="O1701" s="44"/>
      <c r="P1701" s="44"/>
      <c r="Q1701" s="44"/>
      <c r="R1701" s="44"/>
      <c r="S1701" s="44"/>
      <c r="T1701" s="44"/>
      <c r="U1701" s="44"/>
      <c r="V1701" s="44"/>
      <c r="W1701" s="44"/>
      <c r="X1701" s="44"/>
      <c r="Y1701" s="44"/>
      <c r="Z1701" s="44"/>
      <c r="AA1701" s="44"/>
      <c r="AB1701" s="44"/>
      <c r="AC1701" s="44"/>
      <c r="AD1701" s="44"/>
      <c r="AE1701" s="44"/>
      <c r="AF1701" s="44"/>
      <c r="AG1701" s="44"/>
      <c r="AH1701" s="44"/>
      <c r="AI1701" s="44"/>
      <c r="AJ1701" s="44"/>
      <c r="AK1701" s="44"/>
      <c r="AL1701" s="44"/>
      <c r="AM1701" s="44"/>
      <c r="AN1701" s="44"/>
      <c r="AO1701" s="44"/>
      <c r="AP1701" s="44"/>
      <c r="AQ1701" s="44"/>
      <c r="BA1701" s="5"/>
      <c r="BB1701" s="5"/>
      <c r="BC1701" s="5"/>
      <c r="BD1701" s="5"/>
      <c r="BE1701" s="63"/>
      <c r="BF1701" s="63"/>
      <c r="BG1701" s="63"/>
      <c r="BK1701" s="317"/>
      <c r="BL1701" s="5"/>
      <c r="BM1701" s="5"/>
      <c r="BN1701" s="5"/>
      <c r="BO1701" s="5"/>
      <c r="BP1701" s="5"/>
      <c r="BQ1701" s="5"/>
      <c r="BR1701" s="5"/>
      <c r="BS1701" s="5"/>
      <c r="BT1701" s="5"/>
      <c r="BV1701" s="317"/>
      <c r="CF1701" s="5"/>
      <c r="CG1701" s="53"/>
      <c r="CH1701" s="53"/>
      <c r="CI1701" s="53"/>
      <c r="CJ1701" s="53"/>
      <c r="CK1701" s="53"/>
      <c r="CL1701" s="53"/>
      <c r="CN1701" s="53"/>
      <c r="CO1701" s="53"/>
      <c r="CP1701" s="53"/>
      <c r="CQ1701" s="53"/>
      <c r="CR1701" s="53"/>
      <c r="CS1701" s="53"/>
    </row>
    <row r="1702" spans="1:103" ht="10.25" customHeight="1">
      <c r="A1702" s="216"/>
      <c r="B1702" s="217"/>
      <c r="C1702" s="218"/>
      <c r="D1702" s="219"/>
      <c r="E1702" s="217"/>
      <c r="F1702" s="217"/>
      <c r="G1702" s="217"/>
      <c r="H1702" s="220"/>
      <c r="I1702" s="217"/>
      <c r="J1702" s="217"/>
      <c r="K1702" s="217"/>
      <c r="L1702" s="217"/>
      <c r="M1702" s="217"/>
      <c r="N1702" s="217"/>
      <c r="O1702" s="44"/>
      <c r="P1702" s="44"/>
      <c r="Q1702" s="44"/>
      <c r="R1702" s="44"/>
      <c r="S1702" s="44"/>
      <c r="T1702" s="44"/>
      <c r="U1702" s="44"/>
      <c r="V1702" s="44"/>
      <c r="W1702" s="44"/>
      <c r="X1702" s="44"/>
      <c r="Y1702" s="44"/>
      <c r="Z1702" s="44"/>
      <c r="AA1702" s="44"/>
      <c r="AB1702" s="44"/>
      <c r="AC1702" s="44"/>
      <c r="AD1702" s="44"/>
      <c r="AE1702" s="44"/>
      <c r="AF1702" s="44"/>
      <c r="AG1702" s="44"/>
      <c r="AH1702" s="44"/>
      <c r="AI1702" s="44"/>
      <c r="AJ1702" s="44"/>
      <c r="AK1702" s="44"/>
      <c r="AL1702" s="44"/>
      <c r="AM1702" s="44"/>
      <c r="AN1702" s="44"/>
      <c r="AO1702" s="44"/>
      <c r="AP1702" s="44"/>
      <c r="AQ1702" s="44"/>
      <c r="BA1702" s="5"/>
      <c r="BB1702" s="5"/>
      <c r="BC1702" s="5"/>
      <c r="BD1702" s="5"/>
      <c r="BE1702" s="63"/>
      <c r="BF1702" s="63"/>
      <c r="BG1702" s="63"/>
      <c r="BK1702" s="317"/>
      <c r="BL1702" s="5"/>
      <c r="BM1702" s="5"/>
      <c r="BN1702" s="5"/>
      <c r="BO1702" s="5"/>
      <c r="BP1702" s="5"/>
      <c r="BQ1702" s="5"/>
      <c r="BR1702" s="5"/>
      <c r="BS1702" s="5"/>
      <c r="BT1702" s="5"/>
      <c r="BV1702" s="317"/>
      <c r="CF1702" s="5"/>
      <c r="CG1702" s="53"/>
      <c r="CH1702" s="53"/>
      <c r="CI1702" s="53"/>
      <c r="CJ1702" s="53"/>
      <c r="CK1702" s="53"/>
      <c r="CL1702" s="53"/>
      <c r="CN1702" s="53"/>
      <c r="CO1702" s="53"/>
      <c r="CP1702" s="53"/>
      <c r="CQ1702" s="53"/>
      <c r="CR1702" s="53"/>
      <c r="CS1702" s="53"/>
    </row>
    <row r="1703" spans="1:103" ht="10.25" customHeight="1">
      <c r="A1703" s="216"/>
      <c r="B1703" s="217"/>
      <c r="C1703" s="218"/>
      <c r="D1703" s="219"/>
      <c r="E1703" s="217"/>
      <c r="F1703" s="217"/>
      <c r="G1703" s="217"/>
      <c r="H1703" s="220"/>
      <c r="I1703" s="217"/>
      <c r="J1703" s="217"/>
      <c r="K1703" s="217"/>
      <c r="L1703" s="217"/>
      <c r="M1703" s="217"/>
      <c r="N1703" s="217"/>
      <c r="O1703" s="44"/>
      <c r="P1703" s="44"/>
      <c r="Q1703" s="44"/>
      <c r="R1703" s="44"/>
      <c r="S1703" s="44"/>
      <c r="T1703" s="44"/>
      <c r="U1703" s="44"/>
      <c r="V1703" s="44"/>
      <c r="W1703" s="44"/>
      <c r="X1703" s="44"/>
      <c r="Y1703" s="44"/>
      <c r="Z1703" s="44"/>
      <c r="AA1703" s="44"/>
      <c r="AB1703" s="44"/>
      <c r="AC1703" s="44"/>
      <c r="AD1703" s="44"/>
      <c r="AE1703" s="44"/>
      <c r="AF1703" s="44"/>
      <c r="AG1703" s="44"/>
      <c r="AH1703" s="44"/>
      <c r="AI1703" s="44"/>
      <c r="AJ1703" s="44"/>
      <c r="AK1703" s="44"/>
      <c r="AL1703" s="44"/>
      <c r="AM1703" s="44"/>
      <c r="AN1703" s="44"/>
      <c r="AO1703" s="44"/>
      <c r="AP1703" s="44"/>
      <c r="AQ1703" s="44"/>
      <c r="BA1703" s="5"/>
      <c r="BB1703" s="5"/>
      <c r="BC1703" s="5"/>
      <c r="BD1703" s="5"/>
      <c r="BE1703" s="63"/>
      <c r="BF1703" s="63"/>
      <c r="BG1703" s="63"/>
      <c r="BK1703" s="317"/>
      <c r="BL1703" s="5"/>
      <c r="BM1703" s="5"/>
      <c r="BN1703" s="5"/>
      <c r="BO1703" s="5"/>
      <c r="BP1703" s="5"/>
      <c r="BQ1703" s="5"/>
      <c r="BR1703" s="5"/>
      <c r="BS1703" s="5"/>
      <c r="BT1703" s="5"/>
      <c r="BV1703" s="317"/>
      <c r="CF1703" s="5"/>
      <c r="CG1703" s="53"/>
      <c r="CH1703" s="53"/>
      <c r="CI1703" s="53"/>
      <c r="CJ1703" s="53"/>
      <c r="CK1703" s="53"/>
      <c r="CL1703" s="53"/>
      <c r="CN1703" s="53"/>
      <c r="CO1703" s="53"/>
      <c r="CP1703" s="53"/>
      <c r="CQ1703" s="53"/>
      <c r="CR1703" s="53"/>
      <c r="CS1703" s="53"/>
    </row>
    <row r="1704" spans="1:103" ht="10.25" customHeight="1">
      <c r="A1704" s="216"/>
      <c r="B1704" s="217"/>
      <c r="C1704" s="218"/>
      <c r="D1704" s="219"/>
      <c r="E1704" s="217"/>
      <c r="F1704" s="217"/>
      <c r="G1704" s="217"/>
      <c r="H1704" s="220"/>
      <c r="I1704" s="217"/>
      <c r="J1704" s="217"/>
      <c r="K1704" s="217"/>
      <c r="L1704" s="217"/>
      <c r="M1704" s="217"/>
      <c r="N1704" s="217"/>
      <c r="O1704" s="44"/>
      <c r="P1704" s="44"/>
      <c r="Q1704" s="44"/>
      <c r="R1704" s="44"/>
      <c r="S1704" s="44"/>
      <c r="T1704" s="44"/>
      <c r="U1704" s="44"/>
      <c r="V1704" s="44"/>
      <c r="W1704" s="44"/>
      <c r="X1704" s="44"/>
      <c r="Y1704" s="44"/>
      <c r="Z1704" s="44"/>
      <c r="AA1704" s="44"/>
      <c r="AB1704" s="44"/>
      <c r="AC1704" s="44"/>
      <c r="AD1704" s="44"/>
      <c r="AE1704" s="44"/>
      <c r="AF1704" s="44"/>
      <c r="AG1704" s="44"/>
      <c r="AH1704" s="44"/>
      <c r="AI1704" s="44"/>
      <c r="AJ1704" s="44"/>
      <c r="AK1704" s="44"/>
      <c r="AL1704" s="44"/>
      <c r="AM1704" s="44"/>
      <c r="AN1704" s="44"/>
      <c r="AO1704" s="44"/>
      <c r="AP1704" s="44"/>
      <c r="AQ1704" s="44"/>
      <c r="BA1704" s="5"/>
      <c r="BB1704" s="5"/>
      <c r="BC1704" s="5"/>
      <c r="BD1704" s="5"/>
      <c r="BE1704" s="63"/>
      <c r="BF1704" s="63"/>
      <c r="BG1704" s="63"/>
      <c r="BK1704" s="317"/>
      <c r="BL1704" s="5"/>
      <c r="BM1704" s="5"/>
      <c r="BN1704" s="5"/>
      <c r="BO1704" s="5"/>
      <c r="BP1704" s="5"/>
      <c r="BQ1704" s="5"/>
      <c r="BR1704" s="5"/>
      <c r="BS1704" s="5"/>
      <c r="BT1704" s="5"/>
      <c r="BV1704" s="317"/>
      <c r="CF1704" s="5"/>
      <c r="CG1704" s="53"/>
      <c r="CH1704" s="53"/>
      <c r="CI1704" s="53"/>
      <c r="CJ1704" s="53"/>
      <c r="CK1704" s="53"/>
      <c r="CL1704" s="53"/>
      <c r="CN1704" s="53"/>
      <c r="CO1704" s="53"/>
      <c r="CP1704" s="53"/>
      <c r="CQ1704" s="53"/>
      <c r="CR1704" s="53"/>
      <c r="CS1704" s="53"/>
    </row>
    <row r="1705" spans="1:103" ht="10.25" customHeight="1">
      <c r="A1705" s="216"/>
      <c r="B1705" s="217"/>
      <c r="C1705" s="218"/>
      <c r="D1705" s="219"/>
      <c r="E1705" s="217"/>
      <c r="F1705" s="217"/>
      <c r="G1705" s="217"/>
      <c r="H1705" s="220"/>
      <c r="I1705" s="217"/>
      <c r="J1705" s="217"/>
      <c r="K1705" s="217"/>
      <c r="L1705" s="217"/>
      <c r="M1705" s="217"/>
      <c r="N1705" s="217"/>
      <c r="O1705" s="44"/>
      <c r="P1705" s="44"/>
      <c r="Q1705" s="44"/>
      <c r="R1705" s="44"/>
      <c r="S1705" s="44"/>
      <c r="T1705" s="44"/>
      <c r="U1705" s="44"/>
      <c r="V1705" s="44"/>
      <c r="W1705" s="44"/>
      <c r="X1705" s="44"/>
      <c r="Y1705" s="44"/>
      <c r="Z1705" s="44"/>
      <c r="AA1705" s="44"/>
      <c r="AB1705" s="44"/>
      <c r="AC1705" s="44"/>
      <c r="AD1705" s="44"/>
      <c r="AE1705" s="44"/>
      <c r="AF1705" s="44"/>
      <c r="AG1705" s="44"/>
      <c r="AH1705" s="44"/>
      <c r="AI1705" s="44"/>
      <c r="AJ1705" s="44"/>
      <c r="AK1705" s="44"/>
      <c r="AL1705" s="44"/>
      <c r="AM1705" s="44"/>
      <c r="AN1705" s="44"/>
      <c r="AO1705" s="44"/>
      <c r="AP1705" s="44"/>
      <c r="AQ1705" s="44"/>
      <c r="BA1705" s="5"/>
      <c r="BB1705" s="5"/>
      <c r="BC1705" s="5"/>
      <c r="BD1705" s="5"/>
      <c r="BE1705" s="63"/>
      <c r="BF1705" s="63"/>
      <c r="BG1705" s="63"/>
      <c r="BK1705" s="317"/>
      <c r="BL1705" s="5"/>
      <c r="BM1705" s="5"/>
      <c r="BN1705" s="5"/>
      <c r="BO1705" s="5"/>
      <c r="BP1705" s="5"/>
      <c r="BQ1705" s="5"/>
      <c r="BR1705" s="5"/>
      <c r="BS1705" s="5"/>
      <c r="BT1705" s="5"/>
      <c r="BV1705" s="317"/>
      <c r="CF1705" s="5"/>
      <c r="CG1705" s="53"/>
      <c r="CH1705" s="53"/>
      <c r="CI1705" s="53"/>
      <c r="CJ1705" s="53"/>
      <c r="CK1705" s="53"/>
      <c r="CL1705" s="53"/>
      <c r="CN1705" s="53"/>
      <c r="CO1705" s="53"/>
      <c r="CP1705" s="53"/>
      <c r="CQ1705" s="53"/>
      <c r="CR1705" s="53"/>
      <c r="CS1705" s="53"/>
    </row>
    <row r="1706" spans="1:103" ht="10.25" customHeight="1">
      <c r="A1706" s="216"/>
      <c r="B1706" s="217"/>
      <c r="C1706" s="218"/>
      <c r="D1706" s="219"/>
      <c r="E1706" s="217"/>
      <c r="F1706" s="217"/>
      <c r="G1706" s="217"/>
      <c r="H1706" s="220"/>
      <c r="I1706" s="217"/>
      <c r="J1706" s="217"/>
      <c r="K1706" s="217"/>
      <c r="L1706" s="217"/>
      <c r="M1706" s="217"/>
      <c r="N1706" s="217"/>
      <c r="O1706" s="44"/>
      <c r="P1706" s="44"/>
      <c r="Q1706" s="44"/>
      <c r="R1706" s="44"/>
      <c r="S1706" s="44"/>
      <c r="T1706" s="44"/>
      <c r="U1706" s="44"/>
      <c r="V1706" s="44"/>
      <c r="W1706" s="44"/>
      <c r="X1706" s="44"/>
      <c r="Y1706" s="44"/>
      <c r="Z1706" s="44"/>
      <c r="AA1706" s="44"/>
      <c r="AB1706" s="44"/>
      <c r="AC1706" s="44"/>
      <c r="AD1706" s="44"/>
      <c r="AE1706" s="44"/>
      <c r="AF1706" s="44"/>
      <c r="AG1706" s="44"/>
      <c r="AH1706" s="44"/>
      <c r="AI1706" s="44"/>
      <c r="AJ1706" s="44"/>
      <c r="AK1706" s="44"/>
      <c r="AL1706" s="44"/>
      <c r="AM1706" s="44"/>
      <c r="AN1706" s="44"/>
      <c r="AO1706" s="44"/>
      <c r="AP1706" s="44"/>
      <c r="AQ1706" s="44"/>
      <c r="BA1706" s="5"/>
      <c r="BB1706" s="5"/>
      <c r="BC1706" s="5"/>
      <c r="BD1706" s="5"/>
      <c r="BE1706" s="63"/>
      <c r="BF1706" s="63"/>
      <c r="BG1706" s="63"/>
      <c r="BK1706" s="317"/>
      <c r="BL1706" s="5"/>
      <c r="BM1706" s="5"/>
      <c r="BN1706" s="5"/>
      <c r="BO1706" s="5"/>
      <c r="BP1706" s="5"/>
      <c r="BQ1706" s="5"/>
      <c r="BR1706" s="5"/>
      <c r="BS1706" s="5"/>
      <c r="BT1706" s="5"/>
      <c r="BV1706" s="317"/>
      <c r="CF1706" s="5"/>
      <c r="CG1706" s="53"/>
      <c r="CH1706" s="53"/>
      <c r="CI1706" s="53"/>
      <c r="CJ1706" s="53"/>
      <c r="CK1706" s="53"/>
      <c r="CL1706" s="53"/>
      <c r="CN1706" s="53"/>
      <c r="CO1706" s="53"/>
      <c r="CP1706" s="53"/>
      <c r="CQ1706" s="53"/>
      <c r="CR1706" s="53"/>
      <c r="CS1706" s="53"/>
    </row>
    <row r="1707" spans="1:103" ht="10.25" customHeight="1">
      <c r="A1707" s="216"/>
      <c r="B1707" s="217"/>
      <c r="C1707" s="218"/>
      <c r="D1707" s="219"/>
      <c r="E1707" s="217"/>
      <c r="F1707" s="217"/>
      <c r="G1707" s="217"/>
      <c r="H1707" s="220"/>
      <c r="I1707" s="217"/>
      <c r="J1707" s="217"/>
      <c r="K1707" s="217"/>
      <c r="L1707" s="217"/>
      <c r="M1707" s="217"/>
      <c r="N1707" s="217"/>
      <c r="O1707" s="44"/>
      <c r="P1707" s="44"/>
      <c r="Q1707" s="44"/>
      <c r="R1707" s="44"/>
      <c r="S1707" s="44"/>
      <c r="T1707" s="44"/>
      <c r="U1707" s="44"/>
      <c r="V1707" s="44"/>
      <c r="W1707" s="44"/>
      <c r="X1707" s="44"/>
      <c r="Y1707" s="44"/>
      <c r="Z1707" s="44"/>
      <c r="AA1707" s="44"/>
      <c r="AB1707" s="44"/>
      <c r="AC1707" s="44"/>
      <c r="AD1707" s="44"/>
      <c r="AE1707" s="44"/>
      <c r="AF1707" s="44"/>
      <c r="AG1707" s="44"/>
      <c r="AH1707" s="44"/>
      <c r="AI1707" s="44"/>
      <c r="AJ1707" s="44"/>
      <c r="AK1707" s="44"/>
      <c r="AL1707" s="44"/>
      <c r="AM1707" s="44"/>
      <c r="AN1707" s="44"/>
      <c r="AO1707" s="44"/>
      <c r="AP1707" s="44"/>
      <c r="AQ1707" s="44"/>
      <c r="AW1707" s="63"/>
      <c r="AX1707" s="63"/>
      <c r="AY1707" s="63"/>
      <c r="AZ1707" s="63"/>
      <c r="BA1707" s="5"/>
      <c r="BB1707" s="5"/>
      <c r="BC1707" s="5"/>
      <c r="BD1707" s="5"/>
      <c r="BE1707" s="63"/>
      <c r="BF1707" s="63"/>
      <c r="BG1707" s="63"/>
      <c r="BV1707" s="317"/>
      <c r="CF1707" s="5"/>
      <c r="CG1707" s="53"/>
      <c r="CH1707" s="53"/>
      <c r="CI1707" s="53"/>
      <c r="CJ1707" s="53"/>
      <c r="CK1707" s="53"/>
      <c r="CL1707" s="53"/>
      <c r="CN1707" s="53"/>
      <c r="CO1707" s="53"/>
      <c r="CP1707" s="53"/>
      <c r="CQ1707" s="53"/>
      <c r="CR1707" s="53"/>
      <c r="CS1707" s="53"/>
    </row>
    <row r="1708" spans="1:103" ht="10.25" customHeight="1">
      <c r="A1708" s="216"/>
      <c r="B1708" s="217"/>
      <c r="C1708" s="218"/>
      <c r="D1708" s="219"/>
      <c r="E1708" s="217"/>
      <c r="F1708" s="217"/>
      <c r="G1708" s="217"/>
      <c r="H1708" s="220"/>
      <c r="I1708" s="217"/>
      <c r="J1708" s="217"/>
      <c r="K1708" s="217"/>
      <c r="L1708" s="217"/>
      <c r="M1708" s="217"/>
      <c r="N1708" s="217"/>
      <c r="O1708" s="44"/>
      <c r="P1708" s="44"/>
      <c r="Q1708" s="44"/>
      <c r="R1708" s="44"/>
      <c r="S1708" s="44"/>
      <c r="T1708" s="44"/>
      <c r="U1708" s="44"/>
      <c r="V1708" s="44"/>
      <c r="W1708" s="44"/>
      <c r="X1708" s="44"/>
      <c r="Y1708" s="44"/>
      <c r="Z1708" s="44"/>
      <c r="AA1708" s="44"/>
      <c r="AB1708" s="44"/>
      <c r="AC1708" s="44"/>
      <c r="AD1708" s="44"/>
      <c r="AE1708" s="44"/>
      <c r="AF1708" s="44"/>
      <c r="AG1708" s="44"/>
      <c r="AH1708" s="44"/>
      <c r="AI1708" s="44"/>
      <c r="AJ1708" s="44"/>
      <c r="AK1708" s="44"/>
      <c r="AL1708" s="44"/>
      <c r="AM1708" s="44"/>
      <c r="AN1708" s="44"/>
      <c r="AO1708" s="44"/>
      <c r="AP1708" s="44"/>
      <c r="AQ1708" s="44"/>
      <c r="AW1708" s="63"/>
      <c r="AX1708" s="63"/>
      <c r="AY1708" s="63"/>
      <c r="AZ1708" s="63"/>
      <c r="BA1708" s="5"/>
      <c r="BB1708" s="5"/>
      <c r="BC1708" s="5"/>
      <c r="BD1708" s="5"/>
      <c r="BE1708" s="63"/>
      <c r="BF1708" s="63"/>
      <c r="BG1708" s="63"/>
      <c r="BV1708" s="317"/>
      <c r="CF1708" s="5"/>
      <c r="CG1708" s="53"/>
      <c r="CH1708" s="53"/>
      <c r="CI1708" s="53"/>
      <c r="CJ1708" s="53"/>
      <c r="CK1708" s="53"/>
      <c r="CL1708" s="53"/>
      <c r="CN1708" s="53"/>
      <c r="CO1708" s="53"/>
      <c r="CP1708" s="53"/>
      <c r="CQ1708" s="53"/>
      <c r="CR1708" s="53"/>
      <c r="CS1708" s="53"/>
    </row>
    <row r="1709" spans="1:103" ht="10.25" customHeight="1">
      <c r="A1709" s="216"/>
      <c r="B1709" s="217"/>
      <c r="C1709" s="218"/>
      <c r="D1709" s="219"/>
      <c r="E1709" s="217"/>
      <c r="F1709" s="217"/>
      <c r="G1709" s="217"/>
      <c r="H1709" s="220"/>
      <c r="I1709" s="217"/>
      <c r="J1709" s="217"/>
      <c r="K1709" s="217"/>
      <c r="L1709" s="217"/>
      <c r="M1709" s="217"/>
      <c r="N1709" s="217"/>
      <c r="O1709" s="44"/>
      <c r="P1709" s="44"/>
      <c r="Q1709" s="44"/>
      <c r="R1709" s="44"/>
      <c r="S1709" s="44"/>
      <c r="T1709" s="44"/>
      <c r="U1709" s="44"/>
      <c r="V1709" s="44"/>
      <c r="W1709" s="44"/>
      <c r="X1709" s="44"/>
      <c r="Y1709" s="44"/>
      <c r="Z1709" s="44"/>
      <c r="AA1709" s="44"/>
      <c r="AB1709" s="44"/>
      <c r="AC1709" s="44"/>
      <c r="AD1709" s="44"/>
      <c r="AE1709" s="44"/>
      <c r="AF1709" s="44"/>
      <c r="AG1709" s="44"/>
      <c r="AH1709" s="44"/>
      <c r="AI1709" s="44"/>
      <c r="AJ1709" s="44"/>
      <c r="AK1709" s="44"/>
      <c r="AL1709" s="44"/>
      <c r="AM1709" s="44"/>
      <c r="AN1709" s="44"/>
      <c r="AO1709" s="44"/>
      <c r="AP1709" s="44"/>
      <c r="AQ1709" s="44"/>
      <c r="AW1709" s="63"/>
      <c r="AX1709" s="63"/>
      <c r="AY1709" s="63"/>
      <c r="AZ1709" s="63"/>
      <c r="BA1709" s="5"/>
      <c r="BB1709" s="5"/>
      <c r="BC1709" s="5"/>
      <c r="BD1709" s="5"/>
      <c r="BE1709" s="63"/>
      <c r="BF1709" s="63"/>
      <c r="BG1709" s="63"/>
      <c r="BV1709" s="317"/>
      <c r="CF1709" s="5"/>
      <c r="CG1709" s="53"/>
      <c r="CH1709" s="53"/>
      <c r="CI1709" s="53"/>
      <c r="CJ1709" s="53"/>
      <c r="CK1709" s="53"/>
      <c r="CL1709" s="53"/>
      <c r="CN1709" s="53"/>
      <c r="CO1709" s="53"/>
      <c r="CP1709" s="53"/>
      <c r="CQ1709" s="53"/>
      <c r="CR1709" s="53"/>
      <c r="CS1709" s="53"/>
      <c r="CT1709" s="5"/>
      <c r="CU1709" s="5"/>
      <c r="CV1709" s="5"/>
      <c r="CW1709" s="5"/>
      <c r="CX1709" s="5"/>
      <c r="CY1709" s="5"/>
    </row>
    <row r="1710" spans="1:103" ht="10.25" customHeight="1">
      <c r="A1710" s="216"/>
      <c r="B1710" s="217"/>
      <c r="C1710" s="218"/>
      <c r="D1710" s="219"/>
      <c r="E1710" s="217"/>
      <c r="F1710" s="217"/>
      <c r="G1710" s="217"/>
      <c r="H1710" s="220"/>
      <c r="I1710" s="217"/>
      <c r="J1710" s="217"/>
      <c r="K1710" s="217"/>
      <c r="L1710" s="217"/>
      <c r="M1710" s="217"/>
      <c r="N1710" s="217"/>
      <c r="O1710" s="44"/>
      <c r="P1710" s="44"/>
      <c r="Q1710" s="44"/>
      <c r="R1710" s="44"/>
      <c r="S1710" s="44"/>
      <c r="T1710" s="44"/>
      <c r="U1710" s="44"/>
      <c r="V1710" s="44"/>
      <c r="W1710" s="44"/>
      <c r="X1710" s="44"/>
      <c r="Y1710" s="44"/>
      <c r="Z1710" s="44"/>
      <c r="AA1710" s="44"/>
      <c r="AB1710" s="44"/>
      <c r="AC1710" s="44"/>
      <c r="AD1710" s="44"/>
      <c r="AE1710" s="44"/>
      <c r="AF1710" s="44"/>
      <c r="AG1710" s="44"/>
      <c r="AH1710" s="44"/>
      <c r="AI1710" s="44"/>
      <c r="AJ1710" s="44"/>
      <c r="AK1710" s="44"/>
      <c r="AL1710" s="44"/>
      <c r="AM1710" s="44"/>
      <c r="AN1710" s="44"/>
      <c r="AO1710" s="44"/>
      <c r="AP1710" s="44"/>
      <c r="AQ1710" s="44"/>
      <c r="AW1710" s="63"/>
      <c r="AX1710" s="63"/>
      <c r="AY1710" s="63"/>
      <c r="AZ1710" s="63"/>
      <c r="BA1710" s="5"/>
      <c r="BB1710" s="5"/>
      <c r="BC1710" s="5"/>
      <c r="BD1710" s="5"/>
      <c r="BE1710" s="63"/>
      <c r="BF1710" s="63"/>
      <c r="BG1710" s="63"/>
      <c r="BV1710" s="317"/>
      <c r="CF1710" s="5"/>
      <c r="CG1710" s="53"/>
      <c r="CH1710" s="53"/>
      <c r="CI1710" s="53"/>
      <c r="CJ1710" s="53"/>
      <c r="CK1710" s="53"/>
      <c r="CL1710" s="53"/>
      <c r="CN1710" s="53"/>
      <c r="CO1710" s="53"/>
      <c r="CP1710" s="53"/>
      <c r="CQ1710" s="53"/>
      <c r="CR1710" s="53"/>
      <c r="CS1710" s="53"/>
      <c r="CT1710" s="5"/>
      <c r="CU1710" s="5"/>
      <c r="CV1710" s="5"/>
      <c r="CW1710" s="5"/>
      <c r="CX1710" s="5"/>
      <c r="CY1710" s="5"/>
    </row>
    <row r="1711" spans="1:103" ht="10.25" customHeight="1">
      <c r="A1711" s="216"/>
      <c r="B1711" s="217"/>
      <c r="C1711" s="218"/>
      <c r="D1711" s="219"/>
      <c r="E1711" s="217"/>
      <c r="F1711" s="217"/>
      <c r="G1711" s="217"/>
      <c r="H1711" s="220"/>
      <c r="I1711" s="217"/>
      <c r="J1711" s="217"/>
      <c r="K1711" s="217"/>
      <c r="L1711" s="217"/>
      <c r="M1711" s="217"/>
      <c r="N1711" s="217"/>
      <c r="O1711" s="44"/>
      <c r="P1711" s="44"/>
      <c r="Q1711" s="44"/>
      <c r="R1711" s="44"/>
      <c r="S1711" s="44"/>
      <c r="T1711" s="44"/>
      <c r="U1711" s="44"/>
      <c r="V1711" s="44"/>
      <c r="W1711" s="44"/>
      <c r="X1711" s="44"/>
      <c r="Y1711" s="44"/>
      <c r="Z1711" s="44"/>
      <c r="AA1711" s="44"/>
      <c r="AB1711" s="44"/>
      <c r="AC1711" s="44"/>
      <c r="AD1711" s="44"/>
      <c r="AE1711" s="44"/>
      <c r="AF1711" s="44"/>
      <c r="AG1711" s="44"/>
      <c r="AH1711" s="44"/>
      <c r="AI1711" s="44"/>
      <c r="AJ1711" s="44"/>
      <c r="AK1711" s="44"/>
      <c r="AL1711" s="44"/>
      <c r="AM1711" s="44"/>
      <c r="AN1711" s="44"/>
      <c r="AO1711" s="44"/>
      <c r="AP1711" s="44"/>
      <c r="AQ1711" s="44"/>
      <c r="AW1711" s="63"/>
      <c r="AX1711" s="63"/>
      <c r="AY1711" s="63"/>
      <c r="AZ1711" s="63"/>
      <c r="BA1711" s="5"/>
      <c r="BB1711" s="5"/>
      <c r="BC1711" s="5"/>
      <c r="BD1711" s="5"/>
      <c r="BE1711" s="63"/>
      <c r="BF1711" s="63"/>
      <c r="BG1711" s="63"/>
      <c r="BV1711" s="317"/>
      <c r="CF1711" s="5"/>
      <c r="CG1711" s="53"/>
      <c r="CH1711" s="53"/>
      <c r="CI1711" s="53"/>
      <c r="CJ1711" s="53"/>
      <c r="CK1711" s="53"/>
      <c r="CL1711" s="53"/>
      <c r="CN1711" s="53"/>
      <c r="CO1711" s="53"/>
      <c r="CP1711" s="53"/>
      <c r="CQ1711" s="53"/>
      <c r="CR1711" s="53"/>
      <c r="CS1711" s="53"/>
      <c r="CT1711" s="5"/>
      <c r="CU1711" s="5"/>
      <c r="CV1711" s="5"/>
      <c r="CW1711" s="5"/>
      <c r="CX1711" s="5"/>
      <c r="CY1711" s="5"/>
    </row>
    <row r="1712" spans="1:103" ht="10.25" customHeight="1">
      <c r="A1712" s="216"/>
      <c r="B1712" s="217"/>
      <c r="C1712" s="218"/>
      <c r="D1712" s="219"/>
      <c r="E1712" s="217"/>
      <c r="F1712" s="217"/>
      <c r="G1712" s="217"/>
      <c r="H1712" s="220"/>
      <c r="I1712" s="217"/>
      <c r="J1712" s="217"/>
      <c r="K1712" s="217"/>
      <c r="L1712" s="217"/>
      <c r="M1712" s="217"/>
      <c r="N1712" s="217"/>
      <c r="O1712" s="44"/>
      <c r="P1712" s="44"/>
      <c r="Q1712" s="44"/>
      <c r="R1712" s="44"/>
      <c r="S1712" s="44"/>
      <c r="T1712" s="44"/>
      <c r="U1712" s="44"/>
      <c r="V1712" s="44"/>
      <c r="W1712" s="44"/>
      <c r="X1712" s="44"/>
      <c r="Y1712" s="44"/>
      <c r="Z1712" s="44"/>
      <c r="AA1712" s="44"/>
      <c r="AB1712" s="44"/>
      <c r="AC1712" s="44"/>
      <c r="AD1712" s="44"/>
      <c r="AE1712" s="44"/>
      <c r="AF1712" s="44"/>
      <c r="AG1712" s="44"/>
      <c r="AH1712" s="44"/>
      <c r="AI1712" s="44"/>
      <c r="AJ1712" s="44"/>
      <c r="AK1712" s="44"/>
      <c r="AL1712" s="44"/>
      <c r="AM1712" s="44"/>
      <c r="AN1712" s="44"/>
      <c r="AO1712" s="44"/>
      <c r="AP1712" s="44"/>
      <c r="AQ1712" s="44"/>
      <c r="BA1712" s="5"/>
      <c r="BB1712" s="5"/>
      <c r="BC1712" s="5"/>
      <c r="BD1712" s="5"/>
      <c r="BE1712" s="63"/>
      <c r="BF1712" s="63"/>
      <c r="BG1712" s="63"/>
      <c r="BV1712" s="317"/>
      <c r="CF1712" s="5"/>
      <c r="CG1712" s="53"/>
      <c r="CH1712" s="53"/>
      <c r="CI1712" s="53"/>
      <c r="CJ1712" s="53"/>
      <c r="CK1712" s="53"/>
      <c r="CL1712" s="53"/>
      <c r="CN1712" s="53"/>
      <c r="CO1712" s="53"/>
      <c r="CP1712" s="53"/>
      <c r="CQ1712" s="53"/>
      <c r="CR1712" s="53"/>
      <c r="CS1712" s="53"/>
      <c r="CT1712" s="5"/>
      <c r="CU1712" s="5"/>
      <c r="CV1712" s="5"/>
      <c r="CW1712" s="5"/>
      <c r="CX1712" s="5"/>
      <c r="CY1712" s="5"/>
    </row>
    <row r="1713" spans="1:103" ht="10.25" customHeight="1">
      <c r="A1713" s="216"/>
      <c r="B1713" s="217"/>
      <c r="C1713" s="218"/>
      <c r="D1713" s="219"/>
      <c r="E1713" s="217"/>
      <c r="F1713" s="217"/>
      <c r="G1713" s="217"/>
      <c r="H1713" s="220"/>
      <c r="I1713" s="217"/>
      <c r="J1713" s="217"/>
      <c r="K1713" s="217"/>
      <c r="L1713" s="217"/>
      <c r="M1713" s="217"/>
      <c r="N1713" s="217"/>
      <c r="O1713" s="44"/>
      <c r="P1713" s="44"/>
      <c r="Q1713" s="44"/>
      <c r="R1713" s="44"/>
      <c r="S1713" s="44"/>
      <c r="T1713" s="44"/>
      <c r="U1713" s="44"/>
      <c r="V1713" s="44"/>
      <c r="W1713" s="44"/>
      <c r="X1713" s="44"/>
      <c r="Y1713" s="44"/>
      <c r="Z1713" s="44"/>
      <c r="AA1713" s="44"/>
      <c r="AB1713" s="44"/>
      <c r="AC1713" s="44"/>
      <c r="AD1713" s="44"/>
      <c r="AE1713" s="44"/>
      <c r="AF1713" s="44"/>
      <c r="AG1713" s="44"/>
      <c r="AH1713" s="44"/>
      <c r="AI1713" s="44"/>
      <c r="AJ1713" s="44"/>
      <c r="AK1713" s="44"/>
      <c r="AL1713" s="44"/>
      <c r="AM1713" s="44"/>
      <c r="AN1713" s="44"/>
      <c r="AO1713" s="44"/>
      <c r="AP1713" s="44"/>
      <c r="AQ1713" s="44"/>
      <c r="BA1713" s="5"/>
      <c r="BB1713" s="5"/>
      <c r="BC1713" s="5"/>
      <c r="BD1713" s="5"/>
      <c r="BE1713" s="63"/>
      <c r="BF1713" s="63"/>
      <c r="BG1713" s="63"/>
      <c r="BV1713" s="317"/>
      <c r="CF1713" s="5"/>
      <c r="CG1713" s="53"/>
      <c r="CH1713" s="53"/>
      <c r="CI1713" s="53"/>
      <c r="CJ1713" s="53"/>
      <c r="CK1713" s="53"/>
      <c r="CL1713" s="53"/>
      <c r="CN1713" s="53"/>
      <c r="CO1713" s="53"/>
      <c r="CP1713" s="53"/>
      <c r="CQ1713" s="53"/>
      <c r="CR1713" s="53"/>
      <c r="CS1713" s="53"/>
      <c r="CT1713" s="5"/>
      <c r="CU1713" s="5"/>
      <c r="CV1713" s="5"/>
      <c r="CW1713" s="5"/>
      <c r="CX1713" s="5"/>
      <c r="CY1713" s="5"/>
    </row>
    <row r="1714" spans="1:103" ht="10.25" customHeight="1">
      <c r="A1714" s="216"/>
      <c r="B1714" s="217"/>
      <c r="C1714" s="218"/>
      <c r="D1714" s="219"/>
      <c r="E1714" s="217"/>
      <c r="F1714" s="217"/>
      <c r="G1714" s="217"/>
      <c r="H1714" s="220"/>
      <c r="I1714" s="217"/>
      <c r="J1714" s="217"/>
      <c r="K1714" s="217"/>
      <c r="L1714" s="217"/>
      <c r="M1714" s="217"/>
      <c r="N1714" s="217"/>
      <c r="O1714" s="44"/>
      <c r="P1714" s="44"/>
      <c r="Q1714" s="44"/>
      <c r="R1714" s="44"/>
      <c r="S1714" s="44"/>
      <c r="T1714" s="44"/>
      <c r="U1714" s="44"/>
      <c r="V1714" s="44"/>
      <c r="W1714" s="44"/>
      <c r="X1714" s="44"/>
      <c r="Y1714" s="44"/>
      <c r="Z1714" s="44"/>
      <c r="AA1714" s="44"/>
      <c r="AB1714" s="44"/>
      <c r="AC1714" s="44"/>
      <c r="AD1714" s="44"/>
      <c r="AE1714" s="44"/>
      <c r="AF1714" s="44"/>
      <c r="AG1714" s="44"/>
      <c r="AH1714" s="44"/>
      <c r="AI1714" s="44"/>
      <c r="AJ1714" s="44"/>
      <c r="AK1714" s="44"/>
      <c r="AL1714" s="44"/>
      <c r="AM1714" s="44"/>
      <c r="AN1714" s="44"/>
      <c r="AO1714" s="44"/>
      <c r="AP1714" s="44"/>
      <c r="AQ1714" s="44"/>
      <c r="BA1714" s="5"/>
      <c r="BB1714" s="5"/>
      <c r="BC1714" s="5"/>
      <c r="BD1714" s="5"/>
      <c r="BE1714" s="63"/>
      <c r="BF1714" s="63"/>
      <c r="BG1714" s="63"/>
      <c r="CA1714" s="317"/>
      <c r="CF1714" s="5"/>
      <c r="CG1714" s="53"/>
      <c r="CH1714" s="53"/>
      <c r="CI1714" s="53"/>
      <c r="CJ1714" s="53"/>
      <c r="CK1714" s="53"/>
      <c r="CL1714" s="53"/>
      <c r="CN1714" s="53"/>
      <c r="CO1714" s="53"/>
      <c r="CP1714" s="53"/>
      <c r="CQ1714" s="53"/>
      <c r="CR1714" s="53"/>
      <c r="CS1714" s="53"/>
      <c r="CT1714" s="5"/>
      <c r="CU1714" s="5"/>
      <c r="CV1714" s="5"/>
      <c r="CW1714" s="5"/>
      <c r="CX1714" s="5"/>
      <c r="CY1714" s="5"/>
    </row>
    <row r="1715" spans="1:103" ht="10.25" customHeight="1">
      <c r="A1715" s="216"/>
      <c r="B1715" s="217"/>
      <c r="C1715" s="218"/>
      <c r="D1715" s="219"/>
      <c r="E1715" s="217"/>
      <c r="F1715" s="217"/>
      <c r="G1715" s="217"/>
      <c r="H1715" s="220"/>
      <c r="I1715" s="217"/>
      <c r="J1715" s="217"/>
      <c r="K1715" s="217"/>
      <c r="L1715" s="217"/>
      <c r="M1715" s="217"/>
      <c r="N1715" s="217"/>
      <c r="O1715" s="44"/>
      <c r="P1715" s="44"/>
      <c r="Q1715" s="44"/>
      <c r="R1715" s="44"/>
      <c r="S1715" s="44"/>
      <c r="T1715" s="44"/>
      <c r="U1715" s="44"/>
      <c r="V1715" s="44"/>
      <c r="W1715" s="44"/>
      <c r="X1715" s="44"/>
      <c r="Y1715" s="44"/>
      <c r="Z1715" s="44"/>
      <c r="AA1715" s="44"/>
      <c r="AB1715" s="44"/>
      <c r="AC1715" s="44"/>
      <c r="AD1715" s="44"/>
      <c r="AE1715" s="44"/>
      <c r="AF1715" s="44"/>
      <c r="AG1715" s="44"/>
      <c r="AH1715" s="44"/>
      <c r="AI1715" s="44"/>
      <c r="AJ1715" s="44"/>
      <c r="AK1715" s="44"/>
      <c r="AL1715" s="44"/>
      <c r="AM1715" s="44"/>
      <c r="AN1715" s="44"/>
      <c r="AO1715" s="44"/>
      <c r="AP1715" s="44"/>
      <c r="AQ1715" s="44"/>
      <c r="BA1715" s="5"/>
      <c r="BB1715" s="5"/>
      <c r="BC1715" s="5"/>
      <c r="BD1715" s="5"/>
      <c r="BE1715" s="63"/>
      <c r="BF1715" s="63"/>
      <c r="BG1715" s="63"/>
      <c r="CA1715" s="317"/>
      <c r="CF1715" s="5"/>
      <c r="CG1715" s="53"/>
      <c r="CH1715" s="53"/>
      <c r="CI1715" s="53"/>
      <c r="CJ1715" s="53"/>
      <c r="CK1715" s="53"/>
      <c r="CL1715" s="53"/>
      <c r="CN1715" s="53"/>
      <c r="CO1715" s="53"/>
      <c r="CP1715" s="53"/>
      <c r="CQ1715" s="53"/>
      <c r="CR1715" s="53"/>
      <c r="CS1715" s="53"/>
      <c r="CT1715" s="5"/>
      <c r="CU1715" s="5"/>
      <c r="CV1715" s="5"/>
      <c r="CW1715" s="5"/>
      <c r="CX1715" s="5"/>
      <c r="CY1715" s="5"/>
    </row>
    <row r="1716" spans="1:103" ht="10.25" customHeight="1">
      <c r="A1716" s="216"/>
      <c r="B1716" s="217"/>
      <c r="C1716" s="218"/>
      <c r="D1716" s="219"/>
      <c r="E1716" s="217"/>
      <c r="F1716" s="217"/>
      <c r="G1716" s="217"/>
      <c r="H1716" s="220"/>
      <c r="I1716" s="217"/>
      <c r="J1716" s="217"/>
      <c r="K1716" s="217"/>
      <c r="L1716" s="217"/>
      <c r="M1716" s="217"/>
      <c r="N1716" s="217"/>
      <c r="O1716" s="44"/>
      <c r="P1716" s="44"/>
      <c r="Q1716" s="44"/>
      <c r="R1716" s="44"/>
      <c r="S1716" s="44"/>
      <c r="T1716" s="44"/>
      <c r="U1716" s="44"/>
      <c r="V1716" s="44"/>
      <c r="W1716" s="44"/>
      <c r="X1716" s="44"/>
      <c r="Y1716" s="44"/>
      <c r="Z1716" s="44"/>
      <c r="AA1716" s="44"/>
      <c r="AB1716" s="44"/>
      <c r="AC1716" s="44"/>
      <c r="AD1716" s="44"/>
      <c r="AE1716" s="44"/>
      <c r="AF1716" s="44"/>
      <c r="AG1716" s="44"/>
      <c r="AH1716" s="44"/>
      <c r="AI1716" s="44"/>
      <c r="AJ1716" s="44"/>
      <c r="AK1716" s="44"/>
      <c r="AL1716" s="44"/>
      <c r="AM1716" s="44"/>
      <c r="AN1716" s="44"/>
      <c r="AO1716" s="44"/>
      <c r="AP1716" s="44"/>
      <c r="AQ1716" s="44"/>
      <c r="BA1716" s="5"/>
      <c r="BB1716" s="5"/>
      <c r="BC1716" s="5"/>
      <c r="BD1716" s="5"/>
      <c r="BE1716" s="63"/>
      <c r="BF1716" s="63"/>
      <c r="BG1716" s="63"/>
      <c r="CA1716" s="317"/>
      <c r="CF1716" s="5"/>
      <c r="CG1716" s="53"/>
      <c r="CH1716" s="53"/>
      <c r="CI1716" s="53"/>
      <c r="CJ1716" s="53"/>
      <c r="CK1716" s="53"/>
      <c r="CL1716" s="53"/>
      <c r="CN1716" s="53"/>
      <c r="CO1716" s="53"/>
      <c r="CP1716" s="53"/>
      <c r="CQ1716" s="53"/>
      <c r="CR1716" s="53"/>
      <c r="CS1716" s="53"/>
      <c r="CT1716" s="5"/>
      <c r="CU1716" s="5"/>
      <c r="CV1716" s="5"/>
      <c r="CW1716" s="5"/>
      <c r="CX1716" s="5"/>
      <c r="CY1716" s="5"/>
    </row>
    <row r="1717" spans="1:103" ht="10.25" customHeight="1">
      <c r="A1717" s="216"/>
      <c r="B1717" s="217"/>
      <c r="C1717" s="218"/>
      <c r="D1717" s="219"/>
      <c r="E1717" s="217"/>
      <c r="F1717" s="217"/>
      <c r="G1717" s="217"/>
      <c r="H1717" s="220"/>
      <c r="I1717" s="217"/>
      <c r="J1717" s="217"/>
      <c r="K1717" s="217"/>
      <c r="L1717" s="217"/>
      <c r="M1717" s="217"/>
      <c r="N1717" s="217"/>
      <c r="O1717" s="44"/>
      <c r="P1717" s="44"/>
      <c r="Q1717" s="44"/>
      <c r="R1717" s="44"/>
      <c r="S1717" s="44"/>
      <c r="T1717" s="44"/>
      <c r="U1717" s="44"/>
      <c r="V1717" s="44"/>
      <c r="W1717" s="44"/>
      <c r="X1717" s="44"/>
      <c r="Y1717" s="44"/>
      <c r="Z1717" s="44"/>
      <c r="AA1717" s="44"/>
      <c r="AB1717" s="44"/>
      <c r="AC1717" s="44"/>
      <c r="AD1717" s="44"/>
      <c r="AE1717" s="44"/>
      <c r="AF1717" s="44"/>
      <c r="AG1717" s="44"/>
      <c r="AH1717" s="44"/>
      <c r="AI1717" s="44"/>
      <c r="AJ1717" s="44"/>
      <c r="AK1717" s="44"/>
      <c r="AL1717" s="44"/>
      <c r="AM1717" s="44"/>
      <c r="AN1717" s="44"/>
      <c r="AO1717" s="44"/>
      <c r="AP1717" s="44"/>
      <c r="AQ1717" s="44"/>
      <c r="BA1717" s="5"/>
      <c r="BB1717" s="5"/>
      <c r="BC1717" s="5"/>
      <c r="BD1717" s="5"/>
      <c r="BE1717" s="63"/>
      <c r="BF1717" s="63"/>
      <c r="BG1717" s="63"/>
      <c r="CA1717" s="317"/>
      <c r="CF1717" s="5"/>
      <c r="CG1717" s="53"/>
      <c r="CH1717" s="53"/>
      <c r="CI1717" s="53"/>
      <c r="CJ1717" s="53"/>
      <c r="CK1717" s="53"/>
      <c r="CL1717" s="53"/>
      <c r="CN1717" s="53"/>
      <c r="CO1717" s="53"/>
      <c r="CP1717" s="53"/>
      <c r="CQ1717" s="53"/>
      <c r="CR1717" s="53"/>
      <c r="CS1717" s="53"/>
      <c r="CT1717" s="5"/>
      <c r="CU1717" s="5"/>
      <c r="CV1717" s="5"/>
      <c r="CW1717" s="5"/>
      <c r="CX1717" s="5"/>
      <c r="CY1717" s="5"/>
    </row>
    <row r="1718" spans="1:103" ht="10.25" customHeight="1">
      <c r="A1718" s="216"/>
      <c r="B1718" s="217"/>
      <c r="C1718" s="218"/>
      <c r="D1718" s="219"/>
      <c r="E1718" s="217"/>
      <c r="F1718" s="217"/>
      <c r="G1718" s="217"/>
      <c r="H1718" s="220"/>
      <c r="I1718" s="217"/>
      <c r="J1718" s="217"/>
      <c r="K1718" s="217"/>
      <c r="L1718" s="217"/>
      <c r="M1718" s="217"/>
      <c r="N1718" s="217"/>
      <c r="O1718" s="44"/>
      <c r="P1718" s="44"/>
      <c r="Q1718" s="44"/>
      <c r="R1718" s="44"/>
      <c r="S1718" s="44"/>
      <c r="T1718" s="44"/>
      <c r="U1718" s="44"/>
      <c r="V1718" s="44"/>
      <c r="W1718" s="44"/>
      <c r="X1718" s="44"/>
      <c r="Y1718" s="44"/>
      <c r="Z1718" s="44"/>
      <c r="AA1718" s="44"/>
      <c r="AB1718" s="44"/>
      <c r="AC1718" s="44"/>
      <c r="AD1718" s="44"/>
      <c r="AE1718" s="44"/>
      <c r="AF1718" s="44"/>
      <c r="AG1718" s="44"/>
      <c r="AH1718" s="44"/>
      <c r="AI1718" s="44"/>
      <c r="AJ1718" s="44"/>
      <c r="AK1718" s="44"/>
      <c r="AL1718" s="44"/>
      <c r="AM1718" s="44"/>
      <c r="AN1718" s="44"/>
      <c r="AO1718" s="44"/>
      <c r="AP1718" s="44"/>
      <c r="AQ1718" s="44"/>
      <c r="BA1718" s="5"/>
      <c r="BB1718" s="5"/>
      <c r="BC1718" s="5"/>
      <c r="BD1718" s="5"/>
      <c r="BE1718" s="63"/>
      <c r="BF1718" s="63"/>
      <c r="BG1718" s="63"/>
      <c r="CA1718" s="317"/>
      <c r="CF1718" s="5"/>
      <c r="CG1718" s="53"/>
      <c r="CH1718" s="53"/>
      <c r="CI1718" s="53"/>
      <c r="CJ1718" s="53"/>
      <c r="CK1718" s="53"/>
      <c r="CL1718" s="53"/>
      <c r="CN1718" s="53"/>
      <c r="CO1718" s="53"/>
      <c r="CP1718" s="53"/>
      <c r="CQ1718" s="53"/>
      <c r="CR1718" s="53"/>
      <c r="CS1718" s="53"/>
      <c r="CT1718" s="5"/>
      <c r="CU1718" s="5"/>
      <c r="CV1718" s="5"/>
      <c r="CW1718" s="5"/>
      <c r="CX1718" s="5"/>
      <c r="CY1718" s="5"/>
    </row>
    <row r="1719" spans="1:103" ht="10.25" customHeight="1">
      <c r="A1719" s="216"/>
      <c r="B1719" s="217"/>
      <c r="C1719" s="218"/>
      <c r="D1719" s="219"/>
      <c r="E1719" s="217"/>
      <c r="F1719" s="217"/>
      <c r="G1719" s="217"/>
      <c r="H1719" s="220"/>
      <c r="I1719" s="217"/>
      <c r="J1719" s="217"/>
      <c r="K1719" s="217"/>
      <c r="L1719" s="217"/>
      <c r="M1719" s="217"/>
      <c r="N1719" s="217"/>
      <c r="O1719" s="44"/>
      <c r="P1719" s="44"/>
      <c r="Q1719" s="44"/>
      <c r="R1719" s="44"/>
      <c r="S1719" s="44"/>
      <c r="T1719" s="44"/>
      <c r="U1719" s="44"/>
      <c r="V1719" s="44"/>
      <c r="W1719" s="44"/>
      <c r="X1719" s="44"/>
      <c r="Y1719" s="44"/>
      <c r="Z1719" s="44"/>
      <c r="AA1719" s="44"/>
      <c r="AB1719" s="44"/>
      <c r="AC1719" s="44"/>
      <c r="AD1719" s="44"/>
      <c r="AE1719" s="44"/>
      <c r="AF1719" s="44"/>
      <c r="AG1719" s="44"/>
      <c r="AH1719" s="44"/>
      <c r="AI1719" s="44"/>
      <c r="AJ1719" s="44"/>
      <c r="AK1719" s="44"/>
      <c r="AL1719" s="44"/>
      <c r="AM1719" s="44"/>
      <c r="AN1719" s="44"/>
      <c r="AO1719" s="44"/>
      <c r="AP1719" s="44"/>
      <c r="AQ1719" s="44"/>
      <c r="BA1719" s="5"/>
      <c r="BB1719" s="5"/>
      <c r="BC1719" s="5"/>
      <c r="BD1719" s="5"/>
      <c r="BE1719" s="63"/>
      <c r="BF1719" s="63"/>
      <c r="BG1719" s="63"/>
      <c r="CA1719" s="317"/>
      <c r="CF1719" s="5"/>
      <c r="CG1719" s="53"/>
      <c r="CH1719" s="53"/>
      <c r="CI1719" s="53"/>
      <c r="CJ1719" s="53"/>
      <c r="CK1719" s="53"/>
      <c r="CL1719" s="53"/>
      <c r="CN1719" s="53"/>
      <c r="CO1719" s="53"/>
      <c r="CP1719" s="53"/>
      <c r="CQ1719" s="53"/>
      <c r="CR1719" s="53"/>
      <c r="CS1719" s="53"/>
      <c r="CT1719" s="5"/>
      <c r="CU1719" s="5"/>
      <c r="CV1719" s="5"/>
      <c r="CW1719" s="5"/>
      <c r="CX1719" s="5"/>
      <c r="CY1719" s="5"/>
    </row>
    <row r="1720" spans="1:103" ht="10.25" customHeight="1">
      <c r="A1720" s="216"/>
      <c r="B1720" s="217"/>
      <c r="C1720" s="218"/>
      <c r="D1720" s="219"/>
      <c r="E1720" s="217"/>
      <c r="F1720" s="217"/>
      <c r="G1720" s="217"/>
      <c r="H1720" s="220"/>
      <c r="I1720" s="217"/>
      <c r="J1720" s="217"/>
      <c r="K1720" s="217"/>
      <c r="L1720" s="217"/>
      <c r="M1720" s="217"/>
      <c r="N1720" s="217"/>
      <c r="O1720" s="44"/>
      <c r="P1720" s="44"/>
      <c r="Q1720" s="44"/>
      <c r="R1720" s="44"/>
      <c r="S1720" s="44"/>
      <c r="T1720" s="44"/>
      <c r="U1720" s="44"/>
      <c r="V1720" s="44"/>
      <c r="W1720" s="44"/>
      <c r="X1720" s="44"/>
      <c r="Y1720" s="44"/>
      <c r="Z1720" s="44"/>
      <c r="AA1720" s="44"/>
      <c r="AB1720" s="44"/>
      <c r="AC1720" s="44"/>
      <c r="AD1720" s="44"/>
      <c r="AE1720" s="44"/>
      <c r="AF1720" s="44"/>
      <c r="AG1720" s="44"/>
      <c r="AH1720" s="44"/>
      <c r="AI1720" s="44"/>
      <c r="AJ1720" s="44"/>
      <c r="AK1720" s="44"/>
      <c r="AL1720" s="44"/>
      <c r="AM1720" s="44"/>
      <c r="AN1720" s="44"/>
      <c r="AO1720" s="44"/>
      <c r="AP1720" s="44"/>
      <c r="AQ1720" s="44"/>
      <c r="BA1720" s="5"/>
      <c r="BB1720" s="5"/>
      <c r="BC1720" s="5"/>
      <c r="BD1720" s="5"/>
      <c r="BE1720" s="63"/>
      <c r="BF1720" s="63"/>
      <c r="BG1720" s="63"/>
      <c r="CA1720" s="317"/>
      <c r="CF1720" s="5"/>
      <c r="CG1720" s="53"/>
      <c r="CH1720" s="53"/>
      <c r="CI1720" s="53"/>
      <c r="CJ1720" s="53"/>
      <c r="CK1720" s="53"/>
      <c r="CL1720" s="53"/>
      <c r="CN1720" s="53"/>
      <c r="CO1720" s="53"/>
      <c r="CP1720" s="53"/>
      <c r="CQ1720" s="53"/>
      <c r="CR1720" s="53"/>
      <c r="CS1720" s="53"/>
      <c r="CT1720" s="5"/>
      <c r="CU1720" s="5"/>
      <c r="CV1720" s="5"/>
      <c r="CW1720" s="5"/>
      <c r="CX1720" s="5"/>
      <c r="CY1720" s="5"/>
    </row>
    <row r="1721" spans="1:103" ht="10.25" customHeight="1">
      <c r="A1721" s="216"/>
      <c r="B1721" s="217"/>
      <c r="C1721" s="218"/>
      <c r="D1721" s="219"/>
      <c r="E1721" s="217"/>
      <c r="F1721" s="217"/>
      <c r="G1721" s="217"/>
      <c r="H1721" s="220"/>
      <c r="I1721" s="217"/>
      <c r="J1721" s="217"/>
      <c r="K1721" s="217"/>
      <c r="L1721" s="217"/>
      <c r="M1721" s="217"/>
      <c r="N1721" s="217"/>
      <c r="O1721" s="44"/>
      <c r="P1721" s="44"/>
      <c r="Q1721" s="44"/>
      <c r="R1721" s="44"/>
      <c r="S1721" s="44"/>
      <c r="T1721" s="44"/>
      <c r="U1721" s="44"/>
      <c r="V1721" s="44"/>
      <c r="W1721" s="44"/>
      <c r="X1721" s="44"/>
      <c r="Y1721" s="44"/>
      <c r="Z1721" s="44"/>
      <c r="AA1721" s="44"/>
      <c r="AB1721" s="44"/>
      <c r="AC1721" s="44"/>
      <c r="AD1721" s="44"/>
      <c r="AE1721" s="44"/>
      <c r="AF1721" s="44"/>
      <c r="AG1721" s="44"/>
      <c r="AH1721" s="44"/>
      <c r="AI1721" s="44"/>
      <c r="AJ1721" s="44"/>
      <c r="AK1721" s="44"/>
      <c r="AL1721" s="44"/>
      <c r="AM1721" s="44"/>
      <c r="AN1721" s="44"/>
      <c r="AO1721" s="44"/>
      <c r="AP1721" s="44"/>
      <c r="AQ1721" s="44"/>
      <c r="BA1721" s="5"/>
      <c r="BB1721" s="5"/>
      <c r="BC1721" s="5"/>
      <c r="BD1721" s="5"/>
      <c r="BE1721" s="63"/>
      <c r="BF1721" s="63"/>
      <c r="BG1721" s="63"/>
      <c r="CA1721" s="317"/>
      <c r="CF1721" s="5"/>
      <c r="CG1721" s="53"/>
      <c r="CH1721" s="53"/>
      <c r="CI1721" s="53"/>
      <c r="CJ1721" s="53"/>
      <c r="CK1721" s="53"/>
      <c r="CL1721" s="53"/>
      <c r="CN1721" s="53"/>
      <c r="CO1721" s="53"/>
      <c r="CP1721" s="53"/>
      <c r="CQ1721" s="53"/>
      <c r="CR1721" s="53"/>
      <c r="CS1721" s="53"/>
      <c r="CT1721" s="5"/>
      <c r="CU1721" s="5"/>
      <c r="CV1721" s="5"/>
      <c r="CW1721" s="5"/>
      <c r="CX1721" s="5"/>
      <c r="CY1721" s="5"/>
    </row>
    <row r="1722" spans="1:103" ht="10.25" customHeight="1">
      <c r="A1722" s="216"/>
      <c r="B1722" s="217"/>
      <c r="C1722" s="218"/>
      <c r="D1722" s="219"/>
      <c r="E1722" s="217"/>
      <c r="F1722" s="217"/>
      <c r="G1722" s="217"/>
      <c r="H1722" s="220"/>
      <c r="I1722" s="217"/>
      <c r="J1722" s="217"/>
      <c r="K1722" s="217"/>
      <c r="L1722" s="217"/>
      <c r="M1722" s="217"/>
      <c r="N1722" s="217"/>
      <c r="O1722" s="44"/>
      <c r="P1722" s="44"/>
      <c r="Q1722" s="44"/>
      <c r="R1722" s="44"/>
      <c r="S1722" s="44"/>
      <c r="T1722" s="44"/>
      <c r="U1722" s="44"/>
      <c r="V1722" s="44"/>
      <c r="W1722" s="44"/>
      <c r="X1722" s="44"/>
      <c r="Y1722" s="44"/>
      <c r="Z1722" s="44"/>
      <c r="AA1722" s="44"/>
      <c r="AB1722" s="44"/>
      <c r="AC1722" s="44"/>
      <c r="AD1722" s="44"/>
      <c r="AE1722" s="44"/>
      <c r="AF1722" s="44"/>
      <c r="AG1722" s="44"/>
      <c r="AH1722" s="44"/>
      <c r="AI1722" s="44"/>
      <c r="AJ1722" s="44"/>
      <c r="AK1722" s="44"/>
      <c r="AL1722" s="44"/>
      <c r="AM1722" s="44"/>
      <c r="AN1722" s="44"/>
      <c r="AO1722" s="44"/>
      <c r="AP1722" s="44"/>
      <c r="AQ1722" s="44"/>
      <c r="BA1722" s="5"/>
      <c r="BB1722" s="5"/>
      <c r="BC1722" s="5"/>
      <c r="BD1722" s="5"/>
      <c r="BE1722" s="63"/>
      <c r="BF1722" s="63"/>
      <c r="BG1722" s="63"/>
      <c r="CA1722" s="317"/>
      <c r="CF1722" s="5"/>
      <c r="CG1722" s="53"/>
      <c r="CH1722" s="53"/>
      <c r="CI1722" s="53"/>
      <c r="CJ1722" s="53"/>
      <c r="CK1722" s="53"/>
      <c r="CL1722" s="53"/>
      <c r="CN1722" s="53"/>
      <c r="CO1722" s="53"/>
      <c r="CP1722" s="53"/>
      <c r="CQ1722" s="53"/>
      <c r="CR1722" s="53"/>
      <c r="CS1722" s="53"/>
      <c r="CT1722" s="5"/>
      <c r="CU1722" s="5"/>
      <c r="CV1722" s="5"/>
      <c r="CW1722" s="5"/>
      <c r="CX1722" s="5"/>
      <c r="CY1722" s="5"/>
    </row>
    <row r="1723" spans="1:103" ht="10.25" customHeight="1">
      <c r="A1723" s="216"/>
      <c r="B1723" s="217"/>
      <c r="C1723" s="218"/>
      <c r="D1723" s="219"/>
      <c r="E1723" s="217"/>
      <c r="F1723" s="217"/>
      <c r="G1723" s="217"/>
      <c r="H1723" s="220"/>
      <c r="I1723" s="217"/>
      <c r="J1723" s="217"/>
      <c r="K1723" s="217"/>
      <c r="L1723" s="217"/>
      <c r="M1723" s="217"/>
      <c r="N1723" s="217"/>
      <c r="O1723" s="44"/>
      <c r="P1723" s="44"/>
      <c r="Q1723" s="44"/>
      <c r="R1723" s="44"/>
      <c r="S1723" s="44"/>
      <c r="T1723" s="44"/>
      <c r="U1723" s="44"/>
      <c r="V1723" s="44"/>
      <c r="W1723" s="44"/>
      <c r="X1723" s="44"/>
      <c r="Y1723" s="44"/>
      <c r="Z1723" s="44"/>
      <c r="AA1723" s="44"/>
      <c r="AB1723" s="44"/>
      <c r="AC1723" s="44"/>
      <c r="AD1723" s="44"/>
      <c r="AE1723" s="44"/>
      <c r="AF1723" s="44"/>
      <c r="AG1723" s="44"/>
      <c r="AH1723" s="44"/>
      <c r="AI1723" s="44"/>
      <c r="AJ1723" s="44"/>
      <c r="AK1723" s="44"/>
      <c r="AL1723" s="44"/>
      <c r="AM1723" s="44"/>
      <c r="AN1723" s="44"/>
      <c r="AO1723" s="44"/>
      <c r="AP1723" s="44"/>
      <c r="AQ1723" s="44"/>
      <c r="BA1723" s="5"/>
      <c r="BB1723" s="5"/>
      <c r="BC1723" s="5"/>
      <c r="BD1723" s="5"/>
      <c r="BE1723" s="63"/>
      <c r="BF1723" s="63"/>
      <c r="BG1723" s="63"/>
      <c r="CA1723" s="317"/>
      <c r="CF1723" s="5"/>
      <c r="CG1723" s="53"/>
      <c r="CH1723" s="53"/>
      <c r="CI1723" s="53"/>
      <c r="CJ1723" s="53"/>
      <c r="CK1723" s="53"/>
      <c r="CL1723" s="53"/>
      <c r="CN1723" s="53"/>
      <c r="CO1723" s="53"/>
      <c r="CP1723" s="53"/>
      <c r="CQ1723" s="53"/>
      <c r="CR1723" s="53"/>
      <c r="CS1723" s="53"/>
      <c r="CT1723" s="5"/>
      <c r="CU1723" s="5"/>
      <c r="CV1723" s="5"/>
      <c r="CW1723" s="5"/>
      <c r="CX1723" s="5"/>
      <c r="CY1723" s="5"/>
    </row>
    <row r="1724" spans="1:103" ht="10.25" customHeight="1">
      <c r="A1724" s="216"/>
      <c r="B1724" s="217"/>
      <c r="C1724" s="218"/>
      <c r="D1724" s="219"/>
      <c r="E1724" s="217"/>
      <c r="F1724" s="217"/>
      <c r="G1724" s="217"/>
      <c r="H1724" s="220"/>
      <c r="I1724" s="217"/>
      <c r="J1724" s="217"/>
      <c r="K1724" s="217"/>
      <c r="L1724" s="217"/>
      <c r="M1724" s="217"/>
      <c r="N1724" s="217"/>
      <c r="O1724" s="44"/>
      <c r="P1724" s="44"/>
      <c r="Q1724" s="44"/>
      <c r="R1724" s="44"/>
      <c r="S1724" s="44"/>
      <c r="T1724" s="44"/>
      <c r="U1724" s="44"/>
      <c r="V1724" s="44"/>
      <c r="W1724" s="44"/>
      <c r="X1724" s="44"/>
      <c r="Y1724" s="44"/>
      <c r="Z1724" s="44"/>
      <c r="AA1724" s="44"/>
      <c r="AB1724" s="44"/>
      <c r="AC1724" s="44"/>
      <c r="AD1724" s="44"/>
      <c r="AE1724" s="44"/>
      <c r="AF1724" s="44"/>
      <c r="AG1724" s="44"/>
      <c r="AH1724" s="44"/>
      <c r="AI1724" s="44"/>
      <c r="AJ1724" s="44"/>
      <c r="AK1724" s="44"/>
      <c r="AL1724" s="44"/>
      <c r="AM1724" s="44"/>
      <c r="AN1724" s="44"/>
      <c r="AO1724" s="44"/>
      <c r="AP1724" s="44"/>
      <c r="AQ1724" s="44"/>
      <c r="BA1724" s="5"/>
      <c r="BB1724" s="5"/>
      <c r="BC1724" s="5"/>
      <c r="BD1724" s="5"/>
      <c r="BE1724" s="63"/>
      <c r="BF1724" s="63"/>
      <c r="BG1724" s="63"/>
      <c r="CA1724" s="317"/>
      <c r="CF1724" s="5"/>
      <c r="CG1724" s="53"/>
      <c r="CH1724" s="53"/>
      <c r="CI1724" s="53"/>
      <c r="CJ1724" s="53"/>
      <c r="CK1724" s="53"/>
      <c r="CL1724" s="53"/>
      <c r="CN1724" s="53"/>
      <c r="CO1724" s="53"/>
      <c r="CP1724" s="53"/>
      <c r="CQ1724" s="53"/>
      <c r="CR1724" s="53"/>
      <c r="CS1724" s="53"/>
      <c r="CT1724" s="5"/>
      <c r="CU1724" s="5"/>
      <c r="CV1724" s="5"/>
      <c r="CW1724" s="5"/>
      <c r="CX1724" s="5"/>
      <c r="CY1724" s="5"/>
    </row>
    <row r="1725" spans="1:103" ht="10.25" customHeight="1">
      <c r="A1725" s="216"/>
      <c r="B1725" s="217"/>
      <c r="C1725" s="218"/>
      <c r="D1725" s="219"/>
      <c r="E1725" s="217"/>
      <c r="F1725" s="217"/>
      <c r="G1725" s="217"/>
      <c r="H1725" s="220"/>
      <c r="I1725" s="217"/>
      <c r="J1725" s="217"/>
      <c r="K1725" s="217"/>
      <c r="L1725" s="217"/>
      <c r="M1725" s="217"/>
      <c r="N1725" s="217"/>
      <c r="O1725" s="44"/>
      <c r="P1725" s="44"/>
      <c r="Q1725" s="44"/>
      <c r="R1725" s="44"/>
      <c r="S1725" s="44"/>
      <c r="T1725" s="44"/>
      <c r="U1725" s="44"/>
      <c r="V1725" s="44"/>
      <c r="W1725" s="44"/>
      <c r="X1725" s="44"/>
      <c r="Y1725" s="44"/>
      <c r="Z1725" s="44"/>
      <c r="AA1725" s="44"/>
      <c r="AB1725" s="44"/>
      <c r="AC1725" s="44"/>
      <c r="AD1725" s="44"/>
      <c r="AE1725" s="44"/>
      <c r="AF1725" s="44"/>
      <c r="AG1725" s="44"/>
      <c r="AH1725" s="44"/>
      <c r="AI1725" s="44"/>
      <c r="AJ1725" s="44"/>
      <c r="AK1725" s="44"/>
      <c r="AL1725" s="44"/>
      <c r="AM1725" s="44"/>
      <c r="AN1725" s="44"/>
      <c r="AO1725" s="44"/>
      <c r="AP1725" s="44"/>
      <c r="AQ1725" s="44"/>
      <c r="BA1725" s="5"/>
      <c r="BB1725" s="5"/>
      <c r="BC1725" s="5"/>
      <c r="BD1725" s="5"/>
      <c r="BE1725" s="63"/>
      <c r="BF1725" s="63"/>
      <c r="BG1725" s="63"/>
      <c r="CA1725" s="317"/>
      <c r="CF1725" s="5"/>
      <c r="CG1725" s="53"/>
      <c r="CH1725" s="53"/>
      <c r="CI1725" s="53"/>
      <c r="CJ1725" s="53"/>
      <c r="CK1725" s="53"/>
      <c r="CL1725" s="53"/>
      <c r="CN1725" s="53"/>
      <c r="CO1725" s="53"/>
      <c r="CP1725" s="53"/>
      <c r="CQ1725" s="53"/>
      <c r="CR1725" s="53"/>
      <c r="CS1725" s="53"/>
      <c r="CT1725" s="5"/>
      <c r="CU1725" s="5"/>
      <c r="CV1725" s="5"/>
      <c r="CW1725" s="5"/>
      <c r="CX1725" s="5"/>
      <c r="CY1725" s="5"/>
    </row>
    <row r="1726" spans="1:103" ht="10.25" customHeight="1">
      <c r="A1726" s="216"/>
      <c r="B1726" s="217"/>
      <c r="C1726" s="218"/>
      <c r="D1726" s="219"/>
      <c r="E1726" s="217"/>
      <c r="F1726" s="217"/>
      <c r="G1726" s="217"/>
      <c r="H1726" s="220"/>
      <c r="I1726" s="217"/>
      <c r="J1726" s="217"/>
      <c r="K1726" s="217"/>
      <c r="L1726" s="217"/>
      <c r="M1726" s="217"/>
      <c r="N1726" s="217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BA1726" s="5"/>
      <c r="BB1726" s="5"/>
      <c r="BC1726" s="5"/>
      <c r="BD1726" s="5"/>
      <c r="BE1726" s="63"/>
      <c r="BF1726" s="63"/>
      <c r="BG1726" s="63"/>
      <c r="CA1726" s="256"/>
      <c r="CB1726" s="261"/>
      <c r="CC1726" s="261"/>
      <c r="CD1726" s="261"/>
      <c r="CE1726" s="261"/>
      <c r="CF1726" s="255"/>
      <c r="CG1726" s="53"/>
      <c r="CH1726" s="53"/>
      <c r="CI1726" s="53"/>
      <c r="CJ1726" s="53"/>
      <c r="CK1726" s="53"/>
      <c r="CL1726" s="53"/>
      <c r="CN1726" s="53"/>
      <c r="CO1726" s="53"/>
      <c r="CP1726" s="53"/>
      <c r="CQ1726" s="53"/>
      <c r="CR1726" s="53"/>
      <c r="CS1726" s="53"/>
      <c r="CT1726" s="261"/>
      <c r="CU1726" s="255"/>
      <c r="CV1726" s="261"/>
      <c r="CW1726" s="261"/>
      <c r="CX1726" s="261"/>
      <c r="CY1726" s="255"/>
    </row>
    <row r="1727" spans="1:103" ht="10.25" customHeight="1">
      <c r="A1727" s="216"/>
      <c r="B1727" s="217"/>
      <c r="C1727" s="218"/>
      <c r="D1727" s="219"/>
      <c r="E1727" s="217"/>
      <c r="F1727" s="217"/>
      <c r="G1727" s="217"/>
      <c r="H1727" s="220"/>
      <c r="I1727" s="217"/>
      <c r="J1727" s="217"/>
      <c r="K1727" s="217"/>
      <c r="L1727" s="217"/>
      <c r="M1727" s="217"/>
      <c r="N1727" s="217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BA1727" s="5"/>
      <c r="BB1727" s="5"/>
      <c r="BC1727" s="5"/>
      <c r="BD1727" s="5"/>
      <c r="BE1727" s="63"/>
      <c r="BF1727" s="63"/>
      <c r="BG1727" s="63"/>
      <c r="CA1727" s="256"/>
      <c r="CB1727" s="261"/>
      <c r="CC1727" s="261"/>
      <c r="CD1727" s="261"/>
      <c r="CE1727" s="261"/>
      <c r="CF1727" s="255"/>
      <c r="CG1727" s="53"/>
      <c r="CH1727" s="53"/>
      <c r="CI1727" s="53"/>
      <c r="CJ1727" s="53"/>
      <c r="CK1727" s="53"/>
      <c r="CL1727" s="53"/>
      <c r="CN1727" s="53"/>
      <c r="CO1727" s="53"/>
      <c r="CP1727" s="53"/>
      <c r="CQ1727" s="53"/>
      <c r="CR1727" s="53"/>
      <c r="CS1727" s="53"/>
      <c r="CT1727" s="261"/>
      <c r="CU1727" s="255"/>
      <c r="CV1727" s="261"/>
      <c r="CW1727" s="261"/>
      <c r="CX1727" s="261"/>
      <c r="CY1727" s="255"/>
    </row>
    <row r="1728" spans="1:103" ht="10.25" customHeight="1">
      <c r="A1728" s="216"/>
      <c r="B1728" s="217"/>
      <c r="C1728" s="218"/>
      <c r="D1728" s="219"/>
      <c r="E1728" s="217"/>
      <c r="F1728" s="217"/>
      <c r="G1728" s="217"/>
      <c r="H1728" s="220"/>
      <c r="I1728" s="217"/>
      <c r="J1728" s="217"/>
      <c r="K1728" s="217"/>
      <c r="L1728" s="217"/>
      <c r="M1728" s="217"/>
      <c r="N1728" s="217"/>
      <c r="O1728" s="44"/>
      <c r="P1728" s="44"/>
      <c r="Q1728" s="44"/>
      <c r="R1728" s="44"/>
      <c r="S1728" s="44"/>
      <c r="T1728" s="44"/>
      <c r="U1728" s="44"/>
      <c r="V1728" s="44"/>
      <c r="W1728" s="44"/>
      <c r="X1728" s="44"/>
      <c r="Y1728" s="44"/>
      <c r="Z1728" s="44"/>
      <c r="AA1728" s="44"/>
      <c r="AB1728" s="44"/>
      <c r="AC1728" s="44"/>
      <c r="AD1728" s="44"/>
      <c r="AE1728" s="44"/>
      <c r="AF1728" s="44"/>
      <c r="AG1728" s="44"/>
      <c r="AH1728" s="44"/>
      <c r="AI1728" s="44"/>
      <c r="AJ1728" s="44"/>
      <c r="AK1728" s="44"/>
      <c r="AL1728" s="44"/>
      <c r="AM1728" s="44"/>
      <c r="AN1728" s="44"/>
      <c r="AO1728" s="44"/>
      <c r="AP1728" s="44"/>
      <c r="AQ1728" s="44"/>
      <c r="BA1728" s="5"/>
      <c r="BB1728" s="5"/>
      <c r="BC1728" s="5"/>
      <c r="BD1728" s="5"/>
      <c r="BE1728" s="63"/>
      <c r="BF1728" s="63"/>
      <c r="BG1728" s="63"/>
      <c r="CA1728" s="256"/>
      <c r="CB1728" s="261"/>
      <c r="CC1728" s="261"/>
      <c r="CD1728" s="261"/>
      <c r="CE1728" s="261"/>
      <c r="CF1728" s="255"/>
      <c r="CG1728" s="53"/>
      <c r="CH1728" s="53"/>
      <c r="CI1728" s="53"/>
      <c r="CJ1728" s="53"/>
      <c r="CK1728" s="53"/>
      <c r="CL1728" s="53"/>
      <c r="CN1728" s="53"/>
      <c r="CO1728" s="53"/>
      <c r="CP1728" s="53"/>
      <c r="CQ1728" s="53"/>
      <c r="CR1728" s="53"/>
      <c r="CS1728" s="53"/>
      <c r="CT1728" s="261"/>
      <c r="CU1728" s="255"/>
      <c r="CV1728" s="261"/>
      <c r="CW1728" s="255"/>
      <c r="CX1728" s="261"/>
      <c r="CY1728" s="255"/>
    </row>
    <row r="1729" spans="1:103" ht="10.25" customHeight="1">
      <c r="A1729" s="216"/>
      <c r="B1729" s="217"/>
      <c r="C1729" s="218"/>
      <c r="D1729" s="219"/>
      <c r="E1729" s="217"/>
      <c r="F1729" s="217"/>
      <c r="G1729" s="217"/>
      <c r="H1729" s="220"/>
      <c r="I1729" s="217"/>
      <c r="J1729" s="217"/>
      <c r="K1729" s="217"/>
      <c r="L1729" s="217"/>
      <c r="M1729" s="217"/>
      <c r="N1729" s="217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44"/>
      <c r="AL1729" s="44"/>
      <c r="AM1729" s="44"/>
      <c r="AN1729" s="44"/>
      <c r="AO1729" s="44"/>
      <c r="AP1729" s="44"/>
      <c r="AQ1729" s="44"/>
      <c r="BA1729" s="5"/>
      <c r="BB1729" s="5"/>
      <c r="BC1729" s="5"/>
      <c r="BD1729" s="5"/>
      <c r="BE1729" s="63"/>
      <c r="BF1729" s="63"/>
      <c r="BG1729" s="63"/>
      <c r="CA1729" s="256"/>
      <c r="CB1729" s="261"/>
      <c r="CC1729" s="261"/>
      <c r="CD1729" s="261"/>
      <c r="CE1729" s="261"/>
      <c r="CF1729" s="255"/>
      <c r="CG1729" s="53"/>
      <c r="CH1729" s="53"/>
      <c r="CI1729" s="53"/>
      <c r="CJ1729" s="53"/>
      <c r="CK1729" s="53"/>
      <c r="CL1729" s="53"/>
      <c r="CN1729" s="53"/>
      <c r="CO1729" s="53"/>
      <c r="CP1729" s="53"/>
      <c r="CQ1729" s="53"/>
      <c r="CR1729" s="53"/>
      <c r="CS1729" s="53"/>
      <c r="CT1729" s="261"/>
      <c r="CU1729" s="255"/>
      <c r="CV1729" s="255"/>
      <c r="CW1729" s="261"/>
      <c r="CX1729" s="261"/>
      <c r="CY1729" s="255"/>
    </row>
    <row r="1730" spans="1:103" ht="10.25" customHeight="1">
      <c r="A1730" s="216"/>
      <c r="B1730" s="217"/>
      <c r="C1730" s="218"/>
      <c r="D1730" s="219"/>
      <c r="E1730" s="217"/>
      <c r="F1730" s="217"/>
      <c r="G1730" s="217"/>
      <c r="H1730" s="220"/>
      <c r="I1730" s="217"/>
      <c r="J1730" s="217"/>
      <c r="K1730" s="217"/>
      <c r="L1730" s="217"/>
      <c r="M1730" s="217"/>
      <c r="N1730" s="217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BA1730" s="5"/>
      <c r="BB1730" s="5"/>
      <c r="BC1730" s="5"/>
      <c r="BD1730" s="5"/>
      <c r="BE1730" s="63"/>
      <c r="BF1730" s="63"/>
      <c r="BG1730" s="63"/>
      <c r="CA1730" s="256"/>
      <c r="CB1730" s="261"/>
      <c r="CC1730" s="261"/>
      <c r="CD1730" s="261"/>
      <c r="CE1730" s="261"/>
      <c r="CF1730" s="255"/>
      <c r="CG1730" s="53"/>
      <c r="CH1730" s="53"/>
      <c r="CI1730" s="53"/>
      <c r="CJ1730" s="53"/>
      <c r="CK1730" s="53"/>
      <c r="CL1730" s="53"/>
      <c r="CN1730" s="53"/>
      <c r="CO1730" s="53"/>
      <c r="CP1730" s="53"/>
      <c r="CQ1730" s="53"/>
      <c r="CR1730" s="53"/>
      <c r="CS1730" s="53"/>
      <c r="CT1730" s="261"/>
      <c r="CU1730" s="255"/>
      <c r="CV1730" s="261"/>
      <c r="CW1730" s="255"/>
      <c r="CX1730" s="261"/>
      <c r="CY1730" s="255"/>
    </row>
    <row r="1731" spans="1:103" ht="10.25" customHeight="1">
      <c r="A1731" s="216"/>
      <c r="B1731" s="217"/>
      <c r="C1731" s="218"/>
      <c r="D1731" s="219"/>
      <c r="E1731" s="217"/>
      <c r="F1731" s="217"/>
      <c r="G1731" s="217"/>
      <c r="H1731" s="220"/>
      <c r="I1731" s="217"/>
      <c r="J1731" s="217"/>
      <c r="K1731" s="217"/>
      <c r="L1731" s="217"/>
      <c r="M1731" s="217"/>
      <c r="N1731" s="217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BA1731" s="5"/>
      <c r="BB1731" s="5"/>
      <c r="BC1731" s="5"/>
      <c r="BD1731" s="5"/>
      <c r="BE1731" s="63"/>
      <c r="BF1731" s="63"/>
      <c r="BG1731" s="63"/>
      <c r="CA1731" s="256"/>
      <c r="CB1731" s="261"/>
      <c r="CC1731" s="261"/>
      <c r="CD1731" s="261"/>
      <c r="CE1731" s="255"/>
      <c r="CF1731" s="261"/>
      <c r="CG1731" s="53"/>
      <c r="CH1731" s="53"/>
      <c r="CI1731" s="53"/>
      <c r="CJ1731" s="53"/>
      <c r="CK1731" s="53"/>
      <c r="CL1731" s="53"/>
      <c r="CN1731" s="53"/>
      <c r="CO1731" s="53"/>
      <c r="CP1731" s="53"/>
      <c r="CQ1731" s="53"/>
      <c r="CR1731" s="53"/>
      <c r="CS1731" s="53"/>
      <c r="CT1731" s="255"/>
      <c r="CU1731" s="261"/>
      <c r="CV1731" s="255"/>
      <c r="CW1731" s="261"/>
      <c r="CX1731" s="261"/>
      <c r="CY1731" s="255"/>
    </row>
    <row r="1732" spans="1:103" ht="10.25" customHeight="1">
      <c r="A1732" s="216"/>
      <c r="B1732" s="217"/>
      <c r="C1732" s="218"/>
      <c r="D1732" s="219"/>
      <c r="E1732" s="217"/>
      <c r="F1732" s="217"/>
      <c r="G1732" s="217"/>
      <c r="H1732" s="220"/>
      <c r="I1732" s="217"/>
      <c r="J1732" s="217"/>
      <c r="K1732" s="217"/>
      <c r="L1732" s="217"/>
      <c r="M1732" s="217"/>
      <c r="N1732" s="217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BA1732" s="5"/>
      <c r="BB1732" s="5"/>
      <c r="BC1732" s="5"/>
      <c r="BD1732" s="5"/>
      <c r="BE1732" s="63"/>
      <c r="BF1732" s="63"/>
      <c r="BG1732" s="63"/>
      <c r="CA1732" s="256"/>
      <c r="CB1732" s="261"/>
      <c r="CC1732" s="261"/>
      <c r="CD1732" s="261"/>
      <c r="CE1732" s="255"/>
      <c r="CF1732" s="261"/>
      <c r="CG1732" s="53"/>
      <c r="CH1732" s="53"/>
      <c r="CI1732" s="53"/>
      <c r="CJ1732" s="53"/>
      <c r="CK1732" s="53"/>
      <c r="CL1732" s="53"/>
      <c r="CN1732" s="53"/>
      <c r="CO1732" s="53"/>
      <c r="CP1732" s="53"/>
      <c r="CQ1732" s="53"/>
      <c r="CR1732" s="53"/>
      <c r="CS1732" s="53"/>
      <c r="CT1732" s="255"/>
      <c r="CU1732" s="261"/>
      <c r="CV1732" s="261"/>
      <c r="CW1732" s="255"/>
      <c r="CX1732" s="261"/>
      <c r="CY1732" s="255"/>
    </row>
    <row r="1733" spans="1:103" ht="10.25" customHeight="1">
      <c r="A1733" s="216"/>
      <c r="B1733" s="217"/>
      <c r="C1733" s="218"/>
      <c r="D1733" s="219"/>
      <c r="E1733" s="217"/>
      <c r="F1733" s="217"/>
      <c r="G1733" s="217"/>
      <c r="H1733" s="220"/>
      <c r="I1733" s="217"/>
      <c r="J1733" s="217"/>
      <c r="K1733" s="217"/>
      <c r="L1733" s="217"/>
      <c r="M1733" s="217"/>
      <c r="N1733" s="217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BA1733" s="5"/>
      <c r="BB1733" s="5"/>
      <c r="BC1733" s="5"/>
      <c r="BD1733" s="5"/>
      <c r="BE1733" s="63"/>
      <c r="BF1733" s="63"/>
      <c r="BG1733" s="63"/>
      <c r="CA1733" s="256"/>
      <c r="CB1733" s="261"/>
      <c r="CC1733" s="261"/>
      <c r="CD1733" s="255"/>
      <c r="CE1733" s="261"/>
      <c r="CF1733" s="261"/>
      <c r="CG1733" s="53"/>
      <c r="CH1733" s="53"/>
      <c r="CI1733" s="53"/>
      <c r="CJ1733" s="53"/>
      <c r="CK1733" s="53"/>
      <c r="CL1733" s="53"/>
      <c r="CN1733" s="53"/>
      <c r="CO1733" s="53"/>
      <c r="CP1733" s="53"/>
      <c r="CQ1733" s="53"/>
      <c r="CR1733" s="53"/>
      <c r="CS1733" s="53"/>
      <c r="CT1733" s="261"/>
      <c r="CU1733" s="261"/>
      <c r="CV1733" s="255"/>
      <c r="CW1733" s="261"/>
      <c r="CX1733" s="261"/>
      <c r="CY1733" s="255"/>
    </row>
    <row r="1734" spans="1:103" ht="10.25" customHeight="1">
      <c r="A1734" s="216"/>
      <c r="B1734" s="217"/>
      <c r="C1734" s="218"/>
      <c r="D1734" s="219"/>
      <c r="E1734" s="217"/>
      <c r="F1734" s="217"/>
      <c r="G1734" s="217"/>
      <c r="H1734" s="220"/>
      <c r="I1734" s="217"/>
      <c r="J1734" s="217"/>
      <c r="K1734" s="217"/>
      <c r="L1734" s="217"/>
      <c r="M1734" s="217"/>
      <c r="N1734" s="217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BA1734" s="5"/>
      <c r="BB1734" s="5"/>
      <c r="BC1734" s="5"/>
      <c r="BD1734" s="5"/>
      <c r="BE1734" s="63"/>
      <c r="BF1734" s="63"/>
      <c r="BG1734" s="63"/>
      <c r="CA1734" s="256"/>
      <c r="CB1734" s="261"/>
      <c r="CC1734" s="261"/>
      <c r="CD1734" s="255"/>
      <c r="CE1734" s="261"/>
      <c r="CF1734" s="261"/>
      <c r="CG1734" s="53"/>
      <c r="CH1734" s="53"/>
      <c r="CI1734" s="53"/>
      <c r="CJ1734" s="53"/>
      <c r="CK1734" s="53"/>
      <c r="CL1734" s="53"/>
      <c r="CN1734" s="53"/>
      <c r="CO1734" s="53"/>
      <c r="CP1734" s="53"/>
      <c r="CQ1734" s="53"/>
      <c r="CR1734" s="53"/>
      <c r="CS1734" s="53"/>
      <c r="CT1734" s="261"/>
      <c r="CU1734" s="261"/>
      <c r="CV1734" s="261"/>
      <c r="CW1734" s="255"/>
      <c r="CX1734" s="261"/>
      <c r="CY1734" s="255"/>
    </row>
    <row r="1735" spans="1:103" ht="10.25" customHeight="1">
      <c r="A1735" s="216"/>
      <c r="B1735" s="217"/>
      <c r="C1735" s="218"/>
      <c r="D1735" s="219"/>
      <c r="E1735" s="217"/>
      <c r="F1735" s="217"/>
      <c r="G1735" s="217"/>
      <c r="H1735" s="220"/>
      <c r="I1735" s="217"/>
      <c r="J1735" s="217"/>
      <c r="K1735" s="217"/>
      <c r="L1735" s="217"/>
      <c r="M1735" s="217"/>
      <c r="N1735" s="217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BA1735" s="5"/>
      <c r="BB1735" s="5"/>
      <c r="BC1735" s="5"/>
      <c r="BD1735" s="5"/>
      <c r="BE1735" s="63"/>
      <c r="BF1735" s="63"/>
      <c r="BG1735" s="63"/>
      <c r="CA1735" s="256"/>
      <c r="CB1735" s="261"/>
      <c r="CC1735" s="261"/>
      <c r="CD1735" s="255"/>
      <c r="CE1735" s="261"/>
      <c r="CF1735" s="261"/>
      <c r="CG1735" s="53"/>
      <c r="CH1735" s="53"/>
      <c r="CI1735" s="53"/>
      <c r="CJ1735" s="53"/>
      <c r="CK1735" s="53"/>
      <c r="CL1735" s="53"/>
      <c r="CN1735" s="53"/>
      <c r="CO1735" s="53"/>
      <c r="CP1735" s="53"/>
      <c r="CQ1735" s="53"/>
      <c r="CR1735" s="53"/>
      <c r="CS1735" s="53"/>
      <c r="CT1735" s="261"/>
      <c r="CU1735" s="261"/>
      <c r="CV1735" s="261"/>
      <c r="CW1735" s="261"/>
      <c r="CX1735" s="261"/>
      <c r="CY1735" s="255"/>
    </row>
    <row r="1736" spans="1:103" ht="10.25" customHeight="1">
      <c r="A1736" s="216"/>
      <c r="B1736" s="217"/>
      <c r="C1736" s="218"/>
      <c r="D1736" s="219"/>
      <c r="E1736" s="217"/>
      <c r="F1736" s="217"/>
      <c r="G1736" s="217"/>
      <c r="H1736" s="220"/>
      <c r="I1736" s="217"/>
      <c r="J1736" s="217"/>
      <c r="K1736" s="217"/>
      <c r="L1736" s="217"/>
      <c r="M1736" s="217"/>
      <c r="N1736" s="217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BA1736" s="5"/>
      <c r="BB1736" s="5"/>
      <c r="BC1736" s="5"/>
      <c r="BD1736" s="5"/>
      <c r="BE1736" s="63"/>
      <c r="BF1736" s="63"/>
      <c r="BG1736" s="63"/>
      <c r="CA1736" s="256"/>
      <c r="CB1736" s="261"/>
      <c r="CC1736" s="261"/>
      <c r="CD1736" s="261"/>
      <c r="CE1736" s="261"/>
      <c r="CF1736" s="261"/>
      <c r="CG1736" s="53"/>
      <c r="CH1736" s="53"/>
      <c r="CI1736" s="53"/>
      <c r="CJ1736" s="53"/>
      <c r="CK1736" s="53"/>
      <c r="CL1736" s="53"/>
      <c r="CN1736" s="53"/>
      <c r="CO1736" s="53"/>
      <c r="CP1736" s="53"/>
      <c r="CQ1736" s="53"/>
      <c r="CR1736" s="53"/>
      <c r="CS1736" s="53"/>
      <c r="CT1736" s="261"/>
      <c r="CU1736" s="261"/>
      <c r="CV1736" s="255"/>
      <c r="CW1736" s="255"/>
      <c r="CX1736" s="261"/>
      <c r="CY1736" s="255"/>
    </row>
    <row r="1737" spans="1:103" ht="10.25" customHeight="1">
      <c r="A1737" s="216"/>
      <c r="B1737" s="217"/>
      <c r="C1737" s="218"/>
      <c r="D1737" s="219"/>
      <c r="E1737" s="217"/>
      <c r="F1737" s="217"/>
      <c r="G1737" s="217"/>
      <c r="H1737" s="220"/>
      <c r="I1737" s="217"/>
      <c r="J1737" s="217"/>
      <c r="K1737" s="217"/>
      <c r="L1737" s="217"/>
      <c r="M1737" s="217"/>
      <c r="N1737" s="217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BA1737" s="5"/>
      <c r="BB1737" s="5"/>
      <c r="BC1737" s="5"/>
      <c r="BD1737" s="5"/>
      <c r="BE1737" s="63"/>
      <c r="BF1737" s="63"/>
      <c r="BG1737" s="63"/>
      <c r="CA1737" s="256"/>
      <c r="CB1737" s="261"/>
      <c r="CC1737" s="261"/>
      <c r="CD1737" s="261"/>
      <c r="CE1737" s="261"/>
      <c r="CF1737" s="261"/>
      <c r="CG1737" s="53"/>
      <c r="CH1737" s="53"/>
      <c r="CI1737" s="53"/>
      <c r="CJ1737" s="53"/>
      <c r="CK1737" s="53"/>
      <c r="CL1737" s="53"/>
      <c r="CN1737" s="53"/>
      <c r="CO1737" s="53"/>
      <c r="CP1737" s="53"/>
      <c r="CQ1737" s="53"/>
      <c r="CR1737" s="53"/>
      <c r="CS1737" s="53"/>
      <c r="CT1737" s="261"/>
      <c r="CU1737" s="261"/>
      <c r="CV1737" s="261"/>
      <c r="CW1737" s="261"/>
      <c r="CX1737" s="261"/>
      <c r="CY1737" s="255"/>
    </row>
    <row r="1738" spans="1:103" ht="10.25" customHeight="1">
      <c r="A1738" s="216"/>
      <c r="B1738" s="217"/>
      <c r="C1738" s="218"/>
      <c r="D1738" s="219"/>
      <c r="E1738" s="217"/>
      <c r="F1738" s="217"/>
      <c r="G1738" s="217"/>
      <c r="H1738" s="220"/>
      <c r="I1738" s="217"/>
      <c r="J1738" s="217"/>
      <c r="K1738" s="217"/>
      <c r="L1738" s="217"/>
      <c r="M1738" s="217"/>
      <c r="N1738" s="217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BA1738" s="5"/>
      <c r="BB1738" s="5"/>
      <c r="BC1738" s="5"/>
      <c r="BD1738" s="5"/>
      <c r="BE1738" s="63"/>
      <c r="BF1738" s="63"/>
      <c r="BG1738" s="63"/>
      <c r="CA1738" s="256"/>
      <c r="CB1738" s="261"/>
      <c r="CC1738" s="261"/>
      <c r="CD1738" s="261"/>
      <c r="CE1738" s="261"/>
      <c r="CF1738" s="261"/>
      <c r="CG1738" s="53"/>
      <c r="CH1738" s="53"/>
      <c r="CI1738" s="53"/>
      <c r="CJ1738" s="53"/>
      <c r="CK1738" s="53"/>
      <c r="CL1738" s="53"/>
      <c r="CN1738" s="53"/>
      <c r="CO1738" s="53"/>
      <c r="CP1738" s="53"/>
      <c r="CQ1738" s="53"/>
      <c r="CR1738" s="53"/>
      <c r="CS1738" s="53"/>
      <c r="CT1738" s="261"/>
      <c r="CU1738" s="261"/>
      <c r="CV1738" s="255"/>
      <c r="CW1738" s="255"/>
      <c r="CX1738" s="261"/>
      <c r="CY1738" s="255"/>
    </row>
    <row r="1739" spans="1:103" ht="10.25" customHeight="1">
      <c r="A1739" s="216"/>
      <c r="B1739" s="217"/>
      <c r="C1739" s="218"/>
      <c r="D1739" s="219"/>
      <c r="E1739" s="217"/>
      <c r="F1739" s="217"/>
      <c r="G1739" s="217"/>
      <c r="H1739" s="220"/>
      <c r="I1739" s="217"/>
      <c r="J1739" s="217"/>
      <c r="K1739" s="217"/>
      <c r="L1739" s="217"/>
      <c r="M1739" s="217"/>
      <c r="N1739" s="217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BA1739" s="5"/>
      <c r="BB1739" s="5"/>
      <c r="BC1739" s="5"/>
      <c r="BD1739" s="5"/>
      <c r="BE1739" s="63"/>
      <c r="BF1739" s="63"/>
      <c r="BG1739" s="63"/>
      <c r="CA1739" s="256"/>
      <c r="CB1739" s="261"/>
      <c r="CC1739" s="261"/>
      <c r="CD1739" s="261"/>
      <c r="CE1739" s="261"/>
      <c r="CF1739" s="261"/>
      <c r="CG1739" s="53"/>
      <c r="CH1739" s="53"/>
      <c r="CI1739" s="53"/>
      <c r="CJ1739" s="53"/>
      <c r="CK1739" s="53"/>
      <c r="CL1739" s="53"/>
      <c r="CN1739" s="53"/>
      <c r="CO1739" s="53"/>
      <c r="CP1739" s="53"/>
      <c r="CQ1739" s="53"/>
      <c r="CR1739" s="53"/>
      <c r="CS1739" s="53"/>
      <c r="CT1739" s="261"/>
      <c r="CU1739" s="261"/>
      <c r="CV1739" s="261"/>
      <c r="CW1739" s="261"/>
      <c r="CX1739" s="255"/>
      <c r="CY1739" s="255"/>
    </row>
    <row r="1740" spans="1:103" ht="10.25" customHeight="1">
      <c r="A1740" s="216"/>
      <c r="B1740" s="217"/>
      <c r="C1740" s="218"/>
      <c r="D1740" s="219"/>
      <c r="E1740" s="217"/>
      <c r="F1740" s="217"/>
      <c r="G1740" s="217"/>
      <c r="H1740" s="220"/>
      <c r="I1740" s="217"/>
      <c r="J1740" s="217"/>
      <c r="K1740" s="217"/>
      <c r="L1740" s="217"/>
      <c r="M1740" s="217"/>
      <c r="N1740" s="217"/>
      <c r="O1740" s="44"/>
      <c r="P1740" s="44"/>
      <c r="Q1740" s="44"/>
      <c r="R1740" s="44"/>
      <c r="S1740" s="44"/>
      <c r="T1740" s="44"/>
      <c r="U1740" s="44"/>
      <c r="V1740" s="44"/>
      <c r="W1740" s="44"/>
      <c r="X1740" s="44"/>
      <c r="Y1740" s="44"/>
      <c r="Z1740" s="44"/>
      <c r="AA1740" s="44"/>
      <c r="AB1740" s="44"/>
      <c r="AC1740" s="44"/>
      <c r="AD1740" s="44"/>
      <c r="AE1740" s="44"/>
      <c r="AF1740" s="44"/>
      <c r="AG1740" s="44"/>
      <c r="AH1740" s="44"/>
      <c r="AI1740" s="44"/>
      <c r="AJ1740" s="44"/>
      <c r="AK1740" s="44"/>
      <c r="AL1740" s="44"/>
      <c r="AM1740" s="44"/>
      <c r="AN1740" s="44"/>
      <c r="AO1740" s="44"/>
      <c r="AP1740" s="44"/>
      <c r="AQ1740" s="44"/>
      <c r="BA1740" s="5"/>
      <c r="BB1740" s="5"/>
      <c r="BC1740" s="5"/>
      <c r="BD1740" s="5"/>
      <c r="BE1740" s="63"/>
      <c r="BF1740" s="63"/>
      <c r="BG1740" s="63"/>
      <c r="CA1740" s="256"/>
      <c r="CB1740" s="261"/>
      <c r="CC1740" s="261"/>
      <c r="CD1740" s="261"/>
      <c r="CE1740" s="261"/>
      <c r="CF1740" s="261"/>
      <c r="CG1740" s="53"/>
      <c r="CH1740" s="53"/>
      <c r="CI1740" s="53"/>
      <c r="CJ1740" s="53"/>
      <c r="CK1740" s="53"/>
      <c r="CL1740" s="53"/>
      <c r="CN1740" s="53"/>
      <c r="CO1740" s="53"/>
      <c r="CP1740" s="53"/>
      <c r="CQ1740" s="53"/>
      <c r="CR1740" s="53"/>
      <c r="CS1740" s="53"/>
      <c r="CT1740" s="261"/>
      <c r="CU1740" s="261"/>
      <c r="CV1740" s="255"/>
      <c r="CW1740" s="255"/>
      <c r="CX1740" s="261"/>
      <c r="CY1740" s="255"/>
    </row>
    <row r="1741" spans="1:103" ht="10.25" customHeight="1">
      <c r="A1741" s="216"/>
      <c r="B1741" s="217"/>
      <c r="C1741" s="218"/>
      <c r="D1741" s="219"/>
      <c r="E1741" s="217"/>
      <c r="F1741" s="217"/>
      <c r="G1741" s="217"/>
      <c r="H1741" s="220"/>
      <c r="I1741" s="217"/>
      <c r="J1741" s="217"/>
      <c r="K1741" s="217"/>
      <c r="L1741" s="217"/>
      <c r="M1741" s="217"/>
      <c r="N1741" s="217"/>
      <c r="O1741" s="44"/>
      <c r="P1741" s="44"/>
      <c r="Q1741" s="44"/>
      <c r="R1741" s="44"/>
      <c r="S1741" s="44"/>
      <c r="T1741" s="44"/>
      <c r="U1741" s="44"/>
      <c r="V1741" s="44"/>
      <c r="W1741" s="44"/>
      <c r="X1741" s="44"/>
      <c r="Y1741" s="44"/>
      <c r="Z1741" s="44"/>
      <c r="AA1741" s="44"/>
      <c r="AB1741" s="44"/>
      <c r="AC1741" s="44"/>
      <c r="AD1741" s="44"/>
      <c r="AE1741" s="44"/>
      <c r="AF1741" s="44"/>
      <c r="AG1741" s="44"/>
      <c r="AH1741" s="44"/>
      <c r="AI1741" s="44"/>
      <c r="AJ1741" s="44"/>
      <c r="AK1741" s="44"/>
      <c r="AL1741" s="44"/>
      <c r="AM1741" s="44"/>
      <c r="AN1741" s="44"/>
      <c r="AO1741" s="44"/>
      <c r="AP1741" s="44"/>
      <c r="AQ1741" s="44"/>
      <c r="BA1741" s="5"/>
      <c r="BB1741" s="5"/>
      <c r="BC1741" s="5"/>
      <c r="BD1741" s="5"/>
      <c r="BE1741" s="63"/>
      <c r="BF1741" s="63"/>
      <c r="BG1741" s="63"/>
      <c r="CA1741" s="256"/>
      <c r="CB1741" s="261"/>
      <c r="CC1741" s="261"/>
      <c r="CD1741" s="261"/>
      <c r="CE1741" s="261"/>
      <c r="CF1741" s="261"/>
      <c r="CG1741" s="53"/>
      <c r="CH1741" s="53"/>
      <c r="CI1741" s="53"/>
      <c r="CJ1741" s="53"/>
      <c r="CK1741" s="53"/>
      <c r="CL1741" s="53"/>
      <c r="CN1741" s="53"/>
      <c r="CO1741" s="53"/>
      <c r="CP1741" s="53"/>
      <c r="CQ1741" s="53"/>
      <c r="CR1741" s="53"/>
      <c r="CS1741" s="53"/>
      <c r="CT1741" s="261"/>
      <c r="CU1741" s="261"/>
      <c r="CV1741" s="261"/>
      <c r="CW1741" s="261"/>
      <c r="CX1741" s="261"/>
      <c r="CY1741" s="255"/>
    </row>
    <row r="1742" spans="1:103" ht="10.25" customHeight="1">
      <c r="A1742" s="216"/>
      <c r="B1742" s="217"/>
      <c r="C1742" s="218"/>
      <c r="D1742" s="219"/>
      <c r="E1742" s="217"/>
      <c r="F1742" s="217"/>
      <c r="G1742" s="217"/>
      <c r="H1742" s="220"/>
      <c r="I1742" s="217"/>
      <c r="J1742" s="217"/>
      <c r="K1742" s="217"/>
      <c r="L1742" s="217"/>
      <c r="M1742" s="217"/>
      <c r="N1742" s="217"/>
      <c r="O1742" s="44"/>
      <c r="P1742" s="44"/>
      <c r="Q1742" s="44"/>
      <c r="R1742" s="44"/>
      <c r="S1742" s="44"/>
      <c r="T1742" s="44"/>
      <c r="U1742" s="44"/>
      <c r="V1742" s="44"/>
      <c r="W1742" s="44"/>
      <c r="X1742" s="44"/>
      <c r="Y1742" s="44"/>
      <c r="Z1742" s="44"/>
      <c r="AA1742" s="44"/>
      <c r="AB1742" s="44"/>
      <c r="AC1742" s="44"/>
      <c r="AD1742" s="44"/>
      <c r="AE1742" s="44"/>
      <c r="AF1742" s="44"/>
      <c r="AG1742" s="44"/>
      <c r="AH1742" s="44"/>
      <c r="AI1742" s="44"/>
      <c r="AJ1742" s="44"/>
      <c r="AK1742" s="44"/>
      <c r="AL1742" s="44"/>
      <c r="AM1742" s="44"/>
      <c r="AN1742" s="44"/>
      <c r="AO1742" s="44"/>
      <c r="AP1742" s="44"/>
      <c r="AQ1742" s="44"/>
      <c r="BA1742" s="5"/>
      <c r="BB1742" s="5"/>
      <c r="BC1742" s="5"/>
      <c r="BD1742" s="5"/>
      <c r="BE1742" s="63"/>
      <c r="BF1742" s="63"/>
      <c r="BG1742" s="63"/>
      <c r="CA1742" s="256"/>
      <c r="CB1742" s="261"/>
      <c r="CC1742" s="261"/>
      <c r="CD1742" s="261"/>
      <c r="CE1742" s="261"/>
      <c r="CF1742" s="261"/>
      <c r="CG1742" s="53"/>
      <c r="CH1742" s="53"/>
      <c r="CI1742" s="53"/>
      <c r="CJ1742" s="53"/>
      <c r="CK1742" s="53"/>
      <c r="CL1742" s="53"/>
      <c r="CN1742" s="53"/>
      <c r="CO1742" s="53"/>
      <c r="CP1742" s="53"/>
      <c r="CQ1742" s="53"/>
      <c r="CR1742" s="53"/>
      <c r="CS1742" s="53"/>
      <c r="CT1742" s="261"/>
      <c r="CU1742" s="261"/>
      <c r="CV1742" s="261"/>
      <c r="CW1742" s="255"/>
      <c r="CX1742" s="261"/>
      <c r="CY1742" s="255"/>
    </row>
    <row r="1743" spans="1:103" ht="10.25" customHeight="1">
      <c r="A1743" s="216"/>
      <c r="B1743" s="217"/>
      <c r="C1743" s="218"/>
      <c r="D1743" s="219"/>
      <c r="E1743" s="217"/>
      <c r="F1743" s="217"/>
      <c r="G1743" s="217"/>
      <c r="H1743" s="220"/>
      <c r="I1743" s="217"/>
      <c r="J1743" s="217"/>
      <c r="K1743" s="217"/>
      <c r="L1743" s="217"/>
      <c r="M1743" s="217"/>
      <c r="N1743" s="217"/>
      <c r="O1743" s="44"/>
      <c r="P1743" s="44"/>
      <c r="Q1743" s="44"/>
      <c r="R1743" s="44"/>
      <c r="S1743" s="44"/>
      <c r="T1743" s="44"/>
      <c r="U1743" s="44"/>
      <c r="V1743" s="44"/>
      <c r="W1743" s="44"/>
      <c r="X1743" s="44"/>
      <c r="Y1743" s="44"/>
      <c r="Z1743" s="44"/>
      <c r="AA1743" s="44"/>
      <c r="AB1743" s="44"/>
      <c r="AC1743" s="44"/>
      <c r="AD1743" s="44"/>
      <c r="AE1743" s="44"/>
      <c r="AF1743" s="44"/>
      <c r="AG1743" s="44"/>
      <c r="AH1743" s="44"/>
      <c r="AI1743" s="44"/>
      <c r="AJ1743" s="44"/>
      <c r="AK1743" s="44"/>
      <c r="AL1743" s="44"/>
      <c r="AM1743" s="44"/>
      <c r="AN1743" s="44"/>
      <c r="AO1743" s="44"/>
      <c r="AP1743" s="44"/>
      <c r="AQ1743" s="44"/>
      <c r="BA1743" s="5"/>
      <c r="BB1743" s="5"/>
      <c r="BC1743" s="5"/>
      <c r="BD1743" s="5"/>
      <c r="BE1743" s="63"/>
      <c r="BF1743" s="63"/>
      <c r="BG1743" s="63"/>
      <c r="CA1743" s="256"/>
      <c r="CB1743" s="261"/>
      <c r="CC1743" s="261"/>
      <c r="CD1743" s="261"/>
      <c r="CE1743" s="261"/>
      <c r="CF1743" s="261"/>
      <c r="CG1743" s="53"/>
      <c r="CH1743" s="53"/>
      <c r="CI1743" s="53"/>
      <c r="CJ1743" s="53"/>
      <c r="CK1743" s="53"/>
      <c r="CL1743" s="53"/>
      <c r="CN1743" s="53"/>
      <c r="CO1743" s="53"/>
      <c r="CP1743" s="53"/>
      <c r="CQ1743" s="53"/>
      <c r="CR1743" s="53"/>
      <c r="CS1743" s="53"/>
      <c r="CT1743" s="261"/>
      <c r="CU1743" s="261"/>
      <c r="CV1743" s="261"/>
      <c r="CW1743" s="261"/>
      <c r="CX1743" s="261"/>
      <c r="CY1743" s="255"/>
    </row>
    <row r="1744" spans="1:103" ht="10.25" customHeight="1">
      <c r="A1744" s="216"/>
      <c r="B1744" s="217"/>
      <c r="C1744" s="218"/>
      <c r="D1744" s="219"/>
      <c r="E1744" s="217"/>
      <c r="F1744" s="217"/>
      <c r="G1744" s="217"/>
      <c r="H1744" s="220"/>
      <c r="I1744" s="217"/>
      <c r="J1744" s="217"/>
      <c r="K1744" s="217"/>
      <c r="L1744" s="217"/>
      <c r="M1744" s="217"/>
      <c r="N1744" s="217"/>
      <c r="O1744" s="44"/>
      <c r="P1744" s="44"/>
      <c r="Q1744" s="44"/>
      <c r="R1744" s="44"/>
      <c r="S1744" s="44"/>
      <c r="T1744" s="44"/>
      <c r="U1744" s="44"/>
      <c r="V1744" s="44"/>
      <c r="W1744" s="44"/>
      <c r="X1744" s="44"/>
      <c r="Y1744" s="44"/>
      <c r="Z1744" s="44"/>
      <c r="AA1744" s="44"/>
      <c r="AB1744" s="44"/>
      <c r="AC1744" s="44"/>
      <c r="AD1744" s="44"/>
      <c r="AE1744" s="44"/>
      <c r="AF1744" s="44"/>
      <c r="AG1744" s="44"/>
      <c r="AH1744" s="44"/>
      <c r="AI1744" s="44"/>
      <c r="AJ1744" s="44"/>
      <c r="AK1744" s="44"/>
      <c r="AL1744" s="44"/>
      <c r="AM1744" s="44"/>
      <c r="AN1744" s="44"/>
      <c r="AO1744" s="44"/>
      <c r="AP1744" s="44"/>
      <c r="AQ1744" s="44"/>
      <c r="BA1744" s="5"/>
      <c r="BB1744" s="5"/>
      <c r="BC1744" s="5"/>
      <c r="BD1744" s="5"/>
      <c r="BE1744" s="63"/>
      <c r="BF1744" s="63"/>
      <c r="BG1744" s="63"/>
      <c r="CA1744" s="256"/>
      <c r="CB1744" s="261"/>
      <c r="CC1744" s="261"/>
      <c r="CD1744" s="261"/>
      <c r="CE1744" s="261"/>
      <c r="CF1744" s="261"/>
      <c r="CG1744" s="53"/>
      <c r="CH1744" s="53"/>
      <c r="CI1744" s="53"/>
      <c r="CJ1744" s="53"/>
      <c r="CK1744" s="53"/>
      <c r="CL1744" s="53"/>
      <c r="CN1744" s="53"/>
      <c r="CO1744" s="53"/>
      <c r="CP1744" s="53"/>
      <c r="CQ1744" s="53"/>
      <c r="CR1744" s="53"/>
      <c r="CS1744" s="53"/>
      <c r="CT1744" s="261"/>
      <c r="CU1744" s="261"/>
      <c r="CV1744" s="255"/>
      <c r="CW1744" s="255"/>
      <c r="CX1744" s="261"/>
      <c r="CY1744" s="255"/>
    </row>
    <row r="1745" spans="1:103" ht="10.25" customHeight="1">
      <c r="A1745" s="216"/>
      <c r="B1745" s="217"/>
      <c r="C1745" s="218"/>
      <c r="D1745" s="219"/>
      <c r="E1745" s="217"/>
      <c r="F1745" s="217"/>
      <c r="G1745" s="217"/>
      <c r="H1745" s="220"/>
      <c r="I1745" s="217"/>
      <c r="J1745" s="217"/>
      <c r="K1745" s="217"/>
      <c r="L1745" s="217"/>
      <c r="M1745" s="217"/>
      <c r="N1745" s="217"/>
      <c r="O1745" s="44"/>
      <c r="P1745" s="44"/>
      <c r="Q1745" s="44"/>
      <c r="R1745" s="44"/>
      <c r="S1745" s="44"/>
      <c r="T1745" s="44"/>
      <c r="U1745" s="44"/>
      <c r="V1745" s="44"/>
      <c r="W1745" s="44"/>
      <c r="X1745" s="44"/>
      <c r="Y1745" s="44"/>
      <c r="Z1745" s="44"/>
      <c r="AA1745" s="44"/>
      <c r="AB1745" s="44"/>
      <c r="AC1745" s="44"/>
      <c r="AD1745" s="44"/>
      <c r="AE1745" s="44"/>
      <c r="AF1745" s="44"/>
      <c r="AG1745" s="44"/>
      <c r="AH1745" s="44"/>
      <c r="AI1745" s="44"/>
      <c r="AJ1745" s="44"/>
      <c r="AK1745" s="44"/>
      <c r="AL1745" s="44"/>
      <c r="AM1745" s="44"/>
      <c r="AN1745" s="44"/>
      <c r="AO1745" s="44"/>
      <c r="AP1745" s="44"/>
      <c r="AQ1745" s="44"/>
      <c r="BA1745" s="5"/>
      <c r="BB1745" s="5"/>
      <c r="BC1745" s="5"/>
      <c r="BD1745" s="5"/>
      <c r="BE1745" s="63"/>
      <c r="BF1745" s="63"/>
      <c r="BG1745" s="63"/>
      <c r="CA1745" s="256"/>
      <c r="CB1745" s="261"/>
      <c r="CC1745" s="261"/>
      <c r="CD1745" s="261"/>
      <c r="CE1745" s="261"/>
      <c r="CF1745" s="261"/>
      <c r="CG1745" s="53"/>
      <c r="CH1745" s="53"/>
      <c r="CI1745" s="53"/>
      <c r="CJ1745" s="53"/>
      <c r="CK1745" s="53"/>
      <c r="CL1745" s="53"/>
      <c r="CN1745" s="53"/>
      <c r="CO1745" s="53"/>
      <c r="CP1745" s="53"/>
      <c r="CQ1745" s="53"/>
      <c r="CR1745" s="53"/>
      <c r="CS1745" s="53"/>
      <c r="CT1745" s="261"/>
      <c r="CU1745" s="261"/>
      <c r="CV1745" s="261"/>
      <c r="CW1745" s="261"/>
      <c r="CX1745" s="261"/>
      <c r="CY1745" s="255"/>
    </row>
    <row r="1746" spans="1:103" ht="10.25" customHeight="1">
      <c r="A1746" s="216"/>
      <c r="B1746" s="217"/>
      <c r="C1746" s="218"/>
      <c r="D1746" s="219"/>
      <c r="E1746" s="217"/>
      <c r="F1746" s="217"/>
      <c r="G1746" s="217"/>
      <c r="H1746" s="220"/>
      <c r="I1746" s="217"/>
      <c r="J1746" s="217"/>
      <c r="K1746" s="217"/>
      <c r="L1746" s="217"/>
      <c r="M1746" s="217"/>
      <c r="N1746" s="217"/>
      <c r="O1746" s="44"/>
      <c r="P1746" s="44"/>
      <c r="Q1746" s="44"/>
      <c r="R1746" s="44"/>
      <c r="S1746" s="44"/>
      <c r="T1746" s="44"/>
      <c r="U1746" s="44"/>
      <c r="V1746" s="44"/>
      <c r="W1746" s="44"/>
      <c r="X1746" s="44"/>
      <c r="Y1746" s="44"/>
      <c r="Z1746" s="44"/>
      <c r="AA1746" s="44"/>
      <c r="AB1746" s="44"/>
      <c r="AC1746" s="44"/>
      <c r="AD1746" s="44"/>
      <c r="AE1746" s="44"/>
      <c r="AF1746" s="44"/>
      <c r="AG1746" s="44"/>
      <c r="AH1746" s="44"/>
      <c r="AI1746" s="44"/>
      <c r="AJ1746" s="44"/>
      <c r="AK1746" s="44"/>
      <c r="AL1746" s="44"/>
      <c r="AM1746" s="44"/>
      <c r="AN1746" s="44"/>
      <c r="AO1746" s="44"/>
      <c r="AP1746" s="44"/>
      <c r="AQ1746" s="44"/>
      <c r="BA1746" s="5"/>
      <c r="BB1746" s="5"/>
      <c r="BC1746" s="5"/>
      <c r="BD1746" s="5"/>
      <c r="BE1746" s="63"/>
      <c r="BF1746" s="63"/>
      <c r="BG1746" s="63"/>
      <c r="CA1746" s="256"/>
      <c r="CB1746" s="261"/>
      <c r="CC1746" s="261"/>
      <c r="CD1746" s="261"/>
      <c r="CE1746" s="261"/>
      <c r="CF1746" s="261"/>
      <c r="CG1746" s="53"/>
      <c r="CH1746" s="53"/>
      <c r="CI1746" s="53"/>
      <c r="CJ1746" s="53"/>
      <c r="CK1746" s="53"/>
      <c r="CL1746" s="53"/>
      <c r="CN1746" s="53"/>
      <c r="CO1746" s="53"/>
      <c r="CP1746" s="53"/>
      <c r="CQ1746" s="53"/>
      <c r="CR1746" s="53"/>
      <c r="CS1746" s="53"/>
      <c r="CT1746" s="261"/>
      <c r="CU1746" s="261"/>
      <c r="CV1746" s="255"/>
      <c r="CW1746" s="255"/>
      <c r="CX1746" s="255"/>
      <c r="CY1746" s="255"/>
    </row>
    <row r="1747" spans="1:103" ht="10.25" customHeight="1">
      <c r="A1747" s="216"/>
      <c r="B1747" s="217"/>
      <c r="C1747" s="218"/>
      <c r="D1747" s="219"/>
      <c r="E1747" s="217"/>
      <c r="F1747" s="217"/>
      <c r="G1747" s="217"/>
      <c r="H1747" s="220"/>
      <c r="I1747" s="217"/>
      <c r="J1747" s="217"/>
      <c r="K1747" s="217"/>
      <c r="L1747" s="217"/>
      <c r="M1747" s="217"/>
      <c r="N1747" s="217"/>
      <c r="O1747" s="44"/>
      <c r="P1747" s="44"/>
      <c r="Q1747" s="44"/>
      <c r="R1747" s="44"/>
      <c r="S1747" s="44"/>
      <c r="T1747" s="44"/>
      <c r="U1747" s="44"/>
      <c r="V1747" s="44"/>
      <c r="W1747" s="44"/>
      <c r="X1747" s="44"/>
      <c r="Y1747" s="44"/>
      <c r="Z1747" s="44"/>
      <c r="AA1747" s="44"/>
      <c r="AB1747" s="44"/>
      <c r="AC1747" s="44"/>
      <c r="AD1747" s="44"/>
      <c r="AE1747" s="44"/>
      <c r="AF1747" s="44"/>
      <c r="AG1747" s="44"/>
      <c r="AH1747" s="44"/>
      <c r="AI1747" s="44"/>
      <c r="AJ1747" s="44"/>
      <c r="AK1747" s="44"/>
      <c r="AL1747" s="44"/>
      <c r="AM1747" s="44"/>
      <c r="AN1747" s="44"/>
      <c r="AO1747" s="44"/>
      <c r="AP1747" s="44"/>
      <c r="AQ1747" s="44"/>
      <c r="BA1747" s="5"/>
      <c r="BB1747" s="5"/>
      <c r="BC1747" s="5"/>
      <c r="BD1747" s="5"/>
      <c r="BE1747" s="63"/>
      <c r="BF1747" s="63"/>
      <c r="BG1747" s="63"/>
      <c r="CA1747" s="256"/>
      <c r="CB1747" s="261"/>
      <c r="CC1747" s="261"/>
      <c r="CD1747" s="261"/>
      <c r="CE1747" s="261"/>
      <c r="CF1747" s="261"/>
      <c r="CG1747" s="53"/>
      <c r="CH1747" s="53"/>
      <c r="CI1747" s="53"/>
      <c r="CJ1747" s="53"/>
      <c r="CK1747" s="53"/>
      <c r="CL1747" s="53"/>
      <c r="CN1747" s="53"/>
      <c r="CO1747" s="53"/>
      <c r="CP1747" s="53"/>
      <c r="CQ1747" s="53"/>
      <c r="CR1747" s="53"/>
      <c r="CS1747" s="53"/>
      <c r="CT1747" s="261"/>
      <c r="CU1747" s="261"/>
      <c r="CV1747" s="261"/>
      <c r="CW1747" s="255"/>
      <c r="CX1747" s="261"/>
      <c r="CY1747" s="255"/>
    </row>
    <row r="1748" spans="1:103" ht="10.25" customHeight="1">
      <c r="A1748" s="216"/>
      <c r="B1748" s="217"/>
      <c r="C1748" s="218"/>
      <c r="D1748" s="219"/>
      <c r="E1748" s="217"/>
      <c r="F1748" s="217"/>
      <c r="G1748" s="217"/>
      <c r="H1748" s="220"/>
      <c r="I1748" s="217"/>
      <c r="J1748" s="217"/>
      <c r="K1748" s="217"/>
      <c r="L1748" s="217"/>
      <c r="M1748" s="217"/>
      <c r="N1748" s="217"/>
      <c r="O1748" s="44"/>
      <c r="P1748" s="44"/>
      <c r="Q1748" s="44"/>
      <c r="R1748" s="44"/>
      <c r="S1748" s="44"/>
      <c r="T1748" s="44"/>
      <c r="U1748" s="44"/>
      <c r="V1748" s="44"/>
      <c r="W1748" s="44"/>
      <c r="X1748" s="44"/>
      <c r="Y1748" s="44"/>
      <c r="Z1748" s="44"/>
      <c r="AA1748" s="44"/>
      <c r="AB1748" s="44"/>
      <c r="AC1748" s="44"/>
      <c r="AD1748" s="44"/>
      <c r="AE1748" s="44"/>
      <c r="AF1748" s="44"/>
      <c r="AG1748" s="44"/>
      <c r="AH1748" s="44"/>
      <c r="AI1748" s="44"/>
      <c r="AJ1748" s="44"/>
      <c r="AK1748" s="44"/>
      <c r="AL1748" s="44"/>
      <c r="AM1748" s="44"/>
      <c r="AN1748" s="44"/>
      <c r="AO1748" s="44"/>
      <c r="AP1748" s="44"/>
      <c r="AQ1748" s="44"/>
      <c r="BA1748" s="5"/>
      <c r="BB1748" s="5"/>
      <c r="BC1748" s="5"/>
      <c r="BD1748" s="5"/>
      <c r="BE1748" s="63"/>
      <c r="BF1748" s="63"/>
      <c r="BG1748" s="63"/>
      <c r="CA1748" s="256"/>
      <c r="CB1748" s="261"/>
      <c r="CC1748" s="261"/>
      <c r="CD1748" s="261"/>
      <c r="CE1748" s="261"/>
      <c r="CF1748" s="261"/>
      <c r="CG1748" s="53"/>
      <c r="CH1748" s="53"/>
      <c r="CI1748" s="53"/>
      <c r="CJ1748" s="53"/>
      <c r="CK1748" s="53"/>
      <c r="CL1748" s="53"/>
      <c r="CN1748" s="53"/>
      <c r="CO1748" s="53"/>
      <c r="CP1748" s="53"/>
      <c r="CQ1748" s="53"/>
      <c r="CR1748" s="53"/>
      <c r="CS1748" s="53"/>
      <c r="CT1748" s="261"/>
      <c r="CU1748" s="261"/>
      <c r="CV1748" s="255"/>
      <c r="CW1748" s="255"/>
      <c r="CX1748" s="261"/>
      <c r="CY1748" s="255"/>
    </row>
    <row r="1749" spans="1:103" ht="10.25" customHeight="1">
      <c r="A1749" s="216"/>
      <c r="B1749" s="217"/>
      <c r="C1749" s="218"/>
      <c r="D1749" s="219"/>
      <c r="E1749" s="217"/>
      <c r="F1749" s="217"/>
      <c r="G1749" s="217"/>
      <c r="H1749" s="220"/>
      <c r="I1749" s="217"/>
      <c r="J1749" s="217"/>
      <c r="K1749" s="217"/>
      <c r="L1749" s="217"/>
      <c r="M1749" s="217"/>
      <c r="N1749" s="217"/>
      <c r="O1749" s="44"/>
      <c r="P1749" s="44"/>
      <c r="Q1749" s="44"/>
      <c r="R1749" s="44"/>
      <c r="S1749" s="44"/>
      <c r="T1749" s="44"/>
      <c r="U1749" s="44"/>
      <c r="V1749" s="44"/>
      <c r="W1749" s="44"/>
      <c r="X1749" s="44"/>
      <c r="Y1749" s="44"/>
      <c r="Z1749" s="44"/>
      <c r="AA1749" s="44"/>
      <c r="AB1749" s="44"/>
      <c r="AC1749" s="44"/>
      <c r="AD1749" s="44"/>
      <c r="AE1749" s="44"/>
      <c r="AF1749" s="44"/>
      <c r="AG1749" s="44"/>
      <c r="AH1749" s="44"/>
      <c r="AI1749" s="44"/>
      <c r="AJ1749" s="44"/>
      <c r="AK1749" s="44"/>
      <c r="AL1749" s="44"/>
      <c r="AM1749" s="44"/>
      <c r="AN1749" s="44"/>
      <c r="AO1749" s="44"/>
      <c r="AP1749" s="44"/>
      <c r="AQ1749" s="44"/>
      <c r="BA1749" s="5"/>
      <c r="BB1749" s="5"/>
      <c r="BC1749" s="5"/>
      <c r="BD1749" s="5"/>
      <c r="BE1749" s="63"/>
      <c r="BF1749" s="63"/>
      <c r="BG1749" s="63"/>
      <c r="CA1749" s="256"/>
      <c r="CB1749" s="261"/>
      <c r="CC1749" s="261"/>
      <c r="CD1749" s="261"/>
      <c r="CE1749" s="261"/>
      <c r="CF1749" s="261"/>
      <c r="CG1749" s="53"/>
      <c r="CH1749" s="53"/>
      <c r="CI1749" s="53"/>
      <c r="CJ1749" s="53"/>
      <c r="CK1749" s="53"/>
      <c r="CL1749" s="53"/>
      <c r="CN1749" s="53"/>
      <c r="CO1749" s="53"/>
      <c r="CP1749" s="53"/>
      <c r="CQ1749" s="53"/>
      <c r="CR1749" s="53"/>
      <c r="CS1749" s="53"/>
      <c r="CT1749" s="261"/>
      <c r="CU1749" s="261"/>
      <c r="CV1749" s="261"/>
      <c r="CW1749" s="261"/>
      <c r="CX1749" s="261"/>
      <c r="CY1749" s="255"/>
    </row>
    <row r="1750" spans="1:103" ht="10.25" customHeight="1">
      <c r="A1750" s="216"/>
      <c r="B1750" s="217"/>
      <c r="C1750" s="218"/>
      <c r="D1750" s="219"/>
      <c r="E1750" s="217"/>
      <c r="F1750" s="217"/>
      <c r="G1750" s="217"/>
      <c r="H1750" s="220"/>
      <c r="I1750" s="217"/>
      <c r="J1750" s="217"/>
      <c r="K1750" s="217"/>
      <c r="L1750" s="217"/>
      <c r="M1750" s="217"/>
      <c r="N1750" s="217"/>
      <c r="O1750" s="44"/>
      <c r="P1750" s="44"/>
      <c r="Q1750" s="44"/>
      <c r="R1750" s="44"/>
      <c r="S1750" s="44"/>
      <c r="T1750" s="44"/>
      <c r="U1750" s="44"/>
      <c r="V1750" s="44"/>
      <c r="W1750" s="44"/>
      <c r="X1750" s="44"/>
      <c r="Y1750" s="44"/>
      <c r="Z1750" s="44"/>
      <c r="AA1750" s="44"/>
      <c r="AB1750" s="44"/>
      <c r="AC1750" s="44"/>
      <c r="AD1750" s="44"/>
      <c r="AE1750" s="44"/>
      <c r="AF1750" s="44"/>
      <c r="AG1750" s="44"/>
      <c r="AH1750" s="44"/>
      <c r="AI1750" s="44"/>
      <c r="AJ1750" s="44"/>
      <c r="AK1750" s="44"/>
      <c r="AL1750" s="44"/>
      <c r="AM1750" s="44"/>
      <c r="AN1750" s="44"/>
      <c r="AO1750" s="44"/>
      <c r="AP1750" s="44"/>
      <c r="AQ1750" s="44"/>
      <c r="BA1750" s="5"/>
      <c r="BB1750" s="5"/>
      <c r="BC1750" s="5"/>
      <c r="BD1750" s="5"/>
      <c r="BE1750" s="63"/>
      <c r="BF1750" s="63"/>
      <c r="BG1750" s="63"/>
      <c r="CA1750" s="256"/>
      <c r="CB1750" s="261"/>
      <c r="CC1750" s="261"/>
      <c r="CD1750" s="261"/>
      <c r="CE1750" s="261"/>
      <c r="CF1750" s="261"/>
      <c r="CG1750" s="53"/>
      <c r="CH1750" s="53"/>
      <c r="CI1750" s="53"/>
      <c r="CJ1750" s="53"/>
      <c r="CK1750" s="53"/>
      <c r="CL1750" s="53"/>
      <c r="CN1750" s="53"/>
      <c r="CO1750" s="53"/>
      <c r="CP1750" s="53"/>
      <c r="CQ1750" s="53"/>
      <c r="CR1750" s="53"/>
      <c r="CS1750" s="53"/>
      <c r="CT1750" s="261"/>
      <c r="CU1750" s="261"/>
      <c r="CV1750" s="255"/>
      <c r="CW1750" s="255"/>
      <c r="CX1750" s="261"/>
      <c r="CY1750" s="255"/>
    </row>
    <row r="1751" spans="1:103" ht="10.25" customHeight="1">
      <c r="A1751" s="216"/>
      <c r="B1751" s="217"/>
      <c r="C1751" s="218"/>
      <c r="D1751" s="219"/>
      <c r="E1751" s="217"/>
      <c r="F1751" s="217"/>
      <c r="G1751" s="217"/>
      <c r="H1751" s="220"/>
      <c r="I1751" s="217"/>
      <c r="J1751" s="217"/>
      <c r="K1751" s="217"/>
      <c r="L1751" s="217"/>
      <c r="M1751" s="217"/>
      <c r="N1751" s="217"/>
      <c r="O1751" s="44"/>
      <c r="P1751" s="44"/>
      <c r="Q1751" s="44"/>
      <c r="R1751" s="44"/>
      <c r="S1751" s="44"/>
      <c r="T1751" s="44"/>
      <c r="U1751" s="44"/>
      <c r="V1751" s="44"/>
      <c r="W1751" s="44"/>
      <c r="X1751" s="44"/>
      <c r="Y1751" s="44"/>
      <c r="Z1751" s="44"/>
      <c r="AA1751" s="44"/>
      <c r="AB1751" s="44"/>
      <c r="AC1751" s="44"/>
      <c r="AD1751" s="44"/>
      <c r="AE1751" s="44"/>
      <c r="AF1751" s="44"/>
      <c r="AG1751" s="44"/>
      <c r="AH1751" s="44"/>
      <c r="AI1751" s="44"/>
      <c r="AJ1751" s="44"/>
      <c r="AK1751" s="44"/>
      <c r="AL1751" s="44"/>
      <c r="AM1751" s="44"/>
      <c r="AN1751" s="44"/>
      <c r="AO1751" s="44"/>
      <c r="AP1751" s="44"/>
      <c r="AQ1751" s="44"/>
      <c r="BA1751" s="5"/>
      <c r="BB1751" s="5"/>
      <c r="BC1751" s="5"/>
      <c r="BD1751" s="5"/>
      <c r="BE1751" s="63"/>
      <c r="BF1751" s="63"/>
      <c r="BG1751" s="63"/>
      <c r="CA1751" s="256"/>
      <c r="CB1751" s="261"/>
      <c r="CC1751" s="261"/>
      <c r="CD1751" s="261"/>
      <c r="CE1751" s="261"/>
      <c r="CF1751" s="255"/>
      <c r="CG1751" s="53"/>
      <c r="CH1751" s="53"/>
      <c r="CI1751" s="53"/>
      <c r="CJ1751" s="53"/>
      <c r="CK1751" s="53"/>
      <c r="CL1751" s="53"/>
      <c r="CN1751" s="53"/>
      <c r="CO1751" s="53"/>
      <c r="CP1751" s="53"/>
      <c r="CQ1751" s="53"/>
      <c r="CR1751" s="53"/>
      <c r="CS1751" s="53"/>
      <c r="CT1751" s="261"/>
      <c r="CU1751" s="255"/>
      <c r="CV1751" s="261"/>
      <c r="CW1751" s="261"/>
      <c r="CX1751" s="261"/>
      <c r="CY1751" s="255"/>
    </row>
    <row r="1752" spans="1:103" ht="10.25" customHeight="1">
      <c r="A1752" s="216"/>
      <c r="B1752" s="217"/>
      <c r="C1752" s="218"/>
      <c r="D1752" s="219"/>
      <c r="E1752" s="217"/>
      <c r="F1752" s="217"/>
      <c r="G1752" s="217"/>
      <c r="H1752" s="220"/>
      <c r="I1752" s="217"/>
      <c r="J1752" s="217"/>
      <c r="K1752" s="217"/>
      <c r="L1752" s="217"/>
      <c r="M1752" s="217"/>
      <c r="N1752" s="217"/>
      <c r="O1752" s="44"/>
      <c r="P1752" s="44"/>
      <c r="Q1752" s="44"/>
      <c r="R1752" s="44"/>
      <c r="S1752" s="44"/>
      <c r="T1752" s="44"/>
      <c r="U1752" s="44"/>
      <c r="V1752" s="44"/>
      <c r="W1752" s="44"/>
      <c r="X1752" s="44"/>
      <c r="Y1752" s="44"/>
      <c r="Z1752" s="44"/>
      <c r="AA1752" s="44"/>
      <c r="AB1752" s="44"/>
      <c r="AC1752" s="44"/>
      <c r="AD1752" s="44"/>
      <c r="AE1752" s="44"/>
      <c r="AF1752" s="44"/>
      <c r="AG1752" s="44"/>
      <c r="AH1752" s="44"/>
      <c r="AI1752" s="44"/>
      <c r="AJ1752" s="44"/>
      <c r="AK1752" s="44"/>
      <c r="AL1752" s="44"/>
      <c r="AM1752" s="44"/>
      <c r="AN1752" s="44"/>
      <c r="AO1752" s="44"/>
      <c r="AP1752" s="44"/>
      <c r="AQ1752" s="44"/>
      <c r="BA1752" s="5"/>
      <c r="BB1752" s="5"/>
      <c r="BC1752" s="5"/>
      <c r="BD1752" s="5"/>
      <c r="BE1752" s="63"/>
      <c r="BF1752" s="63"/>
      <c r="BG1752" s="63"/>
      <c r="CA1752" s="256"/>
      <c r="CB1752" s="261"/>
      <c r="CC1752" s="261"/>
      <c r="CD1752" s="261"/>
      <c r="CE1752" s="261"/>
      <c r="CF1752" s="255"/>
      <c r="CG1752" s="53"/>
      <c r="CH1752" s="53"/>
      <c r="CI1752" s="53"/>
      <c r="CJ1752" s="53"/>
      <c r="CK1752" s="53"/>
      <c r="CL1752" s="53"/>
      <c r="CN1752" s="53"/>
      <c r="CO1752" s="53"/>
      <c r="CP1752" s="53"/>
      <c r="CQ1752" s="53"/>
      <c r="CR1752" s="53"/>
      <c r="CS1752" s="53"/>
      <c r="CT1752" s="261"/>
      <c r="CU1752" s="255"/>
      <c r="CV1752" s="255"/>
      <c r="CW1752" s="255"/>
      <c r="CX1752" s="261"/>
      <c r="CY1752" s="255"/>
    </row>
    <row r="1753" spans="1:103" ht="10.25" customHeight="1">
      <c r="A1753" s="216"/>
      <c r="B1753" s="217"/>
      <c r="C1753" s="218"/>
      <c r="D1753" s="219"/>
      <c r="E1753" s="217"/>
      <c r="F1753" s="217"/>
      <c r="G1753" s="217"/>
      <c r="H1753" s="220"/>
      <c r="I1753" s="217"/>
      <c r="J1753" s="217"/>
      <c r="K1753" s="217"/>
      <c r="L1753" s="217"/>
      <c r="M1753" s="217"/>
      <c r="N1753" s="217"/>
      <c r="O1753" s="44"/>
      <c r="P1753" s="44"/>
      <c r="Q1753" s="44"/>
      <c r="R1753" s="44"/>
      <c r="S1753" s="44"/>
      <c r="T1753" s="44"/>
      <c r="U1753" s="44"/>
      <c r="V1753" s="44"/>
      <c r="W1753" s="44"/>
      <c r="X1753" s="44"/>
      <c r="Y1753" s="44"/>
      <c r="Z1753" s="44"/>
      <c r="AA1753" s="44"/>
      <c r="AB1753" s="44"/>
      <c r="AC1753" s="44"/>
      <c r="AD1753" s="44"/>
      <c r="AE1753" s="44"/>
      <c r="AF1753" s="44"/>
      <c r="AG1753" s="44"/>
      <c r="AH1753" s="44"/>
      <c r="AI1753" s="44"/>
      <c r="AJ1753" s="44"/>
      <c r="AK1753" s="44"/>
      <c r="AL1753" s="44"/>
      <c r="AM1753" s="44"/>
      <c r="AN1753" s="44"/>
      <c r="AO1753" s="44"/>
      <c r="AP1753" s="44"/>
      <c r="AQ1753" s="44"/>
      <c r="BA1753" s="5"/>
      <c r="BB1753" s="5"/>
      <c r="BC1753" s="5"/>
      <c r="BD1753" s="5"/>
      <c r="BE1753" s="63"/>
      <c r="BF1753" s="63"/>
      <c r="BG1753" s="63"/>
      <c r="CA1753" s="256"/>
      <c r="CB1753" s="261"/>
      <c r="CC1753" s="261"/>
      <c r="CD1753" s="261"/>
      <c r="CE1753" s="255"/>
      <c r="CF1753" s="261"/>
      <c r="CG1753" s="53"/>
      <c r="CH1753" s="53"/>
      <c r="CI1753" s="53"/>
      <c r="CJ1753" s="53"/>
      <c r="CK1753" s="53"/>
      <c r="CL1753" s="53"/>
      <c r="CN1753" s="53"/>
      <c r="CO1753" s="53"/>
      <c r="CP1753" s="53"/>
      <c r="CQ1753" s="53"/>
      <c r="CR1753" s="53"/>
      <c r="CS1753" s="53"/>
      <c r="CT1753" s="255"/>
      <c r="CU1753" s="261"/>
      <c r="CV1753" s="261"/>
      <c r="CW1753" s="261"/>
      <c r="CX1753" s="261"/>
      <c r="CY1753" s="255"/>
    </row>
    <row r="1754" spans="1:103" ht="10.25" customHeight="1">
      <c r="A1754" s="216"/>
      <c r="B1754" s="217"/>
      <c r="C1754" s="218"/>
      <c r="D1754" s="219"/>
      <c r="E1754" s="217"/>
      <c r="F1754" s="217"/>
      <c r="G1754" s="217"/>
      <c r="H1754" s="220"/>
      <c r="I1754" s="217"/>
      <c r="J1754" s="217"/>
      <c r="K1754" s="217"/>
      <c r="L1754" s="217"/>
      <c r="M1754" s="217"/>
      <c r="N1754" s="217"/>
      <c r="O1754" s="44"/>
      <c r="P1754" s="44"/>
      <c r="Q1754" s="44"/>
      <c r="R1754" s="44"/>
      <c r="S1754" s="44"/>
      <c r="T1754" s="44"/>
      <c r="U1754" s="44"/>
      <c r="V1754" s="44"/>
      <c r="W1754" s="44"/>
      <c r="X1754" s="44"/>
      <c r="Y1754" s="44"/>
      <c r="Z1754" s="44"/>
      <c r="AA1754" s="44"/>
      <c r="AB1754" s="44"/>
      <c r="AC1754" s="44"/>
      <c r="AD1754" s="44"/>
      <c r="AE1754" s="44"/>
      <c r="AF1754" s="44"/>
      <c r="AG1754" s="44"/>
      <c r="AH1754" s="44"/>
      <c r="AI1754" s="44"/>
      <c r="AJ1754" s="44"/>
      <c r="AK1754" s="44"/>
      <c r="AL1754" s="44"/>
      <c r="AM1754" s="44"/>
      <c r="AN1754" s="44"/>
      <c r="AO1754" s="44"/>
      <c r="AP1754" s="44"/>
      <c r="AQ1754" s="44"/>
      <c r="BA1754" s="5"/>
      <c r="BB1754" s="5"/>
      <c r="BC1754" s="5"/>
      <c r="BD1754" s="5"/>
      <c r="BE1754" s="63"/>
      <c r="BF1754" s="63"/>
      <c r="BG1754" s="63"/>
      <c r="CA1754" s="256"/>
      <c r="CB1754" s="261"/>
      <c r="CC1754" s="261"/>
      <c r="CD1754" s="261"/>
      <c r="CE1754" s="255"/>
      <c r="CF1754" s="261"/>
      <c r="CG1754" s="53"/>
      <c r="CH1754" s="53"/>
      <c r="CI1754" s="53"/>
      <c r="CJ1754" s="53"/>
      <c r="CK1754" s="53"/>
      <c r="CL1754" s="53"/>
      <c r="CN1754" s="53"/>
      <c r="CO1754" s="53"/>
      <c r="CP1754" s="53"/>
      <c r="CQ1754" s="53"/>
      <c r="CR1754" s="53"/>
      <c r="CS1754" s="53"/>
      <c r="CT1754" s="255"/>
      <c r="CU1754" s="261"/>
      <c r="CV1754" s="255"/>
      <c r="CW1754" s="255"/>
      <c r="CX1754" s="261"/>
      <c r="CY1754" s="255"/>
    </row>
    <row r="1755" spans="1:103" ht="10.25" customHeight="1">
      <c r="A1755" s="216"/>
      <c r="B1755" s="217"/>
      <c r="C1755" s="218"/>
      <c r="D1755" s="219"/>
      <c r="E1755" s="217"/>
      <c r="F1755" s="217"/>
      <c r="G1755" s="217"/>
      <c r="H1755" s="220"/>
      <c r="I1755" s="217"/>
      <c r="J1755" s="217"/>
      <c r="K1755" s="217"/>
      <c r="L1755" s="217"/>
      <c r="M1755" s="217"/>
      <c r="N1755" s="217"/>
      <c r="O1755" s="44"/>
      <c r="P1755" s="44"/>
      <c r="Q1755" s="44"/>
      <c r="R1755" s="44"/>
      <c r="S1755" s="44"/>
      <c r="T1755" s="44"/>
      <c r="U1755" s="44"/>
      <c r="V1755" s="44"/>
      <c r="W1755" s="44"/>
      <c r="X1755" s="44"/>
      <c r="Y1755" s="44"/>
      <c r="Z1755" s="44"/>
      <c r="AA1755" s="44"/>
      <c r="AB1755" s="44"/>
      <c r="AC1755" s="44"/>
      <c r="AD1755" s="44"/>
      <c r="AE1755" s="44"/>
      <c r="AF1755" s="44"/>
      <c r="AG1755" s="44"/>
      <c r="AH1755" s="44"/>
      <c r="AI1755" s="44"/>
      <c r="AJ1755" s="44"/>
      <c r="AK1755" s="44"/>
      <c r="AL1755" s="44"/>
      <c r="AM1755" s="44"/>
      <c r="AN1755" s="44"/>
      <c r="AO1755" s="44"/>
      <c r="AP1755" s="44"/>
      <c r="AQ1755" s="44"/>
      <c r="BA1755" s="5"/>
      <c r="BB1755" s="5"/>
      <c r="BC1755" s="5"/>
      <c r="BD1755" s="5"/>
      <c r="BE1755" s="63"/>
      <c r="BF1755" s="63"/>
      <c r="BG1755" s="63"/>
      <c r="CA1755" s="256"/>
      <c r="CB1755" s="261"/>
      <c r="CC1755" s="261"/>
      <c r="CD1755" s="261"/>
      <c r="CE1755" s="261"/>
      <c r="CF1755" s="261"/>
      <c r="CG1755" s="53"/>
      <c r="CH1755" s="53"/>
      <c r="CI1755" s="53"/>
      <c r="CJ1755" s="53"/>
      <c r="CK1755" s="53"/>
      <c r="CL1755" s="53"/>
      <c r="CN1755" s="53"/>
      <c r="CO1755" s="53"/>
      <c r="CP1755" s="53"/>
      <c r="CQ1755" s="53"/>
      <c r="CR1755" s="53"/>
      <c r="CS1755" s="53"/>
      <c r="CT1755" s="261"/>
      <c r="CU1755" s="261"/>
      <c r="CV1755" s="261"/>
      <c r="CW1755" s="261"/>
      <c r="CX1755" s="255"/>
      <c r="CY1755" s="255"/>
    </row>
    <row r="1756" spans="1:103" ht="10.25" customHeight="1">
      <c r="A1756" s="216"/>
      <c r="B1756" s="217"/>
      <c r="C1756" s="218"/>
      <c r="D1756" s="219"/>
      <c r="E1756" s="217"/>
      <c r="F1756" s="217"/>
      <c r="G1756" s="217"/>
      <c r="H1756" s="220"/>
      <c r="I1756" s="217"/>
      <c r="J1756" s="217"/>
      <c r="K1756" s="217"/>
      <c r="L1756" s="217"/>
      <c r="M1756" s="217"/>
      <c r="N1756" s="217"/>
      <c r="O1756" s="44"/>
      <c r="P1756" s="44"/>
      <c r="Q1756" s="44"/>
      <c r="R1756" s="44"/>
      <c r="S1756" s="44"/>
      <c r="T1756" s="44"/>
      <c r="U1756" s="44"/>
      <c r="V1756" s="44"/>
      <c r="W1756" s="44"/>
      <c r="X1756" s="44"/>
      <c r="Y1756" s="44"/>
      <c r="Z1756" s="44"/>
      <c r="AA1756" s="44"/>
      <c r="AB1756" s="44"/>
      <c r="AC1756" s="44"/>
      <c r="AD1756" s="44"/>
      <c r="AE1756" s="44"/>
      <c r="AF1756" s="44"/>
      <c r="AG1756" s="44"/>
      <c r="AH1756" s="44"/>
      <c r="AI1756" s="44"/>
      <c r="AJ1756" s="44"/>
      <c r="AK1756" s="44"/>
      <c r="AL1756" s="44"/>
      <c r="AM1756" s="44"/>
      <c r="AN1756" s="44"/>
      <c r="AO1756" s="44"/>
      <c r="AP1756" s="44"/>
      <c r="AQ1756" s="44"/>
      <c r="BA1756" s="5"/>
      <c r="BB1756" s="5"/>
      <c r="BC1756" s="5"/>
      <c r="BD1756" s="5"/>
      <c r="BE1756" s="63"/>
      <c r="BF1756" s="63"/>
      <c r="BG1756" s="63"/>
      <c r="CA1756" s="256"/>
      <c r="CB1756" s="261"/>
      <c r="CC1756" s="261"/>
      <c r="CD1756" s="261"/>
      <c r="CE1756" s="261"/>
      <c r="CF1756" s="261"/>
      <c r="CG1756" s="53"/>
      <c r="CH1756" s="53"/>
      <c r="CI1756" s="53"/>
      <c r="CJ1756" s="53"/>
      <c r="CK1756" s="53"/>
      <c r="CL1756" s="53"/>
      <c r="CN1756" s="53"/>
      <c r="CO1756" s="53"/>
      <c r="CP1756" s="53"/>
      <c r="CQ1756" s="53"/>
      <c r="CR1756" s="53"/>
      <c r="CS1756" s="53"/>
      <c r="CT1756" s="261"/>
      <c r="CU1756" s="261"/>
      <c r="CV1756" s="255"/>
      <c r="CW1756" s="255"/>
      <c r="CX1756" s="261"/>
      <c r="CY1756" s="255"/>
    </row>
    <row r="1757" spans="1:103" ht="10.25" customHeight="1">
      <c r="A1757" s="216"/>
      <c r="B1757" s="217"/>
      <c r="C1757" s="218"/>
      <c r="D1757" s="219"/>
      <c r="E1757" s="217"/>
      <c r="F1757" s="217"/>
      <c r="G1757" s="217"/>
      <c r="H1757" s="220"/>
      <c r="I1757" s="217"/>
      <c r="J1757" s="217"/>
      <c r="K1757" s="217"/>
      <c r="L1757" s="217"/>
      <c r="M1757" s="217"/>
      <c r="N1757" s="217"/>
      <c r="O1757" s="44"/>
      <c r="P1757" s="44"/>
      <c r="Q1757" s="44"/>
      <c r="R1757" s="44"/>
      <c r="S1757" s="44"/>
      <c r="T1757" s="44"/>
      <c r="U1757" s="44"/>
      <c r="V1757" s="44"/>
      <c r="W1757" s="44"/>
      <c r="X1757" s="44"/>
      <c r="Y1757" s="44"/>
      <c r="Z1757" s="44"/>
      <c r="AA1757" s="44"/>
      <c r="AB1757" s="44"/>
      <c r="AC1757" s="44"/>
      <c r="AD1757" s="44"/>
      <c r="AE1757" s="44"/>
      <c r="AF1757" s="44"/>
      <c r="AG1757" s="44"/>
      <c r="AH1757" s="44"/>
      <c r="AI1757" s="44"/>
      <c r="AJ1757" s="44"/>
      <c r="AK1757" s="44"/>
      <c r="AL1757" s="44"/>
      <c r="AM1757" s="44"/>
      <c r="AN1757" s="44"/>
      <c r="AO1757" s="44"/>
      <c r="AP1757" s="44"/>
      <c r="AQ1757" s="44"/>
      <c r="BA1757" s="5"/>
      <c r="BB1757" s="5"/>
      <c r="BC1757" s="5"/>
      <c r="BD1757" s="5"/>
      <c r="BE1757" s="63"/>
      <c r="BF1757" s="63"/>
      <c r="BG1757" s="63"/>
      <c r="CA1757" s="256"/>
      <c r="CB1757" s="261"/>
      <c r="CC1757" s="261"/>
      <c r="CD1757" s="261"/>
      <c r="CE1757" s="261"/>
      <c r="CF1757" s="261"/>
      <c r="CG1757" s="53"/>
      <c r="CH1757" s="53"/>
      <c r="CI1757" s="53"/>
      <c r="CJ1757" s="53"/>
      <c r="CK1757" s="53"/>
      <c r="CL1757" s="53"/>
      <c r="CN1757" s="53"/>
      <c r="CO1757" s="53"/>
      <c r="CP1757" s="53"/>
      <c r="CQ1757" s="53"/>
      <c r="CR1757" s="53"/>
      <c r="CS1757" s="53"/>
      <c r="CT1757" s="261"/>
      <c r="CU1757" s="261"/>
      <c r="CV1757" s="261"/>
      <c r="CW1757" s="255"/>
      <c r="CX1757" s="261"/>
      <c r="CY1757" s="255"/>
    </row>
    <row r="1758" spans="1:103" ht="10.25" customHeight="1">
      <c r="A1758" s="216"/>
      <c r="B1758" s="217"/>
      <c r="C1758" s="218"/>
      <c r="D1758" s="219"/>
      <c r="E1758" s="217"/>
      <c r="F1758" s="217"/>
      <c r="G1758" s="217"/>
      <c r="H1758" s="220"/>
      <c r="I1758" s="217"/>
      <c r="J1758" s="217"/>
      <c r="K1758" s="217"/>
      <c r="L1758" s="217"/>
      <c r="M1758" s="217"/>
      <c r="N1758" s="217"/>
      <c r="O1758" s="44"/>
      <c r="P1758" s="44"/>
      <c r="Q1758" s="44"/>
      <c r="R1758" s="44"/>
      <c r="S1758" s="44"/>
      <c r="T1758" s="44"/>
      <c r="U1758" s="44"/>
      <c r="V1758" s="44"/>
      <c r="W1758" s="44"/>
      <c r="X1758" s="44"/>
      <c r="Y1758" s="44"/>
      <c r="Z1758" s="44"/>
      <c r="AA1758" s="44"/>
      <c r="AB1758" s="44"/>
      <c r="AC1758" s="44"/>
      <c r="AD1758" s="44"/>
      <c r="AE1758" s="44"/>
      <c r="AF1758" s="44"/>
      <c r="AG1758" s="44"/>
      <c r="AH1758" s="44"/>
      <c r="AI1758" s="44"/>
      <c r="AJ1758" s="44"/>
      <c r="AK1758" s="44"/>
      <c r="AL1758" s="44"/>
      <c r="AM1758" s="44"/>
      <c r="AN1758" s="44"/>
      <c r="AO1758" s="44"/>
      <c r="AP1758" s="44"/>
      <c r="AQ1758" s="44"/>
      <c r="BA1758" s="5"/>
      <c r="BB1758" s="5"/>
      <c r="BC1758" s="5"/>
      <c r="BD1758" s="5"/>
      <c r="BE1758" s="63"/>
      <c r="BF1758" s="63"/>
      <c r="BG1758" s="63"/>
      <c r="CA1758" s="256"/>
      <c r="CB1758" s="261"/>
      <c r="CC1758" s="261"/>
      <c r="CD1758" s="261"/>
      <c r="CE1758" s="261"/>
      <c r="CF1758" s="261"/>
      <c r="CG1758" s="53"/>
      <c r="CH1758" s="53"/>
      <c r="CI1758" s="53"/>
      <c r="CJ1758" s="53"/>
      <c r="CK1758" s="53"/>
      <c r="CL1758" s="53"/>
      <c r="CN1758" s="53"/>
      <c r="CO1758" s="53"/>
      <c r="CP1758" s="53"/>
      <c r="CQ1758" s="53"/>
      <c r="CR1758" s="53"/>
      <c r="CS1758" s="53"/>
      <c r="CT1758" s="261"/>
      <c r="CU1758" s="261"/>
      <c r="CV1758" s="255"/>
      <c r="CW1758" s="255"/>
      <c r="CX1758" s="261"/>
      <c r="CY1758" s="255"/>
    </row>
    <row r="1759" spans="1:103" ht="10.25" customHeight="1">
      <c r="A1759" s="216"/>
      <c r="B1759" s="217"/>
      <c r="C1759" s="218"/>
      <c r="D1759" s="219"/>
      <c r="E1759" s="217"/>
      <c r="F1759" s="217"/>
      <c r="G1759" s="217"/>
      <c r="H1759" s="220"/>
      <c r="I1759" s="217"/>
      <c r="J1759" s="217"/>
      <c r="K1759" s="217"/>
      <c r="L1759" s="217"/>
      <c r="M1759" s="217"/>
      <c r="N1759" s="217"/>
      <c r="O1759" s="44"/>
      <c r="P1759" s="44"/>
      <c r="Q1759" s="44"/>
      <c r="R1759" s="44"/>
      <c r="S1759" s="44"/>
      <c r="T1759" s="44"/>
      <c r="U1759" s="44"/>
      <c r="V1759" s="44"/>
      <c r="W1759" s="44"/>
      <c r="X1759" s="44"/>
      <c r="Y1759" s="44"/>
      <c r="Z1759" s="44"/>
      <c r="AA1759" s="44"/>
      <c r="AB1759" s="44"/>
      <c r="AC1759" s="44"/>
      <c r="AD1759" s="44"/>
      <c r="AE1759" s="44"/>
      <c r="AF1759" s="44"/>
      <c r="AG1759" s="44"/>
      <c r="AH1759" s="44"/>
      <c r="AI1759" s="44"/>
      <c r="AJ1759" s="44"/>
      <c r="AK1759" s="44"/>
      <c r="AL1759" s="44"/>
      <c r="AM1759" s="44"/>
      <c r="AN1759" s="44"/>
      <c r="AO1759" s="44"/>
      <c r="AP1759" s="44"/>
      <c r="AQ1759" s="44"/>
      <c r="BA1759" s="5"/>
      <c r="BB1759" s="5"/>
      <c r="BC1759" s="5"/>
      <c r="BD1759" s="5"/>
      <c r="BE1759" s="63"/>
      <c r="BF1759" s="63"/>
      <c r="BG1759" s="63"/>
      <c r="CA1759" s="256"/>
      <c r="CB1759" s="261"/>
      <c r="CC1759" s="261"/>
      <c r="CD1759" s="261"/>
      <c r="CE1759" s="261"/>
      <c r="CF1759" s="261"/>
      <c r="CG1759" s="53"/>
      <c r="CH1759" s="53"/>
      <c r="CI1759" s="53"/>
      <c r="CJ1759" s="53"/>
      <c r="CK1759" s="53"/>
      <c r="CL1759" s="53"/>
      <c r="CN1759" s="53"/>
      <c r="CO1759" s="53"/>
      <c r="CP1759" s="53"/>
      <c r="CQ1759" s="53"/>
      <c r="CR1759" s="53"/>
      <c r="CS1759" s="53"/>
      <c r="CT1759" s="261"/>
      <c r="CU1759" s="261"/>
      <c r="CV1759" s="261"/>
      <c r="CW1759" s="261"/>
      <c r="CX1759" s="261"/>
      <c r="CY1759" s="255"/>
    </row>
    <row r="1760" spans="1:103" ht="10.25" customHeight="1">
      <c r="A1760" s="216"/>
      <c r="B1760" s="217"/>
      <c r="C1760" s="218"/>
      <c r="D1760" s="219"/>
      <c r="E1760" s="217"/>
      <c r="F1760" s="217"/>
      <c r="G1760" s="217"/>
      <c r="H1760" s="220"/>
      <c r="I1760" s="217"/>
      <c r="J1760" s="217"/>
      <c r="K1760" s="217"/>
      <c r="L1760" s="217"/>
      <c r="M1760" s="217"/>
      <c r="N1760" s="217"/>
      <c r="O1760" s="44"/>
      <c r="P1760" s="44"/>
      <c r="Q1760" s="44"/>
      <c r="R1760" s="44"/>
      <c r="S1760" s="44"/>
      <c r="T1760" s="44"/>
      <c r="U1760" s="44"/>
      <c r="V1760" s="44"/>
      <c r="W1760" s="44"/>
      <c r="X1760" s="44"/>
      <c r="Y1760" s="44"/>
      <c r="Z1760" s="44"/>
      <c r="AA1760" s="44"/>
      <c r="AB1760" s="44"/>
      <c r="AC1760" s="44"/>
      <c r="AD1760" s="44"/>
      <c r="AE1760" s="44"/>
      <c r="AF1760" s="44"/>
      <c r="AG1760" s="44"/>
      <c r="AH1760" s="44"/>
      <c r="AI1760" s="44"/>
      <c r="AJ1760" s="44"/>
      <c r="AK1760" s="44"/>
      <c r="AL1760" s="44"/>
      <c r="AM1760" s="44"/>
      <c r="AN1760" s="44"/>
      <c r="AO1760" s="44"/>
      <c r="AP1760" s="44"/>
      <c r="AQ1760" s="44"/>
      <c r="BA1760" s="5"/>
      <c r="BB1760" s="5"/>
      <c r="BC1760" s="5"/>
      <c r="BD1760" s="5"/>
      <c r="BE1760" s="63"/>
      <c r="BF1760" s="63"/>
      <c r="BG1760" s="63"/>
      <c r="CA1760" s="256"/>
      <c r="CB1760" s="261"/>
      <c r="CC1760" s="261"/>
      <c r="CD1760" s="255"/>
      <c r="CE1760" s="261"/>
      <c r="CF1760" s="261"/>
      <c r="CG1760" s="53"/>
      <c r="CH1760" s="53"/>
      <c r="CI1760" s="53"/>
      <c r="CJ1760" s="53"/>
      <c r="CK1760" s="53"/>
      <c r="CL1760" s="53"/>
      <c r="CN1760" s="53"/>
      <c r="CO1760" s="53"/>
      <c r="CP1760" s="53"/>
      <c r="CQ1760" s="53"/>
      <c r="CR1760" s="53"/>
      <c r="CS1760" s="53"/>
      <c r="CT1760" s="261"/>
      <c r="CU1760" s="261"/>
      <c r="CV1760" s="261"/>
      <c r="CW1760" s="261"/>
      <c r="CX1760" s="261"/>
      <c r="CY1760" s="255"/>
    </row>
    <row r="1761" spans="1:103" ht="10.25" customHeight="1">
      <c r="A1761" s="216"/>
      <c r="B1761" s="217"/>
      <c r="C1761" s="218"/>
      <c r="D1761" s="219"/>
      <c r="E1761" s="217"/>
      <c r="F1761" s="217"/>
      <c r="G1761" s="217"/>
      <c r="H1761" s="220"/>
      <c r="I1761" s="217"/>
      <c r="J1761" s="217"/>
      <c r="K1761" s="217"/>
      <c r="L1761" s="217"/>
      <c r="M1761" s="217"/>
      <c r="N1761" s="217"/>
      <c r="O1761" s="44"/>
      <c r="P1761" s="44"/>
      <c r="Q1761" s="44"/>
      <c r="R1761" s="44"/>
      <c r="S1761" s="44"/>
      <c r="T1761" s="44"/>
      <c r="U1761" s="44"/>
      <c r="V1761" s="44"/>
      <c r="W1761" s="44"/>
      <c r="X1761" s="44"/>
      <c r="Y1761" s="44"/>
      <c r="Z1761" s="44"/>
      <c r="AA1761" s="44"/>
      <c r="AB1761" s="44"/>
      <c r="AC1761" s="44"/>
      <c r="AD1761" s="44"/>
      <c r="AE1761" s="44"/>
      <c r="AF1761" s="44"/>
      <c r="AG1761" s="44"/>
      <c r="AH1761" s="44"/>
      <c r="AI1761" s="44"/>
      <c r="AJ1761" s="44"/>
      <c r="AK1761" s="44"/>
      <c r="AL1761" s="44"/>
      <c r="AM1761" s="44"/>
      <c r="AN1761" s="44"/>
      <c r="AO1761" s="44"/>
      <c r="AP1761" s="44"/>
      <c r="AQ1761" s="44"/>
      <c r="BA1761" s="5"/>
      <c r="BB1761" s="5"/>
      <c r="BC1761" s="5"/>
      <c r="BD1761" s="5"/>
      <c r="BE1761" s="63"/>
      <c r="BF1761" s="63"/>
      <c r="BG1761" s="63"/>
      <c r="CA1761" s="256"/>
      <c r="CB1761" s="261"/>
      <c r="CC1761" s="261"/>
      <c r="CD1761" s="255"/>
      <c r="CE1761" s="261"/>
      <c r="CF1761" s="261"/>
      <c r="CG1761" s="53"/>
      <c r="CH1761" s="53"/>
      <c r="CI1761" s="53"/>
      <c r="CJ1761" s="53"/>
      <c r="CK1761" s="53"/>
      <c r="CL1761" s="53"/>
      <c r="CN1761" s="53"/>
      <c r="CO1761" s="53"/>
      <c r="CP1761" s="53"/>
      <c r="CQ1761" s="53"/>
      <c r="CR1761" s="53"/>
      <c r="CS1761" s="53"/>
      <c r="CT1761" s="261"/>
      <c r="CU1761" s="261"/>
      <c r="CV1761" s="261"/>
      <c r="CW1761" s="261"/>
      <c r="CX1761" s="261"/>
      <c r="CY1761" s="255"/>
    </row>
    <row r="1762" spans="1:103" ht="10.25" customHeight="1">
      <c r="A1762" s="216"/>
      <c r="B1762" s="217"/>
      <c r="C1762" s="218"/>
      <c r="D1762" s="219"/>
      <c r="E1762" s="217"/>
      <c r="F1762" s="217"/>
      <c r="G1762" s="217"/>
      <c r="H1762" s="220"/>
      <c r="I1762" s="217"/>
      <c r="J1762" s="217"/>
      <c r="K1762" s="217"/>
      <c r="L1762" s="217"/>
      <c r="M1762" s="217"/>
      <c r="N1762" s="217"/>
      <c r="O1762" s="44"/>
      <c r="P1762" s="44"/>
      <c r="Q1762" s="44"/>
      <c r="R1762" s="44"/>
      <c r="S1762" s="44"/>
      <c r="T1762" s="44"/>
      <c r="U1762" s="44"/>
      <c r="V1762" s="44"/>
      <c r="W1762" s="44"/>
      <c r="X1762" s="44"/>
      <c r="Y1762" s="44"/>
      <c r="Z1762" s="44"/>
      <c r="AA1762" s="44"/>
      <c r="AB1762" s="44"/>
      <c r="AC1762" s="44"/>
      <c r="AD1762" s="44"/>
      <c r="AE1762" s="44"/>
      <c r="AF1762" s="44"/>
      <c r="AG1762" s="44"/>
      <c r="AH1762" s="44"/>
      <c r="AI1762" s="44"/>
      <c r="AJ1762" s="44"/>
      <c r="AK1762" s="44"/>
      <c r="AL1762" s="44"/>
      <c r="AM1762" s="44"/>
      <c r="AN1762" s="44"/>
      <c r="AO1762" s="44"/>
      <c r="AP1762" s="44"/>
      <c r="AQ1762" s="44"/>
      <c r="BA1762" s="5"/>
      <c r="BB1762" s="5"/>
      <c r="BC1762" s="5"/>
      <c r="BD1762" s="5"/>
      <c r="BE1762" s="63"/>
      <c r="BF1762" s="63"/>
      <c r="BG1762" s="63"/>
      <c r="CA1762" s="256"/>
      <c r="CB1762" s="261"/>
      <c r="CC1762" s="261"/>
      <c r="CD1762" s="255"/>
      <c r="CE1762" s="261"/>
      <c r="CF1762" s="261"/>
      <c r="CG1762" s="53"/>
      <c r="CH1762" s="53"/>
      <c r="CI1762" s="53"/>
      <c r="CJ1762" s="53"/>
      <c r="CK1762" s="53"/>
      <c r="CL1762" s="53"/>
      <c r="CN1762" s="53"/>
      <c r="CO1762" s="53"/>
      <c r="CP1762" s="53"/>
      <c r="CQ1762" s="53"/>
      <c r="CR1762" s="53"/>
      <c r="CS1762" s="53"/>
      <c r="CT1762" s="261"/>
      <c r="CU1762" s="261"/>
      <c r="CV1762" s="261"/>
      <c r="CW1762" s="261"/>
      <c r="CX1762" s="261"/>
      <c r="CY1762" s="255"/>
    </row>
    <row r="1763" spans="1:103" ht="10.25" customHeight="1">
      <c r="A1763" s="216"/>
      <c r="B1763" s="217"/>
      <c r="C1763" s="218"/>
      <c r="D1763" s="219"/>
      <c r="E1763" s="217"/>
      <c r="F1763" s="217"/>
      <c r="G1763" s="217"/>
      <c r="H1763" s="220"/>
      <c r="I1763" s="217"/>
      <c r="J1763" s="217"/>
      <c r="K1763" s="217"/>
      <c r="L1763" s="217"/>
      <c r="M1763" s="217"/>
      <c r="N1763" s="217"/>
      <c r="O1763" s="44"/>
      <c r="P1763" s="44"/>
      <c r="Q1763" s="44"/>
      <c r="R1763" s="44"/>
      <c r="S1763" s="44"/>
      <c r="T1763" s="44"/>
      <c r="U1763" s="44"/>
      <c r="V1763" s="44"/>
      <c r="W1763" s="44"/>
      <c r="X1763" s="44"/>
      <c r="Y1763" s="44"/>
      <c r="Z1763" s="44"/>
      <c r="AA1763" s="44"/>
      <c r="AB1763" s="44"/>
      <c r="AC1763" s="44"/>
      <c r="AD1763" s="44"/>
      <c r="AE1763" s="44"/>
      <c r="AF1763" s="44"/>
      <c r="AG1763" s="44"/>
      <c r="AH1763" s="44"/>
      <c r="AI1763" s="44"/>
      <c r="AJ1763" s="44"/>
      <c r="AK1763" s="44"/>
      <c r="AL1763" s="44"/>
      <c r="AM1763" s="44"/>
      <c r="AN1763" s="44"/>
      <c r="AO1763" s="44"/>
      <c r="AP1763" s="44"/>
      <c r="AQ1763" s="44"/>
      <c r="BA1763" s="5"/>
      <c r="BB1763" s="5"/>
      <c r="BC1763" s="5"/>
      <c r="BD1763" s="5"/>
      <c r="BE1763" s="63"/>
      <c r="BF1763" s="63"/>
      <c r="BG1763" s="63"/>
      <c r="CA1763" s="256"/>
      <c r="CB1763" s="261"/>
      <c r="CC1763" s="255"/>
      <c r="CD1763" s="261"/>
      <c r="CE1763" s="261"/>
      <c r="CF1763" s="261"/>
      <c r="CG1763" s="53"/>
      <c r="CH1763" s="53"/>
      <c r="CI1763" s="53"/>
      <c r="CJ1763" s="53"/>
      <c r="CK1763" s="53"/>
      <c r="CL1763" s="53"/>
      <c r="CN1763" s="53"/>
      <c r="CO1763" s="53"/>
      <c r="CP1763" s="53"/>
      <c r="CQ1763" s="53"/>
      <c r="CR1763" s="53"/>
      <c r="CS1763" s="53"/>
      <c r="CT1763" s="261"/>
      <c r="CU1763" s="261"/>
      <c r="CV1763" s="261"/>
      <c r="CW1763" s="261"/>
      <c r="CX1763" s="261"/>
      <c r="CY1763" s="255"/>
    </row>
    <row r="1764" spans="1:103" ht="10.25" customHeight="1">
      <c r="A1764" s="216"/>
      <c r="B1764" s="217"/>
      <c r="C1764" s="218"/>
      <c r="D1764" s="219"/>
      <c r="E1764" s="217"/>
      <c r="F1764" s="217"/>
      <c r="G1764" s="217"/>
      <c r="H1764" s="220"/>
      <c r="I1764" s="217"/>
      <c r="J1764" s="217"/>
      <c r="K1764" s="217"/>
      <c r="L1764" s="217"/>
      <c r="M1764" s="217"/>
      <c r="N1764" s="217"/>
      <c r="O1764" s="44"/>
      <c r="P1764" s="44"/>
      <c r="Q1764" s="44"/>
      <c r="R1764" s="44"/>
      <c r="S1764" s="44"/>
      <c r="T1764" s="44"/>
      <c r="U1764" s="44"/>
      <c r="V1764" s="44"/>
      <c r="W1764" s="44"/>
      <c r="X1764" s="44"/>
      <c r="Y1764" s="44"/>
      <c r="Z1764" s="44"/>
      <c r="AA1764" s="44"/>
      <c r="AB1764" s="44"/>
      <c r="AC1764" s="44"/>
      <c r="AD1764" s="44"/>
      <c r="AE1764" s="44"/>
      <c r="AF1764" s="44"/>
      <c r="AG1764" s="44"/>
      <c r="AH1764" s="44"/>
      <c r="AI1764" s="44"/>
      <c r="AJ1764" s="44"/>
      <c r="AK1764" s="44"/>
      <c r="AL1764" s="44"/>
      <c r="AM1764" s="44"/>
      <c r="AN1764" s="44"/>
      <c r="AO1764" s="44"/>
      <c r="AP1764" s="44"/>
      <c r="AQ1764" s="44"/>
      <c r="BA1764" s="5"/>
      <c r="BB1764" s="5"/>
      <c r="BC1764" s="5"/>
      <c r="BD1764" s="5"/>
      <c r="BE1764" s="63"/>
      <c r="BF1764" s="63"/>
      <c r="BG1764" s="63"/>
      <c r="CA1764" s="256"/>
      <c r="CB1764" s="261"/>
      <c r="CC1764" s="255"/>
      <c r="CD1764" s="261"/>
      <c r="CE1764" s="261"/>
      <c r="CF1764" s="261"/>
      <c r="CG1764" s="53"/>
      <c r="CH1764" s="53"/>
      <c r="CI1764" s="53"/>
      <c r="CJ1764" s="53"/>
      <c r="CK1764" s="53"/>
      <c r="CL1764" s="53"/>
      <c r="CN1764" s="53"/>
      <c r="CO1764" s="53"/>
      <c r="CP1764" s="53"/>
      <c r="CQ1764" s="53"/>
      <c r="CR1764" s="53"/>
      <c r="CS1764" s="53"/>
      <c r="CT1764" s="261"/>
      <c r="CU1764" s="261"/>
      <c r="CV1764" s="261"/>
      <c r="CW1764" s="261"/>
      <c r="CX1764" s="261"/>
      <c r="CY1764" s="255"/>
    </row>
    <row r="1765" spans="1:103" ht="10.25" customHeight="1">
      <c r="A1765" s="371"/>
      <c r="B1765" s="371"/>
      <c r="C1765" s="371"/>
      <c r="D1765" s="269"/>
      <c r="L1765" s="269"/>
      <c r="M1765" s="269"/>
      <c r="N1765" s="269"/>
      <c r="O1765" s="63"/>
      <c r="P1765" s="63"/>
      <c r="Q1765" s="63"/>
      <c r="R1765" s="63"/>
      <c r="S1765" s="63"/>
      <c r="T1765" s="63"/>
      <c r="U1765" s="63"/>
      <c r="V1765" s="63"/>
      <c r="W1765" s="63"/>
      <c r="X1765" s="63"/>
      <c r="Y1765" s="63"/>
      <c r="Z1765" s="63"/>
      <c r="AA1765" s="63"/>
      <c r="AB1765" s="63"/>
      <c r="AC1765" s="63"/>
      <c r="AD1765" s="63"/>
      <c r="AE1765" s="63"/>
      <c r="AF1765" s="63"/>
      <c r="AG1765" s="63"/>
      <c r="AH1765" s="63"/>
      <c r="AI1765" s="63"/>
      <c r="AJ1765" s="63"/>
      <c r="AK1765" s="63"/>
      <c r="AL1765" s="63"/>
      <c r="AM1765" s="63"/>
      <c r="AN1765" s="63"/>
      <c r="AO1765" s="63"/>
      <c r="AP1765" s="63"/>
      <c r="AQ1765" s="63"/>
      <c r="CA1765" s="256"/>
      <c r="CB1765" s="261"/>
      <c r="CC1765" s="255"/>
      <c r="CD1765" s="261"/>
      <c r="CE1765" s="261"/>
      <c r="CF1765" s="261"/>
      <c r="CG1765" s="261"/>
      <c r="CH1765" s="261"/>
      <c r="CI1765" s="261"/>
      <c r="CJ1765" s="261"/>
      <c r="CK1765" s="261"/>
      <c r="CL1765" s="255"/>
      <c r="CN1765" s="256"/>
      <c r="CO1765" s="256"/>
      <c r="CP1765" s="261"/>
      <c r="CQ1765" s="261"/>
      <c r="CR1765" s="255"/>
      <c r="CS1765" s="261"/>
      <c r="CT1765" s="261"/>
      <c r="CU1765" s="261"/>
      <c r="CV1765" s="261"/>
      <c r="CW1765" s="261"/>
      <c r="CX1765" s="261"/>
      <c r="CY1765" s="255"/>
    </row>
    <row r="1766" spans="1:103" ht="12.65" customHeight="1">
      <c r="A1766" s="270"/>
      <c r="C1766" s="271"/>
      <c r="D1766" s="372"/>
      <c r="E1766" s="372"/>
      <c r="F1766" s="272"/>
      <c r="G1766" s="272"/>
      <c r="H1766" s="273"/>
      <c r="L1766" s="269"/>
      <c r="M1766" s="269"/>
      <c r="N1766" s="269"/>
      <c r="O1766" s="63"/>
      <c r="P1766" s="63"/>
      <c r="Q1766" s="63"/>
      <c r="R1766" s="63"/>
      <c r="S1766" s="63"/>
      <c r="T1766" s="63"/>
      <c r="U1766" s="63"/>
      <c r="V1766" s="63"/>
      <c r="W1766" s="63"/>
      <c r="X1766" s="63"/>
      <c r="Y1766" s="63"/>
      <c r="Z1766" s="63"/>
      <c r="AA1766" s="63"/>
      <c r="AB1766" s="63"/>
      <c r="AC1766" s="63"/>
      <c r="AD1766" s="63"/>
      <c r="AE1766" s="63"/>
      <c r="AF1766" s="63"/>
      <c r="AG1766" s="63"/>
      <c r="AH1766" s="63"/>
      <c r="AI1766" s="63"/>
      <c r="AJ1766" s="63"/>
      <c r="AK1766" s="63"/>
      <c r="AL1766" s="63"/>
      <c r="AM1766" s="63"/>
      <c r="AN1766" s="63"/>
      <c r="AO1766" s="63"/>
      <c r="AP1766" s="63"/>
      <c r="AQ1766" s="63"/>
      <c r="CA1766" s="256"/>
      <c r="CB1766" s="261"/>
      <c r="CC1766" s="255"/>
      <c r="CD1766" s="261"/>
      <c r="CE1766" s="261"/>
      <c r="CF1766" s="261"/>
      <c r="CG1766" s="261"/>
      <c r="CH1766" s="261"/>
      <c r="CI1766" s="261"/>
      <c r="CJ1766" s="261"/>
      <c r="CK1766" s="255"/>
      <c r="CL1766" s="255"/>
      <c r="CN1766" s="256"/>
      <c r="CO1766" s="256"/>
      <c r="CP1766" s="261"/>
      <c r="CQ1766" s="261"/>
      <c r="CR1766" s="255"/>
      <c r="CS1766" s="261"/>
      <c r="CT1766" s="261"/>
      <c r="CU1766" s="261"/>
      <c r="CV1766" s="261"/>
      <c r="CW1766" s="261"/>
      <c r="CX1766" s="255"/>
      <c r="CY1766" s="255"/>
    </row>
    <row r="1767" spans="1:103" ht="10.25" customHeight="1">
      <c r="A1767" s="270"/>
      <c r="D1767" s="372"/>
      <c r="E1767" s="372"/>
      <c r="F1767" s="272"/>
      <c r="G1767" s="272"/>
      <c r="H1767" s="273"/>
      <c r="L1767" s="269"/>
      <c r="M1767" s="269"/>
      <c r="N1767" s="269"/>
      <c r="O1767" s="63"/>
      <c r="P1767" s="63"/>
      <c r="Q1767" s="63"/>
      <c r="R1767" s="63"/>
      <c r="S1767" s="63"/>
      <c r="T1767" s="63"/>
      <c r="U1767" s="63"/>
      <c r="V1767" s="63"/>
      <c r="W1767" s="63"/>
      <c r="X1767" s="63"/>
      <c r="Y1767" s="63"/>
      <c r="Z1767" s="63"/>
      <c r="AA1767" s="63"/>
      <c r="AB1767" s="63"/>
      <c r="AC1767" s="63"/>
      <c r="AD1767" s="63"/>
      <c r="AE1767" s="63"/>
      <c r="AF1767" s="63"/>
      <c r="AG1767" s="63"/>
      <c r="AH1767" s="63"/>
      <c r="AI1767" s="63"/>
      <c r="AJ1767" s="63"/>
      <c r="AK1767" s="63"/>
      <c r="AL1767" s="63"/>
      <c r="AM1767" s="63"/>
      <c r="AN1767" s="63"/>
      <c r="AO1767" s="63"/>
      <c r="AP1767" s="63"/>
      <c r="AQ1767" s="63"/>
      <c r="CA1767" s="256"/>
      <c r="CB1767" s="261"/>
      <c r="CC1767" s="255"/>
      <c r="CD1767" s="261"/>
      <c r="CE1767" s="261"/>
      <c r="CF1767" s="261"/>
      <c r="CG1767" s="261"/>
      <c r="CH1767" s="261"/>
      <c r="CI1767" s="261"/>
      <c r="CJ1767" s="261"/>
      <c r="CK1767" s="261"/>
      <c r="CL1767" s="255"/>
      <c r="CN1767" s="256"/>
      <c r="CO1767" s="256"/>
      <c r="CP1767" s="261"/>
      <c r="CQ1767" s="261"/>
      <c r="CR1767" s="255"/>
      <c r="CS1767" s="261"/>
      <c r="CT1767" s="261"/>
      <c r="CU1767" s="261"/>
      <c r="CV1767" s="261"/>
      <c r="CW1767" s="261"/>
      <c r="CX1767" s="261"/>
      <c r="CY1767" s="255"/>
    </row>
    <row r="1768" spans="1:103" ht="10.25" customHeight="1">
      <c r="C1768" s="270"/>
      <c r="D1768" s="274"/>
      <c r="E1768" s="214"/>
      <c r="F1768" s="272"/>
      <c r="G1768" s="272"/>
      <c r="H1768" s="272"/>
      <c r="I1768" s="273"/>
      <c r="J1768" s="273"/>
      <c r="K1768" s="273"/>
      <c r="L1768" s="275"/>
      <c r="M1768" s="269"/>
      <c r="N1768" s="269"/>
      <c r="O1768" s="63"/>
      <c r="P1768" s="63"/>
      <c r="Q1768" s="63"/>
      <c r="R1768" s="63"/>
      <c r="S1768" s="63"/>
      <c r="T1768" s="63"/>
      <c r="U1768" s="63"/>
      <c r="V1768" s="63"/>
      <c r="W1768" s="63"/>
      <c r="X1768" s="63"/>
      <c r="Y1768" s="63"/>
      <c r="Z1768" s="63"/>
      <c r="AA1768" s="63"/>
      <c r="AB1768" s="63"/>
      <c r="AC1768" s="63"/>
      <c r="AD1768" s="63"/>
      <c r="AE1768" s="63"/>
      <c r="AF1768" s="63"/>
      <c r="AG1768" s="63"/>
      <c r="AH1768" s="63"/>
      <c r="AI1768" s="63"/>
      <c r="AJ1768" s="63"/>
      <c r="AK1768" s="63"/>
      <c r="AL1768" s="63"/>
      <c r="AM1768" s="63"/>
      <c r="AN1768" s="63"/>
      <c r="AO1768" s="63"/>
      <c r="AP1768" s="63"/>
      <c r="AQ1768" s="63"/>
      <c r="CA1768" s="256"/>
      <c r="CB1768" s="261"/>
      <c r="CC1768" s="255"/>
      <c r="CD1768" s="261"/>
      <c r="CE1768" s="261"/>
      <c r="CF1768" s="261"/>
      <c r="CG1768" s="261"/>
      <c r="CH1768" s="261"/>
      <c r="CI1768" s="261"/>
      <c r="CJ1768" s="261"/>
      <c r="CK1768" s="261"/>
      <c r="CL1768" s="255"/>
      <c r="CN1768" s="256"/>
      <c r="CO1768" s="256"/>
      <c r="CP1768" s="261"/>
      <c r="CQ1768" s="261"/>
      <c r="CR1768" s="255"/>
      <c r="CS1768" s="261"/>
      <c r="CT1768" s="261"/>
      <c r="CU1768" s="261"/>
      <c r="CV1768" s="261"/>
      <c r="CW1768" s="261"/>
      <c r="CX1768" s="261"/>
      <c r="CY1768" s="255"/>
    </row>
    <row r="1769" spans="1:103" ht="10.25" customHeight="1">
      <c r="A1769" s="270"/>
      <c r="D1769" s="372"/>
      <c r="E1769" s="372"/>
      <c r="F1769" s="272"/>
      <c r="G1769" s="272"/>
      <c r="H1769" s="272"/>
      <c r="I1769" s="273"/>
      <c r="J1769" s="273"/>
      <c r="K1769" s="273"/>
      <c r="L1769" s="275"/>
      <c r="M1769" s="269"/>
      <c r="N1769" s="269"/>
      <c r="O1769" s="63"/>
      <c r="P1769" s="63"/>
      <c r="Q1769" s="63"/>
      <c r="R1769" s="63"/>
      <c r="S1769" s="63"/>
      <c r="T1769" s="63"/>
      <c r="U1769" s="63"/>
      <c r="V1769" s="63"/>
      <c r="W1769" s="63"/>
      <c r="X1769" s="63"/>
      <c r="Y1769" s="63"/>
      <c r="Z1769" s="63"/>
      <c r="AA1769" s="63"/>
      <c r="AB1769" s="63"/>
      <c r="AC1769" s="63"/>
      <c r="AD1769" s="63"/>
      <c r="AE1769" s="63"/>
      <c r="AF1769" s="63"/>
      <c r="AG1769" s="63"/>
      <c r="AH1769" s="63"/>
      <c r="AI1769" s="63"/>
      <c r="AJ1769" s="63"/>
      <c r="AK1769" s="63"/>
      <c r="AL1769" s="63"/>
      <c r="AM1769" s="63"/>
      <c r="AN1769" s="63"/>
      <c r="AO1769" s="63"/>
      <c r="AP1769" s="63"/>
      <c r="AQ1769" s="63"/>
      <c r="CA1769" s="256"/>
      <c r="CB1769" s="261"/>
      <c r="CC1769" s="255"/>
      <c r="CD1769" s="261"/>
      <c r="CE1769" s="261"/>
      <c r="CF1769" s="261"/>
      <c r="CG1769" s="261"/>
      <c r="CH1769" s="261"/>
      <c r="CI1769" s="255"/>
      <c r="CJ1769" s="255"/>
      <c r="CK1769" s="261"/>
      <c r="CL1769" s="255"/>
      <c r="CN1769" s="256"/>
      <c r="CO1769" s="256"/>
      <c r="CP1769" s="261"/>
      <c r="CQ1769" s="261"/>
      <c r="CR1769" s="255"/>
      <c r="CS1769" s="261"/>
      <c r="CT1769" s="261"/>
      <c r="CU1769" s="261"/>
      <c r="CV1769" s="261"/>
      <c r="CW1769" s="255"/>
      <c r="CX1769" s="261"/>
      <c r="CY1769" s="255"/>
    </row>
    <row r="1770" spans="1:103" ht="10.25" customHeight="1">
      <c r="A1770" s="270"/>
      <c r="D1770" s="372"/>
      <c r="E1770" s="372"/>
      <c r="F1770" s="272"/>
      <c r="G1770" s="272"/>
      <c r="H1770" s="272"/>
      <c r="I1770" s="273"/>
      <c r="J1770" s="273"/>
      <c r="K1770" s="273"/>
      <c r="L1770" s="275"/>
      <c r="M1770" s="269"/>
      <c r="N1770" s="269"/>
      <c r="O1770" s="63"/>
      <c r="P1770" s="63"/>
      <c r="Q1770" s="63"/>
      <c r="R1770" s="63"/>
      <c r="S1770" s="63"/>
      <c r="T1770" s="63"/>
      <c r="U1770" s="63"/>
      <c r="V1770" s="63"/>
      <c r="W1770" s="63"/>
      <c r="X1770" s="63"/>
      <c r="Y1770" s="63"/>
      <c r="Z1770" s="63"/>
      <c r="AA1770" s="63"/>
      <c r="AB1770" s="63"/>
      <c r="AC1770" s="63"/>
      <c r="AD1770" s="63"/>
      <c r="AE1770" s="63"/>
      <c r="AF1770" s="63"/>
      <c r="AG1770" s="63"/>
      <c r="AH1770" s="63"/>
      <c r="AI1770" s="63"/>
      <c r="AJ1770" s="63"/>
      <c r="AK1770" s="63"/>
      <c r="AL1770" s="63"/>
      <c r="AM1770" s="63"/>
      <c r="AN1770" s="63"/>
      <c r="AO1770" s="63"/>
      <c r="AP1770" s="63"/>
      <c r="AQ1770" s="63"/>
      <c r="CA1770" s="256"/>
      <c r="CB1770" s="261"/>
      <c r="CC1770" s="255"/>
      <c r="CD1770" s="261"/>
      <c r="CE1770" s="261"/>
      <c r="CF1770" s="261"/>
      <c r="CG1770" s="255"/>
      <c r="CH1770" s="255"/>
      <c r="CI1770" s="261"/>
      <c r="CJ1770" s="261"/>
      <c r="CK1770" s="261"/>
      <c r="CL1770" s="255"/>
      <c r="CN1770" s="256"/>
      <c r="CO1770" s="256"/>
      <c r="CP1770" s="261"/>
      <c r="CQ1770" s="261"/>
      <c r="CR1770" s="255"/>
      <c r="CS1770" s="261"/>
      <c r="CT1770" s="261"/>
      <c r="CU1770" s="261"/>
      <c r="CV1770" s="255"/>
      <c r="CW1770" s="261"/>
      <c r="CX1770" s="261"/>
      <c r="CY1770" s="255"/>
    </row>
    <row r="1771" spans="1:103" ht="10.25" customHeight="1">
      <c r="A1771" s="270"/>
      <c r="D1771" s="372"/>
      <c r="E1771" s="372"/>
      <c r="F1771" s="272"/>
      <c r="G1771" s="272"/>
      <c r="H1771" s="272"/>
      <c r="I1771" s="273"/>
      <c r="J1771" s="273"/>
      <c r="K1771" s="273"/>
      <c r="L1771" s="275"/>
      <c r="M1771" s="269"/>
      <c r="N1771" s="269"/>
      <c r="O1771" s="63"/>
      <c r="P1771" s="63"/>
      <c r="Q1771" s="63"/>
      <c r="R1771" s="63"/>
      <c r="S1771" s="63"/>
      <c r="T1771" s="63"/>
      <c r="U1771" s="63"/>
      <c r="V1771" s="63"/>
      <c r="W1771" s="63"/>
      <c r="X1771" s="63"/>
      <c r="Y1771" s="63"/>
      <c r="Z1771" s="63"/>
      <c r="AA1771" s="63"/>
      <c r="AB1771" s="63"/>
      <c r="AC1771" s="63"/>
      <c r="AD1771" s="63"/>
      <c r="AE1771" s="63"/>
      <c r="AF1771" s="63"/>
      <c r="AG1771" s="63"/>
      <c r="AH1771" s="63"/>
      <c r="AI1771" s="63"/>
      <c r="AJ1771" s="63"/>
      <c r="AK1771" s="63"/>
      <c r="AL1771" s="63"/>
      <c r="AM1771" s="63"/>
      <c r="AN1771" s="63"/>
      <c r="AO1771" s="63"/>
      <c r="AP1771" s="63"/>
      <c r="AQ1771" s="63"/>
      <c r="CA1771" s="256"/>
      <c r="CB1771" s="261"/>
      <c r="CC1771" s="255"/>
      <c r="CD1771" s="261"/>
      <c r="CE1771" s="261"/>
      <c r="CF1771" s="261"/>
      <c r="CG1771" s="255"/>
      <c r="CH1771" s="255"/>
      <c r="CI1771" s="261"/>
      <c r="CJ1771" s="261"/>
      <c r="CK1771" s="261"/>
      <c r="CL1771" s="255"/>
      <c r="CN1771" s="256"/>
      <c r="CO1771" s="256"/>
      <c r="CP1771" s="261"/>
      <c r="CQ1771" s="261"/>
      <c r="CR1771" s="255"/>
      <c r="CS1771" s="261"/>
      <c r="CT1771" s="261"/>
      <c r="CU1771" s="261"/>
      <c r="CV1771" s="255"/>
      <c r="CW1771" s="261"/>
      <c r="CX1771" s="261"/>
      <c r="CY1771" s="255"/>
    </row>
    <row r="1772" spans="1:103" ht="10.25" customHeight="1">
      <c r="A1772" s="270"/>
      <c r="D1772" s="372"/>
      <c r="E1772" s="372"/>
      <c r="F1772" s="272"/>
      <c r="G1772" s="272"/>
      <c r="H1772" s="272"/>
      <c r="I1772" s="375"/>
      <c r="J1772" s="375"/>
      <c r="K1772" s="375"/>
      <c r="L1772" s="375"/>
      <c r="M1772" s="269"/>
      <c r="N1772" s="269"/>
      <c r="O1772" s="63"/>
      <c r="P1772" s="63"/>
      <c r="Q1772" s="63"/>
      <c r="R1772" s="63"/>
      <c r="S1772" s="63"/>
      <c r="T1772" s="63"/>
      <c r="U1772" s="63"/>
      <c r="V1772" s="63"/>
      <c r="W1772" s="63"/>
      <c r="X1772" s="63"/>
      <c r="Y1772" s="63"/>
      <c r="Z1772" s="63"/>
      <c r="AA1772" s="63"/>
      <c r="AB1772" s="63"/>
      <c r="AC1772" s="63"/>
      <c r="AD1772" s="63"/>
      <c r="AE1772" s="63"/>
      <c r="AF1772" s="63"/>
      <c r="AG1772" s="63"/>
      <c r="AH1772" s="63"/>
      <c r="AI1772" s="63"/>
      <c r="AJ1772" s="63"/>
      <c r="AK1772" s="63"/>
      <c r="AL1772" s="63"/>
      <c r="AM1772" s="63"/>
      <c r="AN1772" s="63"/>
      <c r="AO1772" s="63"/>
      <c r="AP1772" s="63"/>
      <c r="AQ1772" s="63"/>
      <c r="CA1772" s="256"/>
      <c r="CB1772" s="261"/>
      <c r="CC1772" s="255"/>
      <c r="CD1772" s="261"/>
      <c r="CE1772" s="261"/>
      <c r="CF1772" s="261"/>
      <c r="CG1772" s="261"/>
      <c r="CH1772" s="261"/>
      <c r="CI1772" s="261"/>
      <c r="CJ1772" s="261"/>
      <c r="CK1772" s="261"/>
      <c r="CL1772" s="255"/>
      <c r="CN1772" s="256"/>
      <c r="CO1772" s="256"/>
      <c r="CP1772" s="261"/>
      <c r="CQ1772" s="261"/>
      <c r="CR1772" s="255"/>
      <c r="CS1772" s="261"/>
      <c r="CT1772" s="261"/>
      <c r="CU1772" s="261"/>
      <c r="CV1772" s="261"/>
      <c r="CW1772" s="261"/>
      <c r="CX1772" s="261"/>
      <c r="CY1772" s="255"/>
    </row>
    <row r="1773" spans="1:103" ht="10.25" customHeight="1">
      <c r="A1773" s="270"/>
      <c r="D1773" s="372"/>
      <c r="E1773" s="372"/>
      <c r="H1773" s="209"/>
      <c r="I1773" s="213"/>
      <c r="J1773" s="213"/>
      <c r="K1773" s="213"/>
      <c r="L1773" s="213"/>
      <c r="M1773" s="213"/>
      <c r="N1773" s="213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CA1773" s="256"/>
      <c r="CB1773" s="261"/>
      <c r="CC1773" s="255"/>
      <c r="CD1773" s="261"/>
      <c r="CE1773" s="261"/>
      <c r="CF1773" s="261"/>
      <c r="CG1773" s="261"/>
      <c r="CH1773" s="261"/>
      <c r="CI1773" s="261"/>
      <c r="CJ1773" s="261"/>
      <c r="CK1773" s="261"/>
      <c r="CL1773" s="255"/>
      <c r="CN1773" s="256"/>
      <c r="CO1773" s="256"/>
      <c r="CP1773" s="261"/>
      <c r="CQ1773" s="261"/>
      <c r="CR1773" s="255"/>
      <c r="CS1773" s="261"/>
      <c r="CT1773" s="261"/>
      <c r="CU1773" s="261"/>
      <c r="CV1773" s="261"/>
      <c r="CW1773" s="261"/>
      <c r="CX1773" s="261"/>
      <c r="CY1773" s="255"/>
    </row>
    <row r="1774" spans="1:103" ht="10.25" customHeight="1">
      <c r="A1774" s="270"/>
      <c r="C1774" s="269"/>
      <c r="D1774" s="275"/>
      <c r="E1774" s="275"/>
      <c r="F1774" s="209"/>
      <c r="G1774" s="209"/>
      <c r="H1774" s="209"/>
      <c r="I1774" s="209"/>
      <c r="J1774" s="209"/>
      <c r="K1774" s="209"/>
      <c r="L1774" s="376"/>
      <c r="M1774" s="376"/>
      <c r="N1774" s="279"/>
      <c r="O1774" s="51"/>
      <c r="P1774" s="51"/>
      <c r="Q1774" s="51"/>
      <c r="R1774" s="51"/>
      <c r="S1774" s="51"/>
      <c r="T1774" s="51"/>
      <c r="U1774" s="51"/>
      <c r="V1774" s="51"/>
      <c r="W1774" s="51"/>
      <c r="X1774" s="51"/>
      <c r="Y1774" s="51"/>
      <c r="Z1774" s="51"/>
      <c r="AA1774" s="51"/>
      <c r="AB1774" s="51"/>
      <c r="AC1774" s="51"/>
      <c r="AD1774" s="51"/>
      <c r="AE1774" s="51"/>
      <c r="AF1774" s="51"/>
      <c r="AG1774" s="51"/>
      <c r="AH1774" s="51"/>
      <c r="AI1774" s="51"/>
      <c r="AJ1774" s="51"/>
      <c r="AK1774" s="51"/>
      <c r="AL1774" s="51"/>
      <c r="AM1774" s="51"/>
      <c r="AN1774" s="51"/>
      <c r="AO1774" s="51"/>
      <c r="AP1774" s="51"/>
      <c r="AQ1774" s="51"/>
      <c r="CA1774" s="256"/>
      <c r="CB1774" s="261"/>
      <c r="CC1774" s="255"/>
      <c r="CD1774" s="261"/>
      <c r="CE1774" s="261"/>
      <c r="CF1774" s="261"/>
      <c r="CG1774" s="261"/>
      <c r="CH1774" s="261"/>
      <c r="CI1774" s="261"/>
      <c r="CJ1774" s="261"/>
      <c r="CK1774" s="261"/>
      <c r="CL1774" s="255"/>
      <c r="CN1774" s="256"/>
      <c r="CO1774" s="256"/>
      <c r="CP1774" s="261"/>
      <c r="CQ1774" s="261"/>
      <c r="CR1774" s="255"/>
      <c r="CS1774" s="261"/>
      <c r="CT1774" s="261"/>
      <c r="CU1774" s="261"/>
      <c r="CV1774" s="261"/>
      <c r="CW1774" s="261"/>
      <c r="CX1774" s="261"/>
      <c r="CY1774" s="255"/>
    </row>
    <row r="1775" spans="1:103" ht="10.25" customHeight="1">
      <c r="A1775" s="270"/>
      <c r="C1775" s="269"/>
      <c r="D1775" s="269"/>
      <c r="F1775" s="209"/>
      <c r="G1775" s="209"/>
      <c r="H1775" s="276"/>
      <c r="I1775" s="276"/>
      <c r="J1775" s="276"/>
      <c r="K1775" s="276"/>
      <c r="L1775" s="374"/>
      <c r="M1775" s="374"/>
      <c r="N1775" s="213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CA1775" s="256"/>
      <c r="CB1775" s="261"/>
      <c r="CC1775" s="255"/>
      <c r="CD1775" s="261"/>
      <c r="CE1775" s="261"/>
      <c r="CF1775" s="261"/>
      <c r="CG1775" s="261"/>
      <c r="CH1775" s="261"/>
      <c r="CI1775" s="261"/>
      <c r="CJ1775" s="261"/>
      <c r="CK1775" s="261"/>
      <c r="CL1775" s="255"/>
      <c r="CN1775" s="256"/>
      <c r="CO1775" s="256"/>
      <c r="CP1775" s="261"/>
      <c r="CQ1775" s="261"/>
      <c r="CR1775" s="255"/>
      <c r="CS1775" s="261"/>
      <c r="CT1775" s="261"/>
      <c r="CU1775" s="261"/>
      <c r="CV1775" s="261"/>
      <c r="CW1775" s="261"/>
      <c r="CX1775" s="261"/>
      <c r="CY1775" s="255"/>
    </row>
    <row r="1776" spans="1:103" ht="10.25" customHeight="1">
      <c r="A1776" s="270"/>
      <c r="D1776" s="269"/>
      <c r="F1776" s="208"/>
      <c r="G1776" s="208"/>
      <c r="H1776" s="277"/>
      <c r="I1776" s="277"/>
      <c r="J1776" s="277"/>
      <c r="K1776" s="277"/>
      <c r="L1776" s="372"/>
      <c r="M1776" s="372"/>
      <c r="N1776" s="214"/>
      <c r="O1776" s="41"/>
      <c r="P1776" s="41"/>
      <c r="Q1776" s="41"/>
      <c r="R1776" s="41"/>
      <c r="S1776" s="41"/>
      <c r="T1776" s="41"/>
      <c r="U1776" s="41"/>
      <c r="V1776" s="41"/>
      <c r="W1776" s="41"/>
      <c r="X1776" s="41"/>
      <c r="Y1776" s="41"/>
      <c r="Z1776" s="41"/>
      <c r="AA1776" s="41"/>
      <c r="AB1776" s="41"/>
      <c r="AC1776" s="41"/>
      <c r="AD1776" s="41"/>
      <c r="AE1776" s="41"/>
      <c r="AF1776" s="41"/>
      <c r="AG1776" s="41"/>
      <c r="AH1776" s="41"/>
      <c r="AI1776" s="41"/>
      <c r="AJ1776" s="41"/>
      <c r="AK1776" s="41"/>
      <c r="AL1776" s="41"/>
      <c r="AM1776" s="41"/>
      <c r="AN1776" s="41"/>
      <c r="AO1776" s="41"/>
      <c r="AP1776" s="41"/>
      <c r="AQ1776" s="41"/>
      <c r="CA1776" s="256"/>
      <c r="CB1776" s="261"/>
      <c r="CC1776" s="255"/>
      <c r="CD1776" s="261"/>
      <c r="CE1776" s="261"/>
      <c r="CF1776" s="261"/>
      <c r="CG1776" s="261"/>
      <c r="CH1776" s="261"/>
      <c r="CI1776" s="261"/>
      <c r="CJ1776" s="261"/>
      <c r="CK1776" s="261"/>
      <c r="CL1776" s="255"/>
      <c r="CN1776" s="256"/>
      <c r="CO1776" s="256"/>
      <c r="CP1776" s="261"/>
      <c r="CQ1776" s="261"/>
      <c r="CR1776" s="255"/>
      <c r="CS1776" s="261"/>
      <c r="CT1776" s="261"/>
      <c r="CU1776" s="261"/>
      <c r="CV1776" s="261"/>
      <c r="CW1776" s="261"/>
      <c r="CX1776" s="261"/>
      <c r="CY1776" s="255"/>
    </row>
    <row r="1777" spans="1:103" ht="10.25" customHeight="1">
      <c r="CA1777" s="256"/>
      <c r="CB1777" s="261"/>
      <c r="CC1777" s="255"/>
      <c r="CD1777" s="261"/>
      <c r="CE1777" s="261"/>
      <c r="CF1777" s="255"/>
      <c r="CG1777" s="261"/>
      <c r="CH1777" s="261"/>
      <c r="CI1777" s="261"/>
      <c r="CJ1777" s="261"/>
      <c r="CK1777" s="261"/>
      <c r="CL1777" s="255"/>
      <c r="CN1777" s="256"/>
      <c r="CO1777" s="256"/>
      <c r="CP1777" s="261"/>
      <c r="CQ1777" s="261"/>
      <c r="CR1777" s="255"/>
      <c r="CS1777" s="261"/>
      <c r="CT1777" s="261"/>
      <c r="CU1777" s="255"/>
      <c r="CV1777" s="261"/>
      <c r="CW1777" s="261"/>
      <c r="CX1777" s="261"/>
      <c r="CY1777" s="255"/>
    </row>
    <row r="1778" spans="1:103" ht="10.25" customHeight="1">
      <c r="C1778" s="278"/>
      <c r="CA1778" s="256"/>
      <c r="CB1778" s="261"/>
      <c r="CC1778" s="255"/>
      <c r="CD1778" s="261"/>
      <c r="CE1778" s="261"/>
      <c r="CF1778" s="255"/>
      <c r="CG1778" s="261"/>
      <c r="CH1778" s="261"/>
      <c r="CI1778" s="261"/>
      <c r="CJ1778" s="261"/>
      <c r="CK1778" s="261"/>
      <c r="CL1778" s="255"/>
      <c r="CN1778" s="256"/>
      <c r="CO1778" s="256"/>
      <c r="CP1778" s="261"/>
      <c r="CQ1778" s="261"/>
      <c r="CR1778" s="255"/>
      <c r="CS1778" s="261"/>
      <c r="CT1778" s="261"/>
      <c r="CU1778" s="255"/>
      <c r="CV1778" s="261"/>
      <c r="CW1778" s="261"/>
      <c r="CX1778" s="261"/>
      <c r="CY1778" s="255"/>
    </row>
    <row r="1779" spans="1:103" ht="10.25" customHeight="1">
      <c r="C1779" s="278"/>
      <c r="F1779" s="377"/>
      <c r="G1779" s="377"/>
      <c r="H1779" s="377"/>
      <c r="I1779" s="377"/>
      <c r="J1779" s="377"/>
      <c r="K1779" s="377"/>
      <c r="L1779" s="377"/>
      <c r="M1779" s="377"/>
      <c r="N1779" s="269"/>
      <c r="O1779" s="63"/>
      <c r="P1779" s="63"/>
      <c r="Q1779" s="63"/>
      <c r="R1779" s="63"/>
      <c r="S1779" s="63"/>
      <c r="T1779" s="63"/>
      <c r="U1779" s="63"/>
      <c r="V1779" s="63"/>
      <c r="W1779" s="63"/>
      <c r="X1779" s="63"/>
      <c r="Y1779" s="63"/>
      <c r="Z1779" s="63"/>
      <c r="AA1779" s="63"/>
      <c r="AB1779" s="63"/>
      <c r="AC1779" s="63"/>
      <c r="AD1779" s="63"/>
      <c r="AE1779" s="63"/>
      <c r="AF1779" s="63"/>
      <c r="AG1779" s="63"/>
      <c r="AH1779" s="63"/>
      <c r="AI1779" s="63"/>
      <c r="AJ1779" s="63"/>
      <c r="AK1779" s="63"/>
      <c r="AL1779" s="63"/>
      <c r="AM1779" s="63"/>
      <c r="AN1779" s="63"/>
      <c r="AO1779" s="63"/>
      <c r="AP1779" s="63"/>
      <c r="AQ1779" s="63"/>
      <c r="CA1779" s="256"/>
      <c r="CB1779" s="261"/>
      <c r="CC1779" s="255"/>
      <c r="CD1779" s="261"/>
      <c r="CE1779" s="261"/>
      <c r="CF1779" s="255"/>
      <c r="CG1779" s="261"/>
      <c r="CH1779" s="261"/>
      <c r="CI1779" s="261"/>
      <c r="CJ1779" s="261"/>
      <c r="CK1779" s="261"/>
      <c r="CL1779" s="255"/>
      <c r="CN1779" s="256"/>
      <c r="CO1779" s="256"/>
      <c r="CP1779" s="261"/>
      <c r="CQ1779" s="261"/>
      <c r="CR1779" s="255"/>
      <c r="CS1779" s="261"/>
      <c r="CT1779" s="261"/>
      <c r="CU1779" s="255"/>
      <c r="CV1779" s="261"/>
      <c r="CW1779" s="261"/>
      <c r="CX1779" s="261"/>
      <c r="CY1779" s="255"/>
    </row>
    <row r="1780" spans="1:103" ht="10.4" customHeight="1">
      <c r="C1780" s="278"/>
      <c r="F1780" s="377"/>
      <c r="G1780" s="377"/>
      <c r="H1780" s="377"/>
      <c r="I1780" s="377"/>
      <c r="J1780" s="377"/>
      <c r="K1780" s="377"/>
      <c r="L1780" s="377"/>
      <c r="M1780" s="377"/>
      <c r="N1780" s="269"/>
      <c r="O1780" s="63"/>
      <c r="P1780" s="63"/>
      <c r="Q1780" s="63"/>
      <c r="R1780" s="63"/>
      <c r="S1780" s="63"/>
      <c r="T1780" s="63"/>
      <c r="U1780" s="63"/>
      <c r="V1780" s="63"/>
      <c r="W1780" s="63"/>
      <c r="X1780" s="63"/>
      <c r="Y1780" s="63"/>
      <c r="Z1780" s="63"/>
      <c r="AA1780" s="63"/>
      <c r="AB1780" s="63"/>
      <c r="AC1780" s="63"/>
      <c r="AD1780" s="63"/>
      <c r="AE1780" s="63"/>
      <c r="AF1780" s="63"/>
      <c r="AG1780" s="63"/>
      <c r="AH1780" s="63"/>
      <c r="AI1780" s="63"/>
      <c r="AJ1780" s="63"/>
      <c r="AK1780" s="63"/>
      <c r="AL1780" s="63"/>
      <c r="AM1780" s="63"/>
      <c r="AN1780" s="63"/>
      <c r="AO1780" s="63"/>
      <c r="AP1780" s="63"/>
      <c r="AQ1780" s="63"/>
      <c r="AS1780" s="236"/>
      <c r="BE1780" s="63"/>
      <c r="BF1780" s="63"/>
      <c r="BG1780" s="63"/>
      <c r="BK1780" s="317"/>
      <c r="BL1780" s="5"/>
      <c r="BM1780" s="5"/>
      <c r="BN1780" s="5"/>
      <c r="BO1780" s="5"/>
      <c r="BP1780" s="5"/>
      <c r="BQ1780" s="5"/>
      <c r="BR1780" s="5"/>
      <c r="BS1780" s="5"/>
      <c r="BT1780" s="5"/>
      <c r="BV1780" s="317"/>
      <c r="CF1780" s="5"/>
      <c r="CG1780" s="5"/>
      <c r="CH1780" s="5"/>
      <c r="CI1780" s="5"/>
      <c r="CJ1780" s="5"/>
      <c r="CK1780" s="5"/>
      <c r="CL1780" s="5"/>
    </row>
    <row r="1781" spans="1:103" ht="10.25" customHeight="1">
      <c r="A1781" s="377"/>
      <c r="B1781" s="377"/>
      <c r="C1781" s="377"/>
      <c r="D1781" s="377"/>
      <c r="E1781" s="377"/>
      <c r="F1781" s="377"/>
      <c r="G1781" s="377"/>
      <c r="H1781" s="377"/>
      <c r="I1781" s="377"/>
      <c r="J1781" s="377"/>
      <c r="K1781" s="377"/>
      <c r="L1781" s="377"/>
      <c r="M1781" s="377"/>
      <c r="N1781" s="269"/>
      <c r="O1781" s="63"/>
      <c r="P1781" s="63"/>
      <c r="Q1781" s="63"/>
      <c r="R1781" s="63"/>
      <c r="S1781" s="63"/>
      <c r="T1781" s="63"/>
      <c r="U1781" s="63"/>
      <c r="V1781" s="63"/>
      <c r="W1781" s="63"/>
      <c r="X1781" s="63"/>
      <c r="Y1781" s="63"/>
      <c r="Z1781" s="63"/>
      <c r="AA1781" s="63"/>
      <c r="AB1781" s="63"/>
      <c r="AC1781" s="63"/>
      <c r="AD1781" s="63"/>
      <c r="AE1781" s="63"/>
      <c r="AF1781" s="63"/>
      <c r="AG1781" s="63"/>
      <c r="AH1781" s="63"/>
      <c r="AI1781" s="63"/>
      <c r="AJ1781" s="63"/>
      <c r="AK1781" s="63"/>
      <c r="AL1781" s="63"/>
      <c r="AM1781" s="63"/>
      <c r="AN1781" s="63"/>
      <c r="AO1781" s="63"/>
      <c r="AP1781" s="63"/>
      <c r="AQ1781" s="63"/>
      <c r="BE1781" s="63"/>
      <c r="BF1781" s="63"/>
      <c r="BG1781" s="63"/>
      <c r="BK1781" s="317"/>
      <c r="BL1781" s="5"/>
      <c r="BM1781" s="5"/>
      <c r="BN1781" s="5"/>
      <c r="BO1781" s="5"/>
      <c r="BP1781" s="5"/>
      <c r="BQ1781" s="5"/>
      <c r="BR1781" s="5"/>
      <c r="BS1781" s="5"/>
      <c r="BT1781" s="5"/>
      <c r="BV1781" s="317"/>
      <c r="CF1781" s="5"/>
      <c r="CG1781" s="5"/>
      <c r="CH1781" s="5"/>
      <c r="CI1781" s="5"/>
      <c r="CJ1781" s="5"/>
      <c r="CK1781" s="5"/>
      <c r="CL1781" s="5"/>
    </row>
    <row r="1782" spans="1:103" ht="10.25" customHeight="1">
      <c r="A1782" s="376"/>
      <c r="B1782" s="376"/>
      <c r="C1782" s="376"/>
      <c r="D1782" s="376"/>
      <c r="E1782" s="376"/>
      <c r="F1782" s="376"/>
      <c r="G1782" s="376"/>
      <c r="H1782" s="376"/>
      <c r="I1782" s="376"/>
      <c r="J1782" s="376"/>
      <c r="K1782" s="376"/>
      <c r="L1782" s="376"/>
      <c r="M1782" s="376"/>
      <c r="N1782" s="279"/>
      <c r="O1782" s="51"/>
      <c r="P1782" s="51"/>
      <c r="Q1782" s="51"/>
      <c r="R1782" s="51"/>
      <c r="S1782" s="51"/>
      <c r="T1782" s="51"/>
      <c r="U1782" s="51"/>
      <c r="V1782" s="51"/>
      <c r="W1782" s="51"/>
      <c r="X1782" s="51"/>
      <c r="Y1782" s="51"/>
      <c r="Z1782" s="51"/>
      <c r="AA1782" s="51"/>
      <c r="AB1782" s="51"/>
      <c r="AC1782" s="51"/>
      <c r="AD1782" s="51"/>
      <c r="AE1782" s="51"/>
      <c r="AF1782" s="51"/>
      <c r="AG1782" s="51"/>
      <c r="AH1782" s="51"/>
      <c r="AI1782" s="51"/>
      <c r="AJ1782" s="51"/>
      <c r="AK1782" s="51"/>
      <c r="AL1782" s="51"/>
      <c r="AM1782" s="51"/>
      <c r="AN1782" s="51"/>
      <c r="AO1782" s="51"/>
      <c r="AP1782" s="51"/>
      <c r="AQ1782" s="51"/>
      <c r="BE1782" s="63"/>
      <c r="BF1782" s="63"/>
      <c r="BG1782" s="63"/>
      <c r="BK1782" s="317"/>
      <c r="BL1782" s="5"/>
      <c r="BM1782" s="5"/>
      <c r="BN1782" s="5"/>
      <c r="BO1782" s="5"/>
      <c r="BP1782" s="5"/>
      <c r="BQ1782" s="5"/>
      <c r="BR1782" s="5"/>
      <c r="BS1782" s="5"/>
      <c r="BT1782" s="5"/>
      <c r="BV1782" s="317"/>
      <c r="CF1782" s="5"/>
      <c r="CG1782" s="5"/>
      <c r="CH1782" s="5"/>
      <c r="CI1782" s="5"/>
      <c r="CJ1782" s="5"/>
      <c r="CK1782" s="5"/>
      <c r="CL1782" s="5"/>
    </row>
    <row r="1783" spans="1:103" ht="10.25" customHeight="1">
      <c r="A1783" s="374"/>
      <c r="B1783" s="374"/>
      <c r="C1783" s="374"/>
      <c r="D1783" s="374"/>
      <c r="E1783" s="374"/>
      <c r="F1783" s="374"/>
      <c r="G1783" s="374"/>
      <c r="H1783" s="374"/>
      <c r="I1783" s="374"/>
      <c r="J1783" s="374"/>
      <c r="K1783" s="374"/>
      <c r="L1783" s="374"/>
      <c r="M1783" s="374"/>
      <c r="N1783" s="213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  <c r="AP1783" s="5"/>
      <c r="AQ1783" s="5"/>
      <c r="BE1783" s="63"/>
      <c r="BF1783" s="63"/>
      <c r="BG1783" s="63"/>
      <c r="BK1783" s="317"/>
      <c r="BL1783" s="5"/>
      <c r="BM1783" s="5"/>
      <c r="BN1783" s="5"/>
      <c r="BO1783" s="5"/>
      <c r="BP1783" s="5"/>
      <c r="BQ1783" s="5"/>
      <c r="BR1783" s="5"/>
      <c r="BS1783" s="5"/>
      <c r="BT1783" s="5"/>
      <c r="BV1783" s="317"/>
      <c r="CF1783" s="5"/>
      <c r="CG1783" s="5"/>
      <c r="CH1783" s="5"/>
      <c r="CI1783" s="5"/>
      <c r="CJ1783" s="5"/>
      <c r="CK1783" s="5"/>
      <c r="CL1783" s="5"/>
    </row>
    <row r="1784" spans="1:103" ht="6" customHeight="1">
      <c r="A1784" s="208"/>
      <c r="B1784" s="209"/>
      <c r="C1784" s="209"/>
      <c r="D1784" s="209"/>
      <c r="E1784" s="209"/>
      <c r="F1784" s="280"/>
      <c r="G1784" s="280"/>
      <c r="H1784" s="280"/>
      <c r="I1784" s="280"/>
      <c r="J1784" s="280"/>
      <c r="K1784" s="280"/>
      <c r="L1784" s="280"/>
      <c r="M1784" s="280"/>
      <c r="N1784" s="280"/>
      <c r="O1784" s="42"/>
      <c r="P1784" s="42"/>
      <c r="Q1784" s="42"/>
      <c r="R1784" s="42"/>
      <c r="S1784" s="42"/>
      <c r="T1784" s="42"/>
      <c r="U1784" s="42"/>
      <c r="V1784" s="42"/>
      <c r="W1784" s="42"/>
      <c r="X1784" s="42"/>
      <c r="Y1784" s="42"/>
      <c r="Z1784" s="42"/>
      <c r="AA1784" s="42"/>
      <c r="AB1784" s="42"/>
      <c r="AC1784" s="42"/>
      <c r="AD1784" s="42"/>
      <c r="AE1784" s="42"/>
      <c r="AF1784" s="42"/>
      <c r="AG1784" s="42"/>
      <c r="AH1784" s="42"/>
      <c r="AI1784" s="42"/>
      <c r="AJ1784" s="42"/>
      <c r="AK1784" s="42"/>
      <c r="AL1784" s="42"/>
      <c r="AM1784" s="42"/>
      <c r="AN1784" s="42"/>
      <c r="AO1784" s="42"/>
      <c r="AP1784" s="42"/>
      <c r="AQ1784" s="42"/>
      <c r="BK1784" s="317"/>
      <c r="BL1784" s="5"/>
      <c r="BM1784" s="5"/>
      <c r="BN1784" s="5"/>
      <c r="BO1784" s="5"/>
      <c r="BP1784" s="5"/>
      <c r="BQ1784" s="5"/>
      <c r="BR1784" s="5"/>
      <c r="BS1784" s="5"/>
      <c r="BT1784" s="5"/>
      <c r="BV1784" s="317"/>
      <c r="CF1784" s="5"/>
      <c r="CG1784" s="5"/>
      <c r="CH1784" s="5"/>
      <c r="CI1784" s="5"/>
      <c r="CJ1784" s="5"/>
      <c r="CK1784" s="5"/>
      <c r="CL1784" s="5"/>
    </row>
    <row r="1785" spans="1:103" ht="10.25" customHeight="1">
      <c r="A1785" s="208"/>
      <c r="B1785" s="209"/>
      <c r="C1785" s="209"/>
      <c r="D1785" s="210"/>
      <c r="E1785" s="211"/>
      <c r="F1785" s="369"/>
      <c r="G1785" s="369"/>
      <c r="H1785" s="369"/>
      <c r="I1785" s="369"/>
      <c r="J1785" s="369"/>
      <c r="K1785" s="369"/>
      <c r="L1785" s="369"/>
      <c r="M1785" s="230"/>
      <c r="N1785" s="230"/>
      <c r="O1785" s="235"/>
      <c r="P1785" s="235"/>
      <c r="Q1785" s="235"/>
      <c r="R1785" s="235"/>
      <c r="S1785" s="235"/>
      <c r="T1785" s="235"/>
      <c r="U1785" s="235"/>
      <c r="V1785" s="235"/>
      <c r="W1785" s="235"/>
      <c r="X1785" s="235"/>
      <c r="Y1785" s="235"/>
      <c r="Z1785" s="235"/>
      <c r="AA1785" s="235"/>
      <c r="AB1785" s="235"/>
      <c r="AC1785" s="235"/>
      <c r="AD1785" s="235"/>
      <c r="AE1785" s="235"/>
      <c r="AF1785" s="235"/>
      <c r="AG1785" s="235"/>
      <c r="AH1785" s="235"/>
      <c r="AI1785" s="235"/>
      <c r="AJ1785" s="235"/>
      <c r="AK1785" s="235"/>
      <c r="AL1785" s="235"/>
      <c r="AM1785" s="235"/>
      <c r="AN1785" s="235"/>
      <c r="AO1785" s="235"/>
      <c r="AP1785" s="235"/>
      <c r="AQ1785" s="235"/>
      <c r="BK1785" s="317"/>
      <c r="BL1785" s="5"/>
      <c r="BM1785" s="5"/>
      <c r="BN1785" s="5"/>
      <c r="BO1785" s="5"/>
      <c r="BP1785" s="5"/>
      <c r="BQ1785" s="5"/>
      <c r="BR1785" s="5"/>
      <c r="BS1785" s="5"/>
      <c r="BT1785" s="5"/>
      <c r="BV1785" s="317"/>
      <c r="CF1785" s="5"/>
      <c r="CG1785" s="5"/>
      <c r="CH1785" s="5"/>
      <c r="CI1785" s="5"/>
      <c r="CJ1785" s="5"/>
      <c r="CK1785" s="5"/>
      <c r="CL1785" s="5"/>
    </row>
    <row r="1786" spans="1:103" ht="2" customHeight="1">
      <c r="A1786" s="209"/>
      <c r="B1786" s="209"/>
      <c r="C1786" s="212"/>
      <c r="D1786" s="213"/>
      <c r="E1786" s="209"/>
      <c r="F1786" s="209"/>
      <c r="G1786" s="209"/>
      <c r="H1786" s="209"/>
      <c r="I1786" s="209"/>
      <c r="J1786" s="209"/>
      <c r="K1786" s="209"/>
      <c r="L1786" s="209"/>
      <c r="M1786" s="209"/>
      <c r="N1786" s="209"/>
      <c r="O1786" s="46"/>
      <c r="P1786" s="46"/>
      <c r="Q1786" s="46"/>
      <c r="R1786" s="46"/>
      <c r="S1786" s="46"/>
      <c r="T1786" s="46"/>
      <c r="U1786" s="46"/>
      <c r="V1786" s="46"/>
      <c r="W1786" s="46"/>
      <c r="X1786" s="46"/>
      <c r="Y1786" s="46"/>
      <c r="Z1786" s="46"/>
      <c r="AA1786" s="46"/>
      <c r="AB1786" s="46"/>
      <c r="AC1786" s="46"/>
      <c r="AD1786" s="46"/>
      <c r="AE1786" s="46"/>
      <c r="AF1786" s="46"/>
      <c r="AG1786" s="46"/>
      <c r="AH1786" s="46"/>
      <c r="AI1786" s="46"/>
      <c r="AJ1786" s="46"/>
      <c r="AK1786" s="46"/>
      <c r="AL1786" s="46"/>
      <c r="AM1786" s="46"/>
      <c r="AN1786" s="46"/>
      <c r="AO1786" s="46"/>
      <c r="AP1786" s="46"/>
      <c r="AQ1786" s="46"/>
      <c r="BK1786" s="317"/>
      <c r="BL1786" s="5"/>
      <c r="BM1786" s="5"/>
      <c r="BN1786" s="5"/>
      <c r="BO1786" s="5"/>
      <c r="BP1786" s="5"/>
      <c r="BQ1786" s="5"/>
      <c r="BR1786" s="5"/>
      <c r="BS1786" s="5"/>
      <c r="BT1786" s="5"/>
      <c r="BV1786" s="317"/>
      <c r="CF1786" s="5"/>
      <c r="CG1786" s="5"/>
      <c r="CH1786" s="5"/>
      <c r="CI1786" s="5"/>
      <c r="CJ1786" s="5"/>
      <c r="CK1786" s="5"/>
      <c r="CL1786" s="5"/>
    </row>
    <row r="1787" spans="1:103" ht="26.4" customHeight="1">
      <c r="A1787" s="374"/>
      <c r="B1787" s="374"/>
      <c r="C1787" s="374"/>
      <c r="D1787" s="372"/>
      <c r="E1787" s="373"/>
      <c r="F1787" s="370"/>
      <c r="G1787" s="215"/>
      <c r="H1787" s="373"/>
      <c r="I1787" s="370"/>
      <c r="J1787" s="370"/>
      <c r="K1787" s="370"/>
      <c r="L1787" s="373"/>
      <c r="M1787" s="374"/>
      <c r="N1787" s="213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5"/>
      <c r="BK1787" s="317"/>
      <c r="BL1787" s="5"/>
      <c r="BM1787" s="5"/>
      <c r="BN1787" s="5"/>
      <c r="BO1787" s="5"/>
      <c r="BP1787" s="5"/>
      <c r="BQ1787" s="5"/>
      <c r="BR1787" s="5"/>
      <c r="BS1787" s="5"/>
      <c r="BT1787" s="5"/>
      <c r="BV1787" s="317"/>
      <c r="CF1787" s="5"/>
      <c r="CG1787" s="5"/>
      <c r="CH1787" s="5"/>
      <c r="CI1787" s="5"/>
      <c r="CJ1787" s="5"/>
      <c r="CK1787" s="5"/>
      <c r="CL1787" s="5"/>
    </row>
    <row r="1788" spans="1:103" ht="9.65" customHeight="1">
      <c r="A1788" s="374"/>
      <c r="B1788" s="374"/>
      <c r="C1788" s="374"/>
      <c r="D1788" s="372"/>
      <c r="E1788" s="373"/>
      <c r="F1788" s="370"/>
      <c r="G1788" s="215"/>
      <c r="H1788" s="373"/>
      <c r="I1788" s="233"/>
      <c r="J1788" s="233"/>
      <c r="K1788" s="233"/>
      <c r="L1788" s="373"/>
      <c r="M1788" s="374"/>
      <c r="N1788" s="213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/>
      <c r="AL1788" s="5"/>
      <c r="AM1788" s="5"/>
      <c r="AN1788" s="5"/>
      <c r="AO1788" s="5"/>
      <c r="AP1788" s="5"/>
      <c r="AQ1788" s="5"/>
      <c r="BK1788" s="317"/>
      <c r="BL1788" s="5"/>
      <c r="BM1788" s="5"/>
      <c r="BN1788" s="5"/>
      <c r="BO1788" s="5"/>
      <c r="BP1788" s="5"/>
      <c r="BQ1788" s="5"/>
      <c r="BR1788" s="5"/>
      <c r="BS1788" s="5"/>
      <c r="BT1788" s="5"/>
      <c r="BV1788" s="317"/>
      <c r="CF1788" s="5"/>
      <c r="CG1788" s="5"/>
      <c r="CH1788" s="5"/>
      <c r="CI1788" s="5"/>
      <c r="CJ1788" s="5"/>
      <c r="CK1788" s="5"/>
      <c r="CL1788" s="5"/>
    </row>
    <row r="1789" spans="1:103" ht="10.25" customHeight="1">
      <c r="A1789" s="216"/>
      <c r="B1789" s="217"/>
      <c r="C1789" s="218"/>
      <c r="D1789" s="219"/>
      <c r="E1789" s="217"/>
      <c r="F1789" s="217"/>
      <c r="G1789" s="217"/>
      <c r="H1789" s="220"/>
      <c r="I1789" s="217"/>
      <c r="J1789" s="217"/>
      <c r="K1789" s="217"/>
      <c r="L1789" s="217"/>
      <c r="M1789" s="217"/>
      <c r="N1789" s="217"/>
      <c r="O1789" s="44"/>
      <c r="P1789" s="44"/>
      <c r="Q1789" s="44"/>
      <c r="R1789" s="44"/>
      <c r="S1789" s="44"/>
      <c r="T1789" s="44"/>
      <c r="U1789" s="44"/>
      <c r="V1789" s="44"/>
      <c r="W1789" s="44"/>
      <c r="X1789" s="44"/>
      <c r="Y1789" s="44"/>
      <c r="Z1789" s="44"/>
      <c r="AA1789" s="44"/>
      <c r="AB1789" s="44"/>
      <c r="AC1789" s="44"/>
      <c r="AD1789" s="44"/>
      <c r="AE1789" s="44"/>
      <c r="AF1789" s="44"/>
      <c r="AG1789" s="44"/>
      <c r="AH1789" s="44"/>
      <c r="AI1789" s="44"/>
      <c r="AJ1789" s="44"/>
      <c r="AK1789" s="44"/>
      <c r="AL1789" s="44"/>
      <c r="AM1789" s="44"/>
      <c r="AN1789" s="44"/>
      <c r="AO1789" s="44"/>
      <c r="AP1789" s="44"/>
      <c r="AQ1789" s="44"/>
      <c r="BA1789" s="5"/>
      <c r="BB1789" s="5"/>
      <c r="BC1789" s="5"/>
      <c r="BD1789" s="5"/>
      <c r="BE1789" s="63"/>
      <c r="BF1789" s="63"/>
      <c r="BG1789" s="63"/>
      <c r="BK1789" s="317"/>
      <c r="BL1789" s="5"/>
      <c r="BM1789" s="5"/>
      <c r="BN1789" s="5"/>
      <c r="BO1789" s="5"/>
      <c r="BP1789" s="5"/>
      <c r="BQ1789" s="5"/>
      <c r="BR1789" s="5"/>
      <c r="BS1789" s="5"/>
      <c r="BT1789" s="5"/>
      <c r="BV1789" s="317"/>
      <c r="CF1789" s="5"/>
      <c r="CG1789" s="53"/>
      <c r="CH1789" s="53"/>
      <c r="CI1789" s="53"/>
      <c r="CJ1789" s="53"/>
      <c r="CK1789" s="53"/>
      <c r="CL1789" s="53"/>
      <c r="CN1789" s="53"/>
      <c r="CO1789" s="53"/>
      <c r="CP1789" s="53"/>
      <c r="CQ1789" s="53"/>
      <c r="CR1789" s="53"/>
      <c r="CS1789" s="53"/>
    </row>
    <row r="1790" spans="1:103" ht="10.25" customHeight="1">
      <c r="A1790" s="216"/>
      <c r="B1790" s="217"/>
      <c r="C1790" s="218"/>
      <c r="D1790" s="219"/>
      <c r="E1790" s="217"/>
      <c r="F1790" s="217"/>
      <c r="G1790" s="217"/>
      <c r="H1790" s="220"/>
      <c r="I1790" s="217"/>
      <c r="J1790" s="217"/>
      <c r="K1790" s="217"/>
      <c r="L1790" s="217"/>
      <c r="M1790" s="217"/>
      <c r="N1790" s="217"/>
      <c r="O1790" s="44"/>
      <c r="P1790" s="44"/>
      <c r="Q1790" s="44"/>
      <c r="R1790" s="44"/>
      <c r="S1790" s="44"/>
      <c r="T1790" s="44"/>
      <c r="U1790" s="44"/>
      <c r="V1790" s="44"/>
      <c r="W1790" s="44"/>
      <c r="X1790" s="44"/>
      <c r="Y1790" s="44"/>
      <c r="Z1790" s="44"/>
      <c r="AA1790" s="44"/>
      <c r="AB1790" s="44"/>
      <c r="AC1790" s="44"/>
      <c r="AD1790" s="44"/>
      <c r="AE1790" s="44"/>
      <c r="AF1790" s="44"/>
      <c r="AG1790" s="44"/>
      <c r="AH1790" s="44"/>
      <c r="AI1790" s="44"/>
      <c r="AJ1790" s="44"/>
      <c r="AK1790" s="44"/>
      <c r="AL1790" s="44"/>
      <c r="AM1790" s="44"/>
      <c r="AN1790" s="44"/>
      <c r="AO1790" s="44"/>
      <c r="AP1790" s="44"/>
      <c r="AQ1790" s="44"/>
      <c r="BA1790" s="5"/>
      <c r="BB1790" s="5"/>
      <c r="BC1790" s="5"/>
      <c r="BD1790" s="5"/>
      <c r="BE1790" s="63"/>
      <c r="BF1790" s="63"/>
      <c r="BG1790" s="63"/>
      <c r="BK1790" s="317"/>
      <c r="BL1790" s="5"/>
      <c r="BM1790" s="5"/>
      <c r="BN1790" s="5"/>
      <c r="BO1790" s="5"/>
      <c r="BP1790" s="5"/>
      <c r="BQ1790" s="5"/>
      <c r="BR1790" s="5"/>
      <c r="BS1790" s="5"/>
      <c r="BT1790" s="5"/>
      <c r="BV1790" s="317"/>
      <c r="CF1790" s="5"/>
      <c r="CG1790" s="53"/>
      <c r="CH1790" s="53"/>
      <c r="CI1790" s="53"/>
      <c r="CJ1790" s="53"/>
      <c r="CK1790" s="53"/>
      <c r="CL1790" s="53"/>
      <c r="CN1790" s="53"/>
      <c r="CO1790" s="53"/>
      <c r="CP1790" s="53"/>
      <c r="CQ1790" s="53"/>
      <c r="CR1790" s="53"/>
      <c r="CS1790" s="53"/>
    </row>
    <row r="1791" spans="1:103" ht="10.25" customHeight="1">
      <c r="A1791" s="216"/>
      <c r="B1791" s="217"/>
      <c r="C1791" s="218"/>
      <c r="D1791" s="219"/>
      <c r="E1791" s="217"/>
      <c r="F1791" s="217"/>
      <c r="G1791" s="217"/>
      <c r="H1791" s="220"/>
      <c r="I1791" s="217"/>
      <c r="J1791" s="217"/>
      <c r="K1791" s="217"/>
      <c r="L1791" s="217"/>
      <c r="M1791" s="217"/>
      <c r="N1791" s="217"/>
      <c r="O1791" s="44"/>
      <c r="P1791" s="44"/>
      <c r="Q1791" s="44"/>
      <c r="R1791" s="44"/>
      <c r="S1791" s="44"/>
      <c r="T1791" s="44"/>
      <c r="U1791" s="44"/>
      <c r="V1791" s="44"/>
      <c r="W1791" s="44"/>
      <c r="X1791" s="44"/>
      <c r="Y1791" s="44"/>
      <c r="Z1791" s="44"/>
      <c r="AA1791" s="44"/>
      <c r="AB1791" s="44"/>
      <c r="AC1791" s="44"/>
      <c r="AD1791" s="44"/>
      <c r="AE1791" s="44"/>
      <c r="AF1791" s="44"/>
      <c r="AG1791" s="44"/>
      <c r="AH1791" s="44"/>
      <c r="AI1791" s="44"/>
      <c r="AJ1791" s="44"/>
      <c r="AK1791" s="44"/>
      <c r="AL1791" s="44"/>
      <c r="AM1791" s="44"/>
      <c r="AN1791" s="44"/>
      <c r="AO1791" s="44"/>
      <c r="AP1791" s="44"/>
      <c r="AQ1791" s="44"/>
      <c r="BA1791" s="5"/>
      <c r="BB1791" s="5"/>
      <c r="BC1791" s="5"/>
      <c r="BD1791" s="5"/>
      <c r="BE1791" s="63"/>
      <c r="BF1791" s="63"/>
      <c r="BG1791" s="63"/>
      <c r="BK1791" s="317"/>
      <c r="BL1791" s="5"/>
      <c r="BM1791" s="5"/>
      <c r="BN1791" s="5"/>
      <c r="BO1791" s="5"/>
      <c r="BP1791" s="5"/>
      <c r="BQ1791" s="5"/>
      <c r="BR1791" s="5"/>
      <c r="BS1791" s="5"/>
      <c r="BT1791" s="5"/>
      <c r="BV1791" s="317"/>
      <c r="CF1791" s="5"/>
      <c r="CG1791" s="53"/>
      <c r="CH1791" s="53"/>
      <c r="CI1791" s="53"/>
      <c r="CJ1791" s="53"/>
      <c r="CK1791" s="53"/>
      <c r="CL1791" s="53"/>
      <c r="CN1791" s="53"/>
      <c r="CO1791" s="53"/>
      <c r="CP1791" s="53"/>
      <c r="CQ1791" s="53"/>
      <c r="CR1791" s="53"/>
      <c r="CS1791" s="53"/>
    </row>
    <row r="1792" spans="1:103" ht="10.25" customHeight="1">
      <c r="A1792" s="216"/>
      <c r="B1792" s="217"/>
      <c r="C1792" s="218"/>
      <c r="D1792" s="219"/>
      <c r="E1792" s="217"/>
      <c r="F1792" s="217"/>
      <c r="G1792" s="217"/>
      <c r="H1792" s="220"/>
      <c r="I1792" s="217"/>
      <c r="J1792" s="217"/>
      <c r="K1792" s="217"/>
      <c r="L1792" s="217"/>
      <c r="M1792" s="217"/>
      <c r="N1792" s="217"/>
      <c r="O1792" s="44"/>
      <c r="P1792" s="44"/>
      <c r="Q1792" s="44"/>
      <c r="R1792" s="44"/>
      <c r="S1792" s="44"/>
      <c r="T1792" s="44"/>
      <c r="U1792" s="44"/>
      <c r="V1792" s="44"/>
      <c r="W1792" s="44"/>
      <c r="X1792" s="44"/>
      <c r="Y1792" s="44"/>
      <c r="Z1792" s="44"/>
      <c r="AA1792" s="44"/>
      <c r="AB1792" s="44"/>
      <c r="AC1792" s="44"/>
      <c r="AD1792" s="44"/>
      <c r="AE1792" s="44"/>
      <c r="AF1792" s="44"/>
      <c r="AG1792" s="44"/>
      <c r="AH1792" s="44"/>
      <c r="AI1792" s="44"/>
      <c r="AJ1792" s="44"/>
      <c r="AK1792" s="44"/>
      <c r="AL1792" s="44"/>
      <c r="AM1792" s="44"/>
      <c r="AN1792" s="44"/>
      <c r="AO1792" s="44"/>
      <c r="AP1792" s="44"/>
      <c r="AQ1792" s="44"/>
      <c r="BA1792" s="5"/>
      <c r="BB1792" s="5"/>
      <c r="BC1792" s="5"/>
      <c r="BD1792" s="5"/>
      <c r="BE1792" s="63"/>
      <c r="BF1792" s="63"/>
      <c r="BG1792" s="63"/>
      <c r="BK1792" s="317"/>
      <c r="BL1792" s="5"/>
      <c r="BM1792" s="5"/>
      <c r="BN1792" s="5"/>
      <c r="BO1792" s="5"/>
      <c r="BP1792" s="5"/>
      <c r="BQ1792" s="5"/>
      <c r="BR1792" s="5"/>
      <c r="BS1792" s="5"/>
      <c r="BT1792" s="5"/>
      <c r="BV1792" s="317"/>
      <c r="CF1792" s="5"/>
      <c r="CG1792" s="53"/>
      <c r="CH1792" s="53"/>
      <c r="CI1792" s="53"/>
      <c r="CJ1792" s="53"/>
      <c r="CK1792" s="53"/>
      <c r="CL1792" s="53"/>
      <c r="CN1792" s="53"/>
      <c r="CO1792" s="53"/>
      <c r="CP1792" s="53"/>
      <c r="CQ1792" s="53"/>
      <c r="CR1792" s="53"/>
      <c r="CS1792" s="53"/>
    </row>
    <row r="1793" spans="1:103" ht="10.25" customHeight="1">
      <c r="A1793" s="216"/>
      <c r="B1793" s="217"/>
      <c r="C1793" s="218"/>
      <c r="D1793" s="219"/>
      <c r="E1793" s="217"/>
      <c r="F1793" s="217"/>
      <c r="G1793" s="217"/>
      <c r="H1793" s="220"/>
      <c r="I1793" s="217"/>
      <c r="J1793" s="217"/>
      <c r="K1793" s="217"/>
      <c r="L1793" s="217"/>
      <c r="M1793" s="217"/>
      <c r="N1793" s="217"/>
      <c r="O1793" s="44"/>
      <c r="P1793" s="44"/>
      <c r="Q1793" s="44"/>
      <c r="R1793" s="44"/>
      <c r="S1793" s="44"/>
      <c r="T1793" s="44"/>
      <c r="U1793" s="44"/>
      <c r="V1793" s="44"/>
      <c r="W1793" s="44"/>
      <c r="X1793" s="44"/>
      <c r="Y1793" s="44"/>
      <c r="Z1793" s="44"/>
      <c r="AA1793" s="44"/>
      <c r="AB1793" s="44"/>
      <c r="AC1793" s="44"/>
      <c r="AD1793" s="44"/>
      <c r="AE1793" s="44"/>
      <c r="AF1793" s="44"/>
      <c r="AG1793" s="44"/>
      <c r="AH1793" s="44"/>
      <c r="AI1793" s="44"/>
      <c r="AJ1793" s="44"/>
      <c r="AK1793" s="44"/>
      <c r="AL1793" s="44"/>
      <c r="AM1793" s="44"/>
      <c r="AN1793" s="44"/>
      <c r="AO1793" s="44"/>
      <c r="AP1793" s="44"/>
      <c r="AQ1793" s="44"/>
      <c r="BA1793" s="5"/>
      <c r="BB1793" s="5"/>
      <c r="BC1793" s="5"/>
      <c r="BD1793" s="5"/>
      <c r="BE1793" s="63"/>
      <c r="BF1793" s="63"/>
      <c r="BG1793" s="63"/>
      <c r="BK1793" s="317"/>
      <c r="BL1793" s="5"/>
      <c r="BM1793" s="5"/>
      <c r="BN1793" s="5"/>
      <c r="BO1793" s="5"/>
      <c r="BP1793" s="5"/>
      <c r="BQ1793" s="5"/>
      <c r="BR1793" s="5"/>
      <c r="BS1793" s="5"/>
      <c r="BT1793" s="5"/>
      <c r="BV1793" s="317"/>
      <c r="CF1793" s="5"/>
      <c r="CG1793" s="53"/>
      <c r="CH1793" s="53"/>
      <c r="CI1793" s="53"/>
      <c r="CJ1793" s="53"/>
      <c r="CK1793" s="53"/>
      <c r="CL1793" s="53"/>
      <c r="CN1793" s="53"/>
      <c r="CO1793" s="53"/>
      <c r="CP1793" s="53"/>
      <c r="CQ1793" s="53"/>
      <c r="CR1793" s="53"/>
      <c r="CS1793" s="53"/>
    </row>
    <row r="1794" spans="1:103" ht="10.25" customHeight="1">
      <c r="A1794" s="216"/>
      <c r="B1794" s="217"/>
      <c r="C1794" s="218"/>
      <c r="D1794" s="219"/>
      <c r="E1794" s="217"/>
      <c r="F1794" s="217"/>
      <c r="G1794" s="217"/>
      <c r="H1794" s="220"/>
      <c r="I1794" s="217"/>
      <c r="J1794" s="217"/>
      <c r="K1794" s="217"/>
      <c r="L1794" s="217"/>
      <c r="M1794" s="217"/>
      <c r="N1794" s="217"/>
      <c r="O1794" s="44"/>
      <c r="P1794" s="44"/>
      <c r="Q1794" s="44"/>
      <c r="R1794" s="44"/>
      <c r="S1794" s="44"/>
      <c r="T1794" s="44"/>
      <c r="U1794" s="44"/>
      <c r="V1794" s="44"/>
      <c r="W1794" s="44"/>
      <c r="X1794" s="44"/>
      <c r="Y1794" s="44"/>
      <c r="Z1794" s="44"/>
      <c r="AA1794" s="44"/>
      <c r="AB1794" s="44"/>
      <c r="AC1794" s="44"/>
      <c r="AD1794" s="44"/>
      <c r="AE1794" s="44"/>
      <c r="AF1794" s="44"/>
      <c r="AG1794" s="44"/>
      <c r="AH1794" s="44"/>
      <c r="AI1794" s="44"/>
      <c r="AJ1794" s="44"/>
      <c r="AK1794" s="44"/>
      <c r="AL1794" s="44"/>
      <c r="AM1794" s="44"/>
      <c r="AN1794" s="44"/>
      <c r="AO1794" s="44"/>
      <c r="AP1794" s="44"/>
      <c r="AQ1794" s="44"/>
      <c r="BA1794" s="5"/>
      <c r="BB1794" s="5"/>
      <c r="BC1794" s="5"/>
      <c r="BD1794" s="5"/>
      <c r="BE1794" s="63"/>
      <c r="BF1794" s="63"/>
      <c r="BG1794" s="63"/>
      <c r="BK1794" s="317"/>
      <c r="BL1794" s="5"/>
      <c r="BM1794" s="5"/>
      <c r="BN1794" s="5"/>
      <c r="BO1794" s="5"/>
      <c r="BP1794" s="5"/>
      <c r="BQ1794" s="5"/>
      <c r="BR1794" s="5"/>
      <c r="BS1794" s="5"/>
      <c r="BT1794" s="5"/>
      <c r="BV1794" s="317"/>
      <c r="CF1794" s="5"/>
      <c r="CG1794" s="53"/>
      <c r="CH1794" s="53"/>
      <c r="CI1794" s="53"/>
      <c r="CJ1794" s="53"/>
      <c r="CK1794" s="53"/>
      <c r="CL1794" s="53"/>
      <c r="CN1794" s="53"/>
      <c r="CO1794" s="53"/>
      <c r="CP1794" s="53"/>
      <c r="CQ1794" s="53"/>
      <c r="CR1794" s="53"/>
      <c r="CS1794" s="53"/>
    </row>
    <row r="1795" spans="1:103" ht="10.25" customHeight="1">
      <c r="A1795" s="216"/>
      <c r="B1795" s="217"/>
      <c r="C1795" s="218"/>
      <c r="D1795" s="219"/>
      <c r="E1795" s="217"/>
      <c r="F1795" s="217"/>
      <c r="G1795" s="217"/>
      <c r="H1795" s="220"/>
      <c r="I1795" s="217"/>
      <c r="J1795" s="217"/>
      <c r="K1795" s="217"/>
      <c r="L1795" s="217"/>
      <c r="M1795" s="217"/>
      <c r="N1795" s="217"/>
      <c r="O1795" s="44"/>
      <c r="P1795" s="44"/>
      <c r="Q1795" s="44"/>
      <c r="R1795" s="44"/>
      <c r="S1795" s="44"/>
      <c r="T1795" s="44"/>
      <c r="U1795" s="44"/>
      <c r="V1795" s="44"/>
      <c r="W1795" s="44"/>
      <c r="X1795" s="44"/>
      <c r="Y1795" s="44"/>
      <c r="Z1795" s="44"/>
      <c r="AA1795" s="44"/>
      <c r="AB1795" s="44"/>
      <c r="AC1795" s="44"/>
      <c r="AD1795" s="44"/>
      <c r="AE1795" s="44"/>
      <c r="AF1795" s="44"/>
      <c r="AG1795" s="44"/>
      <c r="AH1795" s="44"/>
      <c r="AI1795" s="44"/>
      <c r="AJ1795" s="44"/>
      <c r="AK1795" s="44"/>
      <c r="AL1795" s="44"/>
      <c r="AM1795" s="44"/>
      <c r="AN1795" s="44"/>
      <c r="AO1795" s="44"/>
      <c r="AP1795" s="44"/>
      <c r="AQ1795" s="44"/>
      <c r="BA1795" s="5"/>
      <c r="BB1795" s="5"/>
      <c r="BC1795" s="5"/>
      <c r="BD1795" s="5"/>
      <c r="BE1795" s="63"/>
      <c r="BF1795" s="63"/>
      <c r="BG1795" s="63"/>
      <c r="BK1795" s="317"/>
      <c r="BL1795" s="5"/>
      <c r="BM1795" s="5"/>
      <c r="BN1795" s="5"/>
      <c r="BO1795" s="5"/>
      <c r="BP1795" s="5"/>
      <c r="BQ1795" s="5"/>
      <c r="BR1795" s="5"/>
      <c r="BS1795" s="5"/>
      <c r="BT1795" s="5"/>
      <c r="BV1795" s="317"/>
      <c r="CF1795" s="5"/>
      <c r="CG1795" s="53"/>
      <c r="CH1795" s="53"/>
      <c r="CI1795" s="53"/>
      <c r="CJ1795" s="53"/>
      <c r="CK1795" s="53"/>
      <c r="CL1795" s="53"/>
      <c r="CN1795" s="53"/>
      <c r="CO1795" s="53"/>
      <c r="CP1795" s="53"/>
      <c r="CQ1795" s="53"/>
      <c r="CR1795" s="53"/>
      <c r="CS1795" s="53"/>
    </row>
    <row r="1796" spans="1:103" ht="10.25" customHeight="1">
      <c r="A1796" s="216"/>
      <c r="B1796" s="217"/>
      <c r="C1796" s="218"/>
      <c r="D1796" s="219"/>
      <c r="E1796" s="217"/>
      <c r="F1796" s="217"/>
      <c r="G1796" s="217"/>
      <c r="H1796" s="220"/>
      <c r="I1796" s="217"/>
      <c r="J1796" s="217"/>
      <c r="K1796" s="217"/>
      <c r="L1796" s="217"/>
      <c r="M1796" s="217"/>
      <c r="N1796" s="217"/>
      <c r="O1796" s="44"/>
      <c r="P1796" s="44"/>
      <c r="Q1796" s="44"/>
      <c r="R1796" s="44"/>
      <c r="S1796" s="44"/>
      <c r="T1796" s="44"/>
      <c r="U1796" s="44"/>
      <c r="V1796" s="44"/>
      <c r="W1796" s="44"/>
      <c r="X1796" s="44"/>
      <c r="Y1796" s="44"/>
      <c r="Z1796" s="44"/>
      <c r="AA1796" s="44"/>
      <c r="AB1796" s="44"/>
      <c r="AC1796" s="44"/>
      <c r="AD1796" s="44"/>
      <c r="AE1796" s="44"/>
      <c r="AF1796" s="44"/>
      <c r="AG1796" s="44"/>
      <c r="AH1796" s="44"/>
      <c r="AI1796" s="44"/>
      <c r="AJ1796" s="44"/>
      <c r="AK1796" s="44"/>
      <c r="AL1796" s="44"/>
      <c r="AM1796" s="44"/>
      <c r="AN1796" s="44"/>
      <c r="AO1796" s="44"/>
      <c r="AP1796" s="44"/>
      <c r="AQ1796" s="44"/>
      <c r="AW1796" s="63"/>
      <c r="AX1796" s="63"/>
      <c r="AY1796" s="63"/>
      <c r="AZ1796" s="63"/>
      <c r="BA1796" s="5"/>
      <c r="BB1796" s="5"/>
      <c r="BC1796" s="5"/>
      <c r="BD1796" s="5"/>
      <c r="BE1796" s="63"/>
      <c r="BF1796" s="63"/>
      <c r="BG1796" s="63"/>
      <c r="BV1796" s="317"/>
      <c r="CF1796" s="5"/>
      <c r="CG1796" s="53"/>
      <c r="CH1796" s="53"/>
      <c r="CI1796" s="53"/>
      <c r="CJ1796" s="53"/>
      <c r="CK1796" s="53"/>
      <c r="CL1796" s="53"/>
      <c r="CN1796" s="53"/>
      <c r="CO1796" s="53"/>
      <c r="CP1796" s="53"/>
      <c r="CQ1796" s="53"/>
      <c r="CR1796" s="53"/>
      <c r="CS1796" s="53"/>
    </row>
    <row r="1797" spans="1:103" ht="10.25" customHeight="1">
      <c r="A1797" s="216"/>
      <c r="B1797" s="217"/>
      <c r="C1797" s="218"/>
      <c r="D1797" s="219"/>
      <c r="E1797" s="217"/>
      <c r="F1797" s="217"/>
      <c r="G1797" s="217"/>
      <c r="H1797" s="220"/>
      <c r="I1797" s="217"/>
      <c r="J1797" s="217"/>
      <c r="K1797" s="217"/>
      <c r="L1797" s="217"/>
      <c r="M1797" s="217"/>
      <c r="N1797" s="217"/>
      <c r="O1797" s="44"/>
      <c r="P1797" s="44"/>
      <c r="Q1797" s="44"/>
      <c r="R1797" s="44"/>
      <c r="S1797" s="44"/>
      <c r="T1797" s="44"/>
      <c r="U1797" s="44"/>
      <c r="V1797" s="44"/>
      <c r="W1797" s="44"/>
      <c r="X1797" s="44"/>
      <c r="Y1797" s="44"/>
      <c r="Z1797" s="44"/>
      <c r="AA1797" s="44"/>
      <c r="AB1797" s="44"/>
      <c r="AC1797" s="44"/>
      <c r="AD1797" s="44"/>
      <c r="AE1797" s="44"/>
      <c r="AF1797" s="44"/>
      <c r="AG1797" s="44"/>
      <c r="AH1797" s="44"/>
      <c r="AI1797" s="44"/>
      <c r="AJ1797" s="44"/>
      <c r="AK1797" s="44"/>
      <c r="AL1797" s="44"/>
      <c r="AM1797" s="44"/>
      <c r="AN1797" s="44"/>
      <c r="AO1797" s="44"/>
      <c r="AP1797" s="44"/>
      <c r="AQ1797" s="44"/>
      <c r="AW1797" s="63"/>
      <c r="AX1797" s="63"/>
      <c r="AY1797" s="63"/>
      <c r="AZ1797" s="63"/>
      <c r="BA1797" s="5"/>
      <c r="BB1797" s="5"/>
      <c r="BC1797" s="5"/>
      <c r="BD1797" s="5"/>
      <c r="BE1797" s="63"/>
      <c r="BF1797" s="63"/>
      <c r="BG1797" s="63"/>
      <c r="BV1797" s="317"/>
      <c r="CF1797" s="5"/>
      <c r="CG1797" s="53"/>
      <c r="CH1797" s="53"/>
      <c r="CI1797" s="53"/>
      <c r="CJ1797" s="53"/>
      <c r="CK1797" s="53"/>
      <c r="CL1797" s="53"/>
      <c r="CN1797" s="53"/>
      <c r="CO1797" s="53"/>
      <c r="CP1797" s="53"/>
      <c r="CQ1797" s="53"/>
      <c r="CR1797" s="53"/>
      <c r="CS1797" s="53"/>
    </row>
    <row r="1798" spans="1:103" ht="10.25" customHeight="1">
      <c r="A1798" s="216"/>
      <c r="B1798" s="217"/>
      <c r="C1798" s="218"/>
      <c r="D1798" s="219"/>
      <c r="E1798" s="217"/>
      <c r="F1798" s="217"/>
      <c r="G1798" s="217"/>
      <c r="H1798" s="220"/>
      <c r="I1798" s="217"/>
      <c r="J1798" s="217"/>
      <c r="K1798" s="217"/>
      <c r="L1798" s="217"/>
      <c r="M1798" s="217"/>
      <c r="N1798" s="217"/>
      <c r="O1798" s="44"/>
      <c r="P1798" s="44"/>
      <c r="Q1798" s="44"/>
      <c r="R1798" s="44"/>
      <c r="S1798" s="44"/>
      <c r="T1798" s="44"/>
      <c r="U1798" s="44"/>
      <c r="V1798" s="44"/>
      <c r="W1798" s="44"/>
      <c r="X1798" s="44"/>
      <c r="Y1798" s="44"/>
      <c r="Z1798" s="44"/>
      <c r="AA1798" s="44"/>
      <c r="AB1798" s="44"/>
      <c r="AC1798" s="44"/>
      <c r="AD1798" s="44"/>
      <c r="AE1798" s="44"/>
      <c r="AF1798" s="44"/>
      <c r="AG1798" s="44"/>
      <c r="AH1798" s="44"/>
      <c r="AI1798" s="44"/>
      <c r="AJ1798" s="44"/>
      <c r="AK1798" s="44"/>
      <c r="AL1798" s="44"/>
      <c r="AM1798" s="44"/>
      <c r="AN1798" s="44"/>
      <c r="AO1798" s="44"/>
      <c r="AP1798" s="44"/>
      <c r="AQ1798" s="44"/>
      <c r="AW1798" s="63"/>
      <c r="AX1798" s="63"/>
      <c r="AY1798" s="63"/>
      <c r="AZ1798" s="63"/>
      <c r="BA1798" s="5"/>
      <c r="BB1798" s="5"/>
      <c r="BC1798" s="5"/>
      <c r="BD1798" s="5"/>
      <c r="BE1798" s="63"/>
      <c r="BF1798" s="63"/>
      <c r="BG1798" s="63"/>
      <c r="BV1798" s="317"/>
      <c r="CF1798" s="5"/>
      <c r="CG1798" s="53"/>
      <c r="CH1798" s="53"/>
      <c r="CI1798" s="53"/>
      <c r="CJ1798" s="53"/>
      <c r="CK1798" s="53"/>
      <c r="CL1798" s="53"/>
      <c r="CN1798" s="53"/>
      <c r="CO1798" s="53"/>
      <c r="CP1798" s="53"/>
      <c r="CQ1798" s="53"/>
      <c r="CR1798" s="53"/>
      <c r="CS1798" s="53"/>
      <c r="CT1798" s="5"/>
      <c r="CU1798" s="5"/>
      <c r="CV1798" s="5"/>
      <c r="CW1798" s="5"/>
      <c r="CX1798" s="5"/>
      <c r="CY1798" s="5"/>
    </row>
    <row r="1799" spans="1:103" ht="10.25" customHeight="1">
      <c r="A1799" s="216"/>
      <c r="B1799" s="217"/>
      <c r="C1799" s="218"/>
      <c r="D1799" s="219"/>
      <c r="E1799" s="217"/>
      <c r="F1799" s="217"/>
      <c r="G1799" s="217"/>
      <c r="H1799" s="220"/>
      <c r="I1799" s="217"/>
      <c r="J1799" s="217"/>
      <c r="K1799" s="217"/>
      <c r="L1799" s="217"/>
      <c r="M1799" s="217"/>
      <c r="N1799" s="217"/>
      <c r="O1799" s="44"/>
      <c r="P1799" s="44"/>
      <c r="Q1799" s="44"/>
      <c r="R1799" s="44"/>
      <c r="S1799" s="44"/>
      <c r="T1799" s="44"/>
      <c r="U1799" s="44"/>
      <c r="V1799" s="44"/>
      <c r="W1799" s="44"/>
      <c r="X1799" s="44"/>
      <c r="Y1799" s="44"/>
      <c r="Z1799" s="44"/>
      <c r="AA1799" s="44"/>
      <c r="AB1799" s="44"/>
      <c r="AC1799" s="44"/>
      <c r="AD1799" s="44"/>
      <c r="AE1799" s="44"/>
      <c r="AF1799" s="44"/>
      <c r="AG1799" s="44"/>
      <c r="AH1799" s="44"/>
      <c r="AI1799" s="44"/>
      <c r="AJ1799" s="44"/>
      <c r="AK1799" s="44"/>
      <c r="AL1799" s="44"/>
      <c r="AM1799" s="44"/>
      <c r="AN1799" s="44"/>
      <c r="AO1799" s="44"/>
      <c r="AP1799" s="44"/>
      <c r="AQ1799" s="44"/>
      <c r="AW1799" s="63"/>
      <c r="AX1799" s="63"/>
      <c r="AY1799" s="63"/>
      <c r="AZ1799" s="63"/>
      <c r="BA1799" s="5"/>
      <c r="BB1799" s="5"/>
      <c r="BC1799" s="5"/>
      <c r="BD1799" s="5"/>
      <c r="BE1799" s="63"/>
      <c r="BF1799" s="63"/>
      <c r="BG1799" s="63"/>
      <c r="BV1799" s="317"/>
      <c r="CF1799" s="5"/>
      <c r="CG1799" s="53"/>
      <c r="CH1799" s="53"/>
      <c r="CI1799" s="53"/>
      <c r="CJ1799" s="53"/>
      <c r="CK1799" s="53"/>
      <c r="CL1799" s="53"/>
      <c r="CN1799" s="53"/>
      <c r="CO1799" s="53"/>
      <c r="CP1799" s="53"/>
      <c r="CQ1799" s="53"/>
      <c r="CR1799" s="53"/>
      <c r="CS1799" s="53"/>
      <c r="CT1799" s="5"/>
      <c r="CU1799" s="5"/>
      <c r="CV1799" s="5"/>
      <c r="CW1799" s="5"/>
      <c r="CX1799" s="5"/>
      <c r="CY1799" s="5"/>
    </row>
    <row r="1800" spans="1:103" ht="10.25" customHeight="1">
      <c r="A1800" s="216"/>
      <c r="B1800" s="217"/>
      <c r="C1800" s="218"/>
      <c r="D1800" s="219"/>
      <c r="E1800" s="217"/>
      <c r="F1800" s="217"/>
      <c r="G1800" s="217"/>
      <c r="H1800" s="220"/>
      <c r="I1800" s="217"/>
      <c r="J1800" s="217"/>
      <c r="K1800" s="217"/>
      <c r="L1800" s="217"/>
      <c r="M1800" s="217"/>
      <c r="N1800" s="217"/>
      <c r="O1800" s="44"/>
      <c r="P1800" s="44"/>
      <c r="Q1800" s="44"/>
      <c r="R1800" s="44"/>
      <c r="S1800" s="44"/>
      <c r="T1800" s="44"/>
      <c r="U1800" s="44"/>
      <c r="V1800" s="44"/>
      <c r="W1800" s="44"/>
      <c r="X1800" s="44"/>
      <c r="Y1800" s="44"/>
      <c r="Z1800" s="44"/>
      <c r="AA1800" s="44"/>
      <c r="AB1800" s="44"/>
      <c r="AC1800" s="44"/>
      <c r="AD1800" s="44"/>
      <c r="AE1800" s="44"/>
      <c r="AF1800" s="44"/>
      <c r="AG1800" s="44"/>
      <c r="AH1800" s="44"/>
      <c r="AI1800" s="44"/>
      <c r="AJ1800" s="44"/>
      <c r="AK1800" s="44"/>
      <c r="AL1800" s="44"/>
      <c r="AM1800" s="44"/>
      <c r="AN1800" s="44"/>
      <c r="AO1800" s="44"/>
      <c r="AP1800" s="44"/>
      <c r="AQ1800" s="44"/>
      <c r="AW1800" s="63"/>
      <c r="AX1800" s="63"/>
      <c r="AY1800" s="63"/>
      <c r="AZ1800" s="63"/>
      <c r="BA1800" s="5"/>
      <c r="BB1800" s="5"/>
      <c r="BC1800" s="5"/>
      <c r="BD1800" s="5"/>
      <c r="BE1800" s="63"/>
      <c r="BF1800" s="63"/>
      <c r="BG1800" s="63"/>
      <c r="BV1800" s="317"/>
      <c r="CF1800" s="5"/>
      <c r="CG1800" s="53"/>
      <c r="CH1800" s="53"/>
      <c r="CI1800" s="53"/>
      <c r="CJ1800" s="53"/>
      <c r="CK1800" s="53"/>
      <c r="CL1800" s="53"/>
      <c r="CN1800" s="53"/>
      <c r="CO1800" s="53"/>
      <c r="CP1800" s="53"/>
      <c r="CQ1800" s="53"/>
      <c r="CR1800" s="53"/>
      <c r="CS1800" s="53"/>
      <c r="CT1800" s="5"/>
      <c r="CU1800" s="5"/>
      <c r="CV1800" s="5"/>
      <c r="CW1800" s="5"/>
      <c r="CX1800" s="5"/>
      <c r="CY1800" s="5"/>
    </row>
    <row r="1801" spans="1:103" ht="10.25" customHeight="1">
      <c r="A1801" s="216"/>
      <c r="B1801" s="217"/>
      <c r="C1801" s="218"/>
      <c r="D1801" s="219"/>
      <c r="E1801" s="217"/>
      <c r="F1801" s="217"/>
      <c r="G1801" s="217"/>
      <c r="H1801" s="220"/>
      <c r="I1801" s="217"/>
      <c r="J1801" s="217"/>
      <c r="K1801" s="217"/>
      <c r="L1801" s="217"/>
      <c r="M1801" s="217"/>
      <c r="N1801" s="217"/>
      <c r="O1801" s="44"/>
      <c r="P1801" s="44"/>
      <c r="Q1801" s="44"/>
      <c r="R1801" s="44"/>
      <c r="S1801" s="44"/>
      <c r="T1801" s="44"/>
      <c r="U1801" s="44"/>
      <c r="V1801" s="44"/>
      <c r="W1801" s="44"/>
      <c r="X1801" s="44"/>
      <c r="Y1801" s="44"/>
      <c r="Z1801" s="44"/>
      <c r="AA1801" s="44"/>
      <c r="AB1801" s="44"/>
      <c r="AC1801" s="44"/>
      <c r="AD1801" s="44"/>
      <c r="AE1801" s="44"/>
      <c r="AF1801" s="44"/>
      <c r="AG1801" s="44"/>
      <c r="AH1801" s="44"/>
      <c r="AI1801" s="44"/>
      <c r="AJ1801" s="44"/>
      <c r="AK1801" s="44"/>
      <c r="AL1801" s="44"/>
      <c r="AM1801" s="44"/>
      <c r="AN1801" s="44"/>
      <c r="AO1801" s="44"/>
      <c r="AP1801" s="44"/>
      <c r="AQ1801" s="44"/>
      <c r="BA1801" s="5"/>
      <c r="BB1801" s="5"/>
      <c r="BC1801" s="5"/>
      <c r="BD1801" s="5"/>
      <c r="BE1801" s="63"/>
      <c r="BF1801" s="63"/>
      <c r="BG1801" s="63"/>
      <c r="BV1801" s="317"/>
      <c r="CF1801" s="5"/>
      <c r="CG1801" s="53"/>
      <c r="CH1801" s="53"/>
      <c r="CI1801" s="53"/>
      <c r="CJ1801" s="53"/>
      <c r="CK1801" s="53"/>
      <c r="CL1801" s="53"/>
      <c r="CN1801" s="53"/>
      <c r="CO1801" s="53"/>
      <c r="CP1801" s="53"/>
      <c r="CQ1801" s="53"/>
      <c r="CR1801" s="53"/>
      <c r="CS1801" s="53"/>
      <c r="CT1801" s="5"/>
      <c r="CU1801" s="5"/>
      <c r="CV1801" s="5"/>
      <c r="CW1801" s="5"/>
      <c r="CX1801" s="5"/>
      <c r="CY1801" s="5"/>
    </row>
    <row r="1802" spans="1:103" ht="10.25" customHeight="1">
      <c r="A1802" s="216"/>
      <c r="B1802" s="217"/>
      <c r="C1802" s="218"/>
      <c r="D1802" s="219"/>
      <c r="E1802" s="217"/>
      <c r="F1802" s="217"/>
      <c r="G1802" s="217"/>
      <c r="H1802" s="220"/>
      <c r="I1802" s="217"/>
      <c r="J1802" s="217"/>
      <c r="K1802" s="217"/>
      <c r="L1802" s="217"/>
      <c r="M1802" s="217"/>
      <c r="N1802" s="217"/>
      <c r="O1802" s="44"/>
      <c r="P1802" s="44"/>
      <c r="Q1802" s="44"/>
      <c r="R1802" s="44"/>
      <c r="S1802" s="44"/>
      <c r="T1802" s="44"/>
      <c r="U1802" s="44"/>
      <c r="V1802" s="44"/>
      <c r="W1802" s="44"/>
      <c r="X1802" s="44"/>
      <c r="Y1802" s="44"/>
      <c r="Z1802" s="44"/>
      <c r="AA1802" s="44"/>
      <c r="AB1802" s="44"/>
      <c r="AC1802" s="44"/>
      <c r="AD1802" s="44"/>
      <c r="AE1802" s="44"/>
      <c r="AF1802" s="44"/>
      <c r="AG1802" s="44"/>
      <c r="AH1802" s="44"/>
      <c r="AI1802" s="44"/>
      <c r="AJ1802" s="44"/>
      <c r="AK1802" s="44"/>
      <c r="AL1802" s="44"/>
      <c r="AM1802" s="44"/>
      <c r="AN1802" s="44"/>
      <c r="AO1802" s="44"/>
      <c r="AP1802" s="44"/>
      <c r="AQ1802" s="44"/>
      <c r="BA1802" s="5"/>
      <c r="BB1802" s="5"/>
      <c r="BC1802" s="5"/>
      <c r="BD1802" s="5"/>
      <c r="BE1802" s="63"/>
      <c r="BF1802" s="63"/>
      <c r="BG1802" s="63"/>
      <c r="BV1802" s="317"/>
      <c r="CF1802" s="5"/>
      <c r="CG1802" s="53"/>
      <c r="CH1802" s="53"/>
      <c r="CI1802" s="53"/>
      <c r="CJ1802" s="53"/>
      <c r="CK1802" s="53"/>
      <c r="CL1802" s="53"/>
      <c r="CN1802" s="53"/>
      <c r="CO1802" s="53"/>
      <c r="CP1802" s="53"/>
      <c r="CQ1802" s="53"/>
      <c r="CR1802" s="53"/>
      <c r="CS1802" s="53"/>
      <c r="CT1802" s="5"/>
      <c r="CU1802" s="5"/>
      <c r="CV1802" s="5"/>
      <c r="CW1802" s="5"/>
      <c r="CX1802" s="5"/>
      <c r="CY1802" s="5"/>
    </row>
    <row r="1803" spans="1:103" ht="10.25" customHeight="1">
      <c r="A1803" s="216"/>
      <c r="B1803" s="217"/>
      <c r="C1803" s="218"/>
      <c r="D1803" s="219"/>
      <c r="E1803" s="217"/>
      <c r="F1803" s="217"/>
      <c r="G1803" s="217"/>
      <c r="H1803" s="220"/>
      <c r="I1803" s="217"/>
      <c r="J1803" s="217"/>
      <c r="K1803" s="217"/>
      <c r="L1803" s="217"/>
      <c r="M1803" s="217"/>
      <c r="N1803" s="217"/>
      <c r="O1803" s="44"/>
      <c r="P1803" s="44"/>
      <c r="Q1803" s="44"/>
      <c r="R1803" s="44"/>
      <c r="S1803" s="44"/>
      <c r="T1803" s="44"/>
      <c r="U1803" s="44"/>
      <c r="V1803" s="44"/>
      <c r="W1803" s="44"/>
      <c r="X1803" s="44"/>
      <c r="Y1803" s="44"/>
      <c r="Z1803" s="44"/>
      <c r="AA1803" s="44"/>
      <c r="AB1803" s="44"/>
      <c r="AC1803" s="44"/>
      <c r="AD1803" s="44"/>
      <c r="AE1803" s="44"/>
      <c r="AF1803" s="44"/>
      <c r="AG1803" s="44"/>
      <c r="AH1803" s="44"/>
      <c r="AI1803" s="44"/>
      <c r="AJ1803" s="44"/>
      <c r="AK1803" s="44"/>
      <c r="AL1803" s="44"/>
      <c r="AM1803" s="44"/>
      <c r="AN1803" s="44"/>
      <c r="AO1803" s="44"/>
      <c r="AP1803" s="44"/>
      <c r="AQ1803" s="44"/>
      <c r="BA1803" s="5"/>
      <c r="BB1803" s="5"/>
      <c r="BC1803" s="5"/>
      <c r="BD1803" s="5"/>
      <c r="BE1803" s="63"/>
      <c r="BF1803" s="63"/>
      <c r="BG1803" s="63"/>
      <c r="CA1803" s="317"/>
      <c r="CF1803" s="5"/>
      <c r="CG1803" s="53"/>
      <c r="CH1803" s="53"/>
      <c r="CI1803" s="53"/>
      <c r="CJ1803" s="53"/>
      <c r="CK1803" s="53"/>
      <c r="CL1803" s="53"/>
      <c r="CN1803" s="53"/>
      <c r="CO1803" s="53"/>
      <c r="CP1803" s="53"/>
      <c r="CQ1803" s="53"/>
      <c r="CR1803" s="53"/>
      <c r="CS1803" s="53"/>
      <c r="CT1803" s="5"/>
      <c r="CU1803" s="5"/>
      <c r="CV1803" s="5"/>
      <c r="CW1803" s="5"/>
      <c r="CX1803" s="5"/>
      <c r="CY1803" s="5"/>
    </row>
    <row r="1804" spans="1:103" ht="10.25" customHeight="1">
      <c r="A1804" s="216"/>
      <c r="B1804" s="217"/>
      <c r="C1804" s="218"/>
      <c r="D1804" s="219"/>
      <c r="E1804" s="217"/>
      <c r="F1804" s="217"/>
      <c r="G1804" s="217"/>
      <c r="H1804" s="220"/>
      <c r="I1804" s="217"/>
      <c r="J1804" s="217"/>
      <c r="K1804" s="217"/>
      <c r="L1804" s="217"/>
      <c r="M1804" s="217"/>
      <c r="N1804" s="217"/>
      <c r="O1804" s="44"/>
      <c r="P1804" s="44"/>
      <c r="Q1804" s="44"/>
      <c r="R1804" s="44"/>
      <c r="S1804" s="44"/>
      <c r="T1804" s="44"/>
      <c r="U1804" s="44"/>
      <c r="V1804" s="44"/>
      <c r="W1804" s="44"/>
      <c r="X1804" s="44"/>
      <c r="Y1804" s="44"/>
      <c r="Z1804" s="44"/>
      <c r="AA1804" s="44"/>
      <c r="AB1804" s="44"/>
      <c r="AC1804" s="44"/>
      <c r="AD1804" s="44"/>
      <c r="AE1804" s="44"/>
      <c r="AF1804" s="44"/>
      <c r="AG1804" s="44"/>
      <c r="AH1804" s="44"/>
      <c r="AI1804" s="44"/>
      <c r="AJ1804" s="44"/>
      <c r="AK1804" s="44"/>
      <c r="AL1804" s="44"/>
      <c r="AM1804" s="44"/>
      <c r="AN1804" s="44"/>
      <c r="AO1804" s="44"/>
      <c r="AP1804" s="44"/>
      <c r="AQ1804" s="44"/>
      <c r="BA1804" s="5"/>
      <c r="BB1804" s="5"/>
      <c r="BC1804" s="5"/>
      <c r="BD1804" s="5"/>
      <c r="BE1804" s="63"/>
      <c r="BF1804" s="63"/>
      <c r="BG1804" s="63"/>
      <c r="CA1804" s="317"/>
      <c r="CF1804" s="5"/>
      <c r="CG1804" s="53"/>
      <c r="CH1804" s="53"/>
      <c r="CI1804" s="53"/>
      <c r="CJ1804" s="53"/>
      <c r="CK1804" s="53"/>
      <c r="CL1804" s="53"/>
      <c r="CN1804" s="53"/>
      <c r="CO1804" s="53"/>
      <c r="CP1804" s="53"/>
      <c r="CQ1804" s="53"/>
      <c r="CR1804" s="53"/>
      <c r="CS1804" s="53"/>
      <c r="CT1804" s="5"/>
      <c r="CU1804" s="5"/>
      <c r="CV1804" s="5"/>
      <c r="CW1804" s="5"/>
      <c r="CX1804" s="5"/>
      <c r="CY1804" s="5"/>
    </row>
    <row r="1805" spans="1:103" ht="10.25" customHeight="1">
      <c r="A1805" s="216"/>
      <c r="B1805" s="217"/>
      <c r="C1805" s="218"/>
      <c r="D1805" s="219"/>
      <c r="E1805" s="217"/>
      <c r="F1805" s="217"/>
      <c r="G1805" s="217"/>
      <c r="H1805" s="220"/>
      <c r="I1805" s="217"/>
      <c r="J1805" s="217"/>
      <c r="K1805" s="217"/>
      <c r="L1805" s="217"/>
      <c r="M1805" s="217"/>
      <c r="N1805" s="217"/>
      <c r="O1805" s="44"/>
      <c r="P1805" s="44"/>
      <c r="Q1805" s="44"/>
      <c r="R1805" s="44"/>
      <c r="S1805" s="44"/>
      <c r="T1805" s="44"/>
      <c r="U1805" s="44"/>
      <c r="V1805" s="44"/>
      <c r="W1805" s="44"/>
      <c r="X1805" s="44"/>
      <c r="Y1805" s="44"/>
      <c r="Z1805" s="44"/>
      <c r="AA1805" s="44"/>
      <c r="AB1805" s="44"/>
      <c r="AC1805" s="44"/>
      <c r="AD1805" s="44"/>
      <c r="AE1805" s="44"/>
      <c r="AF1805" s="44"/>
      <c r="AG1805" s="44"/>
      <c r="AH1805" s="44"/>
      <c r="AI1805" s="44"/>
      <c r="AJ1805" s="44"/>
      <c r="AK1805" s="44"/>
      <c r="AL1805" s="44"/>
      <c r="AM1805" s="44"/>
      <c r="AN1805" s="44"/>
      <c r="AO1805" s="44"/>
      <c r="AP1805" s="44"/>
      <c r="AQ1805" s="44"/>
      <c r="BA1805" s="5"/>
      <c r="BB1805" s="5"/>
      <c r="BC1805" s="5"/>
      <c r="BD1805" s="5"/>
      <c r="BE1805" s="63"/>
      <c r="BF1805" s="63"/>
      <c r="BG1805" s="63"/>
      <c r="CA1805" s="317"/>
      <c r="CF1805" s="5"/>
      <c r="CG1805" s="53"/>
      <c r="CH1805" s="53"/>
      <c r="CI1805" s="53"/>
      <c r="CJ1805" s="53"/>
      <c r="CK1805" s="53"/>
      <c r="CL1805" s="53"/>
      <c r="CN1805" s="53"/>
      <c r="CO1805" s="53"/>
      <c r="CP1805" s="53"/>
      <c r="CQ1805" s="53"/>
      <c r="CR1805" s="53"/>
      <c r="CS1805" s="53"/>
      <c r="CT1805" s="5"/>
      <c r="CU1805" s="5"/>
      <c r="CV1805" s="5"/>
      <c r="CW1805" s="5"/>
      <c r="CX1805" s="5"/>
      <c r="CY1805" s="5"/>
    </row>
    <row r="1806" spans="1:103" ht="10.25" customHeight="1">
      <c r="A1806" s="216"/>
      <c r="B1806" s="217"/>
      <c r="C1806" s="218"/>
      <c r="D1806" s="219"/>
      <c r="E1806" s="217"/>
      <c r="F1806" s="217"/>
      <c r="G1806" s="217"/>
      <c r="H1806" s="220"/>
      <c r="I1806" s="217"/>
      <c r="J1806" s="217"/>
      <c r="K1806" s="217"/>
      <c r="L1806" s="217"/>
      <c r="M1806" s="217"/>
      <c r="N1806" s="217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BA1806" s="5"/>
      <c r="BB1806" s="5"/>
      <c r="BC1806" s="5"/>
      <c r="BD1806" s="5"/>
      <c r="BE1806" s="63"/>
      <c r="BF1806" s="63"/>
      <c r="BG1806" s="63"/>
      <c r="CA1806" s="317"/>
      <c r="CF1806" s="5"/>
      <c r="CG1806" s="53"/>
      <c r="CH1806" s="53"/>
      <c r="CI1806" s="53"/>
      <c r="CJ1806" s="53"/>
      <c r="CK1806" s="53"/>
      <c r="CL1806" s="53"/>
      <c r="CN1806" s="53"/>
      <c r="CO1806" s="53"/>
      <c r="CP1806" s="53"/>
      <c r="CQ1806" s="53"/>
      <c r="CR1806" s="53"/>
      <c r="CS1806" s="53"/>
      <c r="CT1806" s="5"/>
      <c r="CU1806" s="5"/>
      <c r="CV1806" s="5"/>
      <c r="CW1806" s="5"/>
      <c r="CX1806" s="5"/>
      <c r="CY1806" s="5"/>
    </row>
    <row r="1807" spans="1:103" ht="10.25" customHeight="1">
      <c r="A1807" s="216"/>
      <c r="B1807" s="217"/>
      <c r="C1807" s="218"/>
      <c r="D1807" s="219"/>
      <c r="E1807" s="217"/>
      <c r="F1807" s="217"/>
      <c r="G1807" s="217"/>
      <c r="H1807" s="220"/>
      <c r="I1807" s="217"/>
      <c r="J1807" s="217"/>
      <c r="K1807" s="217"/>
      <c r="L1807" s="217"/>
      <c r="M1807" s="217"/>
      <c r="N1807" s="217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BA1807" s="5"/>
      <c r="BB1807" s="5"/>
      <c r="BC1807" s="5"/>
      <c r="BD1807" s="5"/>
      <c r="BE1807" s="63"/>
      <c r="BF1807" s="63"/>
      <c r="BG1807" s="63"/>
      <c r="CA1807" s="317"/>
      <c r="CF1807" s="5"/>
      <c r="CG1807" s="53"/>
      <c r="CH1807" s="53"/>
      <c r="CI1807" s="53"/>
      <c r="CJ1807" s="53"/>
      <c r="CK1807" s="53"/>
      <c r="CL1807" s="53"/>
      <c r="CN1807" s="53"/>
      <c r="CO1807" s="53"/>
      <c r="CP1807" s="53"/>
      <c r="CQ1807" s="53"/>
      <c r="CR1807" s="53"/>
      <c r="CS1807" s="53"/>
      <c r="CT1807" s="5"/>
      <c r="CU1807" s="5"/>
      <c r="CV1807" s="5"/>
      <c r="CW1807" s="5"/>
      <c r="CX1807" s="5"/>
      <c r="CY1807" s="5"/>
    </row>
    <row r="1808" spans="1:103" ht="10.25" customHeight="1">
      <c r="A1808" s="216"/>
      <c r="B1808" s="217"/>
      <c r="C1808" s="218"/>
      <c r="D1808" s="219"/>
      <c r="E1808" s="217"/>
      <c r="F1808" s="217"/>
      <c r="G1808" s="217"/>
      <c r="H1808" s="220"/>
      <c r="I1808" s="217"/>
      <c r="J1808" s="217"/>
      <c r="K1808" s="217"/>
      <c r="L1808" s="217"/>
      <c r="M1808" s="217"/>
      <c r="N1808" s="217"/>
      <c r="O1808" s="44"/>
      <c r="P1808" s="44"/>
      <c r="Q1808" s="44"/>
      <c r="R1808" s="44"/>
      <c r="S1808" s="44"/>
      <c r="T1808" s="44"/>
      <c r="U1808" s="44"/>
      <c r="V1808" s="44"/>
      <c r="W1808" s="44"/>
      <c r="X1808" s="44"/>
      <c r="Y1808" s="44"/>
      <c r="Z1808" s="44"/>
      <c r="AA1808" s="44"/>
      <c r="AB1808" s="44"/>
      <c r="AC1808" s="44"/>
      <c r="AD1808" s="44"/>
      <c r="AE1808" s="44"/>
      <c r="AF1808" s="44"/>
      <c r="AG1808" s="44"/>
      <c r="AH1808" s="44"/>
      <c r="AI1808" s="44"/>
      <c r="AJ1808" s="44"/>
      <c r="AK1808" s="44"/>
      <c r="AL1808" s="44"/>
      <c r="AM1808" s="44"/>
      <c r="AN1808" s="44"/>
      <c r="AO1808" s="44"/>
      <c r="AP1808" s="44"/>
      <c r="AQ1808" s="44"/>
      <c r="BA1808" s="5"/>
      <c r="BB1808" s="5"/>
      <c r="BC1808" s="5"/>
      <c r="BD1808" s="5"/>
      <c r="BE1808" s="63"/>
      <c r="BF1808" s="63"/>
      <c r="BG1808" s="63"/>
      <c r="CA1808" s="317"/>
      <c r="CF1808" s="5"/>
      <c r="CG1808" s="53"/>
      <c r="CH1808" s="53"/>
      <c r="CI1808" s="53"/>
      <c r="CJ1808" s="53"/>
      <c r="CK1808" s="53"/>
      <c r="CL1808" s="53"/>
      <c r="CN1808" s="53"/>
      <c r="CO1808" s="53"/>
      <c r="CP1808" s="53"/>
      <c r="CQ1808" s="53"/>
      <c r="CR1808" s="53"/>
      <c r="CS1808" s="53"/>
      <c r="CT1808" s="5"/>
      <c r="CU1808" s="5"/>
      <c r="CV1808" s="5"/>
      <c r="CW1808" s="5"/>
      <c r="CX1808" s="5"/>
      <c r="CY1808" s="5"/>
    </row>
    <row r="1809" spans="1:103" ht="10.25" customHeight="1">
      <c r="A1809" s="216"/>
      <c r="B1809" s="217"/>
      <c r="C1809" s="218"/>
      <c r="D1809" s="219"/>
      <c r="E1809" s="217"/>
      <c r="F1809" s="217"/>
      <c r="G1809" s="217"/>
      <c r="H1809" s="220"/>
      <c r="I1809" s="217"/>
      <c r="J1809" s="217"/>
      <c r="K1809" s="217"/>
      <c r="L1809" s="217"/>
      <c r="M1809" s="217"/>
      <c r="N1809" s="217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44"/>
      <c r="AL1809" s="44"/>
      <c r="AM1809" s="44"/>
      <c r="AN1809" s="44"/>
      <c r="AO1809" s="44"/>
      <c r="AP1809" s="44"/>
      <c r="AQ1809" s="44"/>
      <c r="BA1809" s="5"/>
      <c r="BB1809" s="5"/>
      <c r="BC1809" s="5"/>
      <c r="BD1809" s="5"/>
      <c r="BE1809" s="63"/>
      <c r="BF1809" s="63"/>
      <c r="BG1809" s="63"/>
      <c r="CA1809" s="317"/>
      <c r="CF1809" s="5"/>
      <c r="CG1809" s="53"/>
      <c r="CH1809" s="53"/>
      <c r="CI1809" s="53"/>
      <c r="CJ1809" s="53"/>
      <c r="CK1809" s="53"/>
      <c r="CL1809" s="53"/>
      <c r="CN1809" s="53"/>
      <c r="CO1809" s="53"/>
      <c r="CP1809" s="53"/>
      <c r="CQ1809" s="53"/>
      <c r="CR1809" s="53"/>
      <c r="CS1809" s="53"/>
      <c r="CT1809" s="5"/>
      <c r="CU1809" s="5"/>
      <c r="CV1809" s="5"/>
      <c r="CW1809" s="5"/>
      <c r="CX1809" s="5"/>
      <c r="CY1809" s="5"/>
    </row>
    <row r="1810" spans="1:103" ht="10.25" customHeight="1">
      <c r="A1810" s="216"/>
      <c r="B1810" s="217"/>
      <c r="C1810" s="218"/>
      <c r="D1810" s="219"/>
      <c r="E1810" s="217"/>
      <c r="F1810" s="217"/>
      <c r="G1810" s="217"/>
      <c r="H1810" s="220"/>
      <c r="I1810" s="217"/>
      <c r="J1810" s="217"/>
      <c r="K1810" s="217"/>
      <c r="L1810" s="217"/>
      <c r="M1810" s="217"/>
      <c r="N1810" s="217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BA1810" s="5"/>
      <c r="BB1810" s="5"/>
      <c r="BC1810" s="5"/>
      <c r="BD1810" s="5"/>
      <c r="BE1810" s="63"/>
      <c r="BF1810" s="63"/>
      <c r="BG1810" s="63"/>
      <c r="CA1810" s="317"/>
      <c r="CF1810" s="5"/>
      <c r="CG1810" s="53"/>
      <c r="CH1810" s="53"/>
      <c r="CI1810" s="53"/>
      <c r="CJ1810" s="53"/>
      <c r="CK1810" s="53"/>
      <c r="CL1810" s="53"/>
      <c r="CN1810" s="53"/>
      <c r="CO1810" s="53"/>
      <c r="CP1810" s="53"/>
      <c r="CQ1810" s="53"/>
      <c r="CR1810" s="53"/>
      <c r="CS1810" s="53"/>
      <c r="CT1810" s="5"/>
      <c r="CU1810" s="5"/>
      <c r="CV1810" s="5"/>
      <c r="CW1810" s="5"/>
      <c r="CX1810" s="5"/>
      <c r="CY1810" s="5"/>
    </row>
    <row r="1811" spans="1:103" ht="10.25" customHeight="1">
      <c r="A1811" s="216"/>
      <c r="B1811" s="217"/>
      <c r="C1811" s="218"/>
      <c r="D1811" s="219"/>
      <c r="E1811" s="217"/>
      <c r="F1811" s="217"/>
      <c r="G1811" s="217"/>
      <c r="H1811" s="220"/>
      <c r="I1811" s="217"/>
      <c r="J1811" s="217"/>
      <c r="K1811" s="217"/>
      <c r="L1811" s="217"/>
      <c r="M1811" s="217"/>
      <c r="N1811" s="217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BA1811" s="5"/>
      <c r="BB1811" s="5"/>
      <c r="BC1811" s="5"/>
      <c r="BD1811" s="5"/>
      <c r="BE1811" s="63"/>
      <c r="BF1811" s="63"/>
      <c r="BG1811" s="63"/>
      <c r="CA1811" s="317"/>
      <c r="CF1811" s="5"/>
      <c r="CG1811" s="53"/>
      <c r="CH1811" s="53"/>
      <c r="CI1811" s="53"/>
      <c r="CJ1811" s="53"/>
      <c r="CK1811" s="53"/>
      <c r="CL1811" s="53"/>
      <c r="CN1811" s="53"/>
      <c r="CO1811" s="53"/>
      <c r="CP1811" s="53"/>
      <c r="CQ1811" s="53"/>
      <c r="CR1811" s="53"/>
      <c r="CS1811" s="53"/>
      <c r="CT1811" s="5"/>
      <c r="CU1811" s="5"/>
      <c r="CV1811" s="5"/>
      <c r="CW1811" s="5"/>
      <c r="CX1811" s="5"/>
      <c r="CY1811" s="5"/>
    </row>
    <row r="1812" spans="1:103" ht="10.25" customHeight="1">
      <c r="A1812" s="216"/>
      <c r="B1812" s="217"/>
      <c r="C1812" s="218"/>
      <c r="D1812" s="219"/>
      <c r="E1812" s="217"/>
      <c r="F1812" s="217"/>
      <c r="G1812" s="217"/>
      <c r="H1812" s="220"/>
      <c r="I1812" s="217"/>
      <c r="J1812" s="217"/>
      <c r="K1812" s="217"/>
      <c r="L1812" s="217"/>
      <c r="M1812" s="217"/>
      <c r="N1812" s="217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BA1812" s="5"/>
      <c r="BB1812" s="5"/>
      <c r="BC1812" s="5"/>
      <c r="BD1812" s="5"/>
      <c r="BE1812" s="63"/>
      <c r="BF1812" s="63"/>
      <c r="BG1812" s="63"/>
      <c r="CA1812" s="317"/>
      <c r="CF1812" s="5"/>
      <c r="CG1812" s="53"/>
      <c r="CH1812" s="53"/>
      <c r="CI1812" s="53"/>
      <c r="CJ1812" s="53"/>
      <c r="CK1812" s="53"/>
      <c r="CL1812" s="53"/>
      <c r="CN1812" s="53"/>
      <c r="CO1812" s="53"/>
      <c r="CP1812" s="53"/>
      <c r="CQ1812" s="53"/>
      <c r="CR1812" s="53"/>
      <c r="CS1812" s="53"/>
      <c r="CT1812" s="5"/>
      <c r="CU1812" s="5"/>
      <c r="CV1812" s="5"/>
      <c r="CW1812" s="5"/>
      <c r="CX1812" s="5"/>
      <c r="CY1812" s="5"/>
    </row>
    <row r="1813" spans="1:103" ht="10.25" customHeight="1">
      <c r="A1813" s="216"/>
      <c r="B1813" s="217"/>
      <c r="C1813" s="218"/>
      <c r="D1813" s="219"/>
      <c r="E1813" s="217"/>
      <c r="F1813" s="217"/>
      <c r="G1813" s="217"/>
      <c r="H1813" s="220"/>
      <c r="I1813" s="217"/>
      <c r="J1813" s="217"/>
      <c r="K1813" s="217"/>
      <c r="L1813" s="217"/>
      <c r="M1813" s="217"/>
      <c r="N1813" s="217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BA1813" s="5"/>
      <c r="BB1813" s="5"/>
      <c r="BC1813" s="5"/>
      <c r="BD1813" s="5"/>
      <c r="BE1813" s="63"/>
      <c r="BF1813" s="63"/>
      <c r="BG1813" s="63"/>
      <c r="CA1813" s="317"/>
      <c r="CF1813" s="5"/>
      <c r="CG1813" s="53"/>
      <c r="CH1813" s="53"/>
      <c r="CI1813" s="53"/>
      <c r="CJ1813" s="53"/>
      <c r="CK1813" s="53"/>
      <c r="CL1813" s="53"/>
      <c r="CN1813" s="53"/>
      <c r="CO1813" s="53"/>
      <c r="CP1813" s="53"/>
      <c r="CQ1813" s="53"/>
      <c r="CR1813" s="53"/>
      <c r="CS1813" s="53"/>
      <c r="CT1813" s="5"/>
      <c r="CU1813" s="5"/>
      <c r="CV1813" s="5"/>
      <c r="CW1813" s="5"/>
      <c r="CX1813" s="5"/>
      <c r="CY1813" s="5"/>
    </row>
    <row r="1814" spans="1:103" ht="10.25" customHeight="1">
      <c r="A1814" s="216"/>
      <c r="B1814" s="217"/>
      <c r="C1814" s="218"/>
      <c r="D1814" s="219"/>
      <c r="E1814" s="217"/>
      <c r="F1814" s="217"/>
      <c r="G1814" s="217"/>
      <c r="H1814" s="220"/>
      <c r="I1814" s="217"/>
      <c r="J1814" s="217"/>
      <c r="K1814" s="217"/>
      <c r="L1814" s="217"/>
      <c r="M1814" s="217"/>
      <c r="N1814" s="217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BA1814" s="5"/>
      <c r="BB1814" s="5"/>
      <c r="BC1814" s="5"/>
      <c r="BD1814" s="5"/>
      <c r="BE1814" s="63"/>
      <c r="BF1814" s="63"/>
      <c r="BG1814" s="63"/>
      <c r="CA1814" s="317"/>
      <c r="CF1814" s="5"/>
      <c r="CG1814" s="53"/>
      <c r="CH1814" s="53"/>
      <c r="CI1814" s="53"/>
      <c r="CJ1814" s="53"/>
      <c r="CK1814" s="53"/>
      <c r="CL1814" s="53"/>
      <c r="CN1814" s="53"/>
      <c r="CO1814" s="53"/>
      <c r="CP1814" s="53"/>
      <c r="CQ1814" s="53"/>
      <c r="CR1814" s="53"/>
      <c r="CS1814" s="53"/>
      <c r="CT1814" s="5"/>
      <c r="CU1814" s="5"/>
      <c r="CV1814" s="5"/>
      <c r="CW1814" s="5"/>
      <c r="CX1814" s="5"/>
      <c r="CY1814" s="5"/>
    </row>
    <row r="1815" spans="1:103" ht="10.25" customHeight="1">
      <c r="A1815" s="216"/>
      <c r="B1815" s="217"/>
      <c r="C1815" s="218"/>
      <c r="D1815" s="219"/>
      <c r="E1815" s="217"/>
      <c r="F1815" s="217"/>
      <c r="G1815" s="217"/>
      <c r="H1815" s="220"/>
      <c r="I1815" s="217"/>
      <c r="J1815" s="217"/>
      <c r="K1815" s="217"/>
      <c r="L1815" s="217"/>
      <c r="M1815" s="217"/>
      <c r="N1815" s="217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BA1815" s="5"/>
      <c r="BB1815" s="5"/>
      <c r="BC1815" s="5"/>
      <c r="BD1815" s="5"/>
      <c r="BE1815" s="63"/>
      <c r="BF1815" s="63"/>
      <c r="BG1815" s="63"/>
      <c r="CA1815" s="256"/>
      <c r="CB1815" s="261"/>
      <c r="CC1815" s="261"/>
      <c r="CD1815" s="261"/>
      <c r="CE1815" s="261"/>
      <c r="CF1815" s="255"/>
      <c r="CG1815" s="53"/>
      <c r="CH1815" s="53"/>
      <c r="CI1815" s="53"/>
      <c r="CJ1815" s="53"/>
      <c r="CK1815" s="53"/>
      <c r="CL1815" s="53"/>
      <c r="CN1815" s="53"/>
      <c r="CO1815" s="53"/>
      <c r="CP1815" s="53"/>
      <c r="CQ1815" s="53"/>
      <c r="CR1815" s="53"/>
      <c r="CS1815" s="53"/>
      <c r="CT1815" s="261"/>
      <c r="CU1815" s="255"/>
      <c r="CV1815" s="261"/>
      <c r="CW1815" s="261"/>
      <c r="CX1815" s="261"/>
      <c r="CY1815" s="255"/>
    </row>
    <row r="1816" spans="1:103" ht="10.25" customHeight="1">
      <c r="A1816" s="216"/>
      <c r="B1816" s="217"/>
      <c r="C1816" s="218"/>
      <c r="D1816" s="219"/>
      <c r="E1816" s="217"/>
      <c r="F1816" s="217"/>
      <c r="G1816" s="217"/>
      <c r="H1816" s="220"/>
      <c r="I1816" s="217"/>
      <c r="J1816" s="217"/>
      <c r="K1816" s="217"/>
      <c r="L1816" s="217"/>
      <c r="M1816" s="217"/>
      <c r="N1816" s="217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BA1816" s="5"/>
      <c r="BB1816" s="5"/>
      <c r="BC1816" s="5"/>
      <c r="BD1816" s="5"/>
      <c r="BE1816" s="63"/>
      <c r="BF1816" s="63"/>
      <c r="BG1816" s="63"/>
      <c r="CA1816" s="256"/>
      <c r="CB1816" s="261"/>
      <c r="CC1816" s="261"/>
      <c r="CD1816" s="261"/>
      <c r="CE1816" s="261"/>
      <c r="CF1816" s="255"/>
      <c r="CG1816" s="53"/>
      <c r="CH1816" s="53"/>
      <c r="CI1816" s="53"/>
      <c r="CJ1816" s="53"/>
      <c r="CK1816" s="53"/>
      <c r="CL1816" s="53"/>
      <c r="CN1816" s="53"/>
      <c r="CO1816" s="53"/>
      <c r="CP1816" s="53"/>
      <c r="CQ1816" s="53"/>
      <c r="CR1816" s="53"/>
      <c r="CS1816" s="53"/>
      <c r="CT1816" s="261"/>
      <c r="CU1816" s="255"/>
      <c r="CV1816" s="261"/>
      <c r="CW1816" s="261"/>
      <c r="CX1816" s="261"/>
      <c r="CY1816" s="255"/>
    </row>
    <row r="1817" spans="1:103" ht="10.25" customHeight="1">
      <c r="A1817" s="216"/>
      <c r="B1817" s="217"/>
      <c r="C1817" s="218"/>
      <c r="D1817" s="219"/>
      <c r="E1817" s="217"/>
      <c r="F1817" s="217"/>
      <c r="G1817" s="217"/>
      <c r="H1817" s="220"/>
      <c r="I1817" s="217"/>
      <c r="J1817" s="217"/>
      <c r="K1817" s="217"/>
      <c r="L1817" s="217"/>
      <c r="M1817" s="217"/>
      <c r="N1817" s="217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BA1817" s="5"/>
      <c r="BB1817" s="5"/>
      <c r="BC1817" s="5"/>
      <c r="BD1817" s="5"/>
      <c r="BE1817" s="63"/>
      <c r="BF1817" s="63"/>
      <c r="BG1817" s="63"/>
      <c r="CA1817" s="256"/>
      <c r="CB1817" s="261"/>
      <c r="CC1817" s="261"/>
      <c r="CD1817" s="261"/>
      <c r="CE1817" s="261"/>
      <c r="CF1817" s="255"/>
      <c r="CG1817" s="53"/>
      <c r="CH1817" s="53"/>
      <c r="CI1817" s="53"/>
      <c r="CJ1817" s="53"/>
      <c r="CK1817" s="53"/>
      <c r="CL1817" s="53"/>
      <c r="CN1817" s="53"/>
      <c r="CO1817" s="53"/>
      <c r="CP1817" s="53"/>
      <c r="CQ1817" s="53"/>
      <c r="CR1817" s="53"/>
      <c r="CS1817" s="53"/>
      <c r="CT1817" s="261"/>
      <c r="CU1817" s="255"/>
      <c r="CV1817" s="261"/>
      <c r="CW1817" s="255"/>
      <c r="CX1817" s="261"/>
      <c r="CY1817" s="255"/>
    </row>
    <row r="1818" spans="1:103" ht="10.25" customHeight="1">
      <c r="A1818" s="216"/>
      <c r="B1818" s="217"/>
      <c r="C1818" s="218"/>
      <c r="D1818" s="219"/>
      <c r="E1818" s="217"/>
      <c r="F1818" s="217"/>
      <c r="G1818" s="217"/>
      <c r="H1818" s="220"/>
      <c r="I1818" s="217"/>
      <c r="J1818" s="217"/>
      <c r="K1818" s="217"/>
      <c r="L1818" s="217"/>
      <c r="M1818" s="217"/>
      <c r="N1818" s="217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BA1818" s="5"/>
      <c r="BB1818" s="5"/>
      <c r="BC1818" s="5"/>
      <c r="BD1818" s="5"/>
      <c r="BE1818" s="63"/>
      <c r="BF1818" s="63"/>
      <c r="BG1818" s="63"/>
      <c r="CA1818" s="256"/>
      <c r="CB1818" s="261"/>
      <c r="CC1818" s="261"/>
      <c r="CD1818" s="261"/>
      <c r="CE1818" s="261"/>
      <c r="CF1818" s="255"/>
      <c r="CG1818" s="53"/>
      <c r="CH1818" s="53"/>
      <c r="CI1818" s="53"/>
      <c r="CJ1818" s="53"/>
      <c r="CK1818" s="53"/>
      <c r="CL1818" s="53"/>
      <c r="CN1818" s="53"/>
      <c r="CO1818" s="53"/>
      <c r="CP1818" s="53"/>
      <c r="CQ1818" s="53"/>
      <c r="CR1818" s="53"/>
      <c r="CS1818" s="53"/>
      <c r="CT1818" s="261"/>
      <c r="CU1818" s="255"/>
      <c r="CV1818" s="255"/>
      <c r="CW1818" s="261"/>
      <c r="CX1818" s="261"/>
      <c r="CY1818" s="255"/>
    </row>
    <row r="1819" spans="1:103" ht="10.25" customHeight="1">
      <c r="A1819" s="216"/>
      <c r="B1819" s="217"/>
      <c r="C1819" s="218"/>
      <c r="D1819" s="219"/>
      <c r="E1819" s="217"/>
      <c r="F1819" s="217"/>
      <c r="G1819" s="217"/>
      <c r="H1819" s="220"/>
      <c r="I1819" s="217"/>
      <c r="J1819" s="217"/>
      <c r="K1819" s="217"/>
      <c r="L1819" s="217"/>
      <c r="M1819" s="217"/>
      <c r="N1819" s="217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BA1819" s="5"/>
      <c r="BB1819" s="5"/>
      <c r="BC1819" s="5"/>
      <c r="BD1819" s="5"/>
      <c r="BE1819" s="63"/>
      <c r="BF1819" s="63"/>
      <c r="BG1819" s="63"/>
      <c r="CA1819" s="256"/>
      <c r="CB1819" s="261"/>
      <c r="CC1819" s="261"/>
      <c r="CD1819" s="261"/>
      <c r="CE1819" s="261"/>
      <c r="CF1819" s="255"/>
      <c r="CG1819" s="53"/>
      <c r="CH1819" s="53"/>
      <c r="CI1819" s="53"/>
      <c r="CJ1819" s="53"/>
      <c r="CK1819" s="53"/>
      <c r="CL1819" s="53"/>
      <c r="CN1819" s="53"/>
      <c r="CO1819" s="53"/>
      <c r="CP1819" s="53"/>
      <c r="CQ1819" s="53"/>
      <c r="CR1819" s="53"/>
      <c r="CS1819" s="53"/>
      <c r="CT1819" s="261"/>
      <c r="CU1819" s="255"/>
      <c r="CV1819" s="261"/>
      <c r="CW1819" s="255"/>
      <c r="CX1819" s="261"/>
      <c r="CY1819" s="255"/>
    </row>
    <row r="1820" spans="1:103" ht="10.25" customHeight="1">
      <c r="A1820" s="216"/>
      <c r="B1820" s="217"/>
      <c r="C1820" s="218"/>
      <c r="D1820" s="219"/>
      <c r="E1820" s="217"/>
      <c r="F1820" s="217"/>
      <c r="G1820" s="217"/>
      <c r="H1820" s="220"/>
      <c r="I1820" s="217"/>
      <c r="J1820" s="217"/>
      <c r="K1820" s="217"/>
      <c r="L1820" s="217"/>
      <c r="M1820" s="217"/>
      <c r="N1820" s="217"/>
      <c r="O1820" s="44"/>
      <c r="P1820" s="44"/>
      <c r="Q1820" s="44"/>
      <c r="R1820" s="44"/>
      <c r="S1820" s="44"/>
      <c r="T1820" s="44"/>
      <c r="U1820" s="44"/>
      <c r="V1820" s="44"/>
      <c r="W1820" s="44"/>
      <c r="X1820" s="44"/>
      <c r="Y1820" s="44"/>
      <c r="Z1820" s="44"/>
      <c r="AA1820" s="44"/>
      <c r="AB1820" s="44"/>
      <c r="AC1820" s="44"/>
      <c r="AD1820" s="44"/>
      <c r="AE1820" s="44"/>
      <c r="AF1820" s="44"/>
      <c r="AG1820" s="44"/>
      <c r="AH1820" s="44"/>
      <c r="AI1820" s="44"/>
      <c r="AJ1820" s="44"/>
      <c r="AK1820" s="44"/>
      <c r="AL1820" s="44"/>
      <c r="AM1820" s="44"/>
      <c r="AN1820" s="44"/>
      <c r="AO1820" s="44"/>
      <c r="AP1820" s="44"/>
      <c r="AQ1820" s="44"/>
      <c r="BA1820" s="5"/>
      <c r="BB1820" s="5"/>
      <c r="BC1820" s="5"/>
      <c r="BD1820" s="5"/>
      <c r="BE1820" s="63"/>
      <c r="BF1820" s="63"/>
      <c r="BG1820" s="63"/>
      <c r="CA1820" s="256"/>
      <c r="CB1820" s="261"/>
      <c r="CC1820" s="261"/>
      <c r="CD1820" s="261"/>
      <c r="CE1820" s="255"/>
      <c r="CF1820" s="261"/>
      <c r="CG1820" s="53"/>
      <c r="CH1820" s="53"/>
      <c r="CI1820" s="53"/>
      <c r="CJ1820" s="53"/>
      <c r="CK1820" s="53"/>
      <c r="CL1820" s="53"/>
      <c r="CN1820" s="53"/>
      <c r="CO1820" s="53"/>
      <c r="CP1820" s="53"/>
      <c r="CQ1820" s="53"/>
      <c r="CR1820" s="53"/>
      <c r="CS1820" s="53"/>
      <c r="CT1820" s="255"/>
      <c r="CU1820" s="261"/>
      <c r="CV1820" s="255"/>
      <c r="CW1820" s="261"/>
      <c r="CX1820" s="261"/>
      <c r="CY1820" s="255"/>
    </row>
    <row r="1821" spans="1:103" ht="10.25" customHeight="1">
      <c r="A1821" s="216"/>
      <c r="B1821" s="217"/>
      <c r="C1821" s="218"/>
      <c r="D1821" s="219"/>
      <c r="E1821" s="217"/>
      <c r="F1821" s="217"/>
      <c r="G1821" s="217"/>
      <c r="H1821" s="220"/>
      <c r="I1821" s="217"/>
      <c r="J1821" s="217"/>
      <c r="K1821" s="217"/>
      <c r="L1821" s="217"/>
      <c r="M1821" s="217"/>
      <c r="N1821" s="217"/>
      <c r="O1821" s="44"/>
      <c r="P1821" s="44"/>
      <c r="Q1821" s="44"/>
      <c r="R1821" s="44"/>
      <c r="S1821" s="44"/>
      <c r="T1821" s="44"/>
      <c r="U1821" s="44"/>
      <c r="V1821" s="44"/>
      <c r="W1821" s="44"/>
      <c r="X1821" s="44"/>
      <c r="Y1821" s="44"/>
      <c r="Z1821" s="44"/>
      <c r="AA1821" s="44"/>
      <c r="AB1821" s="44"/>
      <c r="AC1821" s="44"/>
      <c r="AD1821" s="44"/>
      <c r="AE1821" s="44"/>
      <c r="AF1821" s="44"/>
      <c r="AG1821" s="44"/>
      <c r="AH1821" s="44"/>
      <c r="AI1821" s="44"/>
      <c r="AJ1821" s="44"/>
      <c r="AK1821" s="44"/>
      <c r="AL1821" s="44"/>
      <c r="AM1821" s="44"/>
      <c r="AN1821" s="44"/>
      <c r="AO1821" s="44"/>
      <c r="AP1821" s="44"/>
      <c r="AQ1821" s="44"/>
      <c r="BA1821" s="5"/>
      <c r="BB1821" s="5"/>
      <c r="BC1821" s="5"/>
      <c r="BD1821" s="5"/>
      <c r="BE1821" s="63"/>
      <c r="BF1821" s="63"/>
      <c r="BG1821" s="63"/>
      <c r="CA1821" s="256"/>
      <c r="CB1821" s="261"/>
      <c r="CC1821" s="261"/>
      <c r="CD1821" s="261"/>
      <c r="CE1821" s="255"/>
      <c r="CF1821" s="261"/>
      <c r="CG1821" s="53"/>
      <c r="CH1821" s="53"/>
      <c r="CI1821" s="53"/>
      <c r="CJ1821" s="53"/>
      <c r="CK1821" s="53"/>
      <c r="CL1821" s="53"/>
      <c r="CN1821" s="53"/>
      <c r="CO1821" s="53"/>
      <c r="CP1821" s="53"/>
      <c r="CQ1821" s="53"/>
      <c r="CR1821" s="53"/>
      <c r="CS1821" s="53"/>
      <c r="CT1821" s="255"/>
      <c r="CU1821" s="261"/>
      <c r="CV1821" s="261"/>
      <c r="CW1821" s="255"/>
      <c r="CX1821" s="261"/>
      <c r="CY1821" s="255"/>
    </row>
    <row r="1822" spans="1:103" ht="10.25" customHeight="1">
      <c r="A1822" s="216"/>
      <c r="B1822" s="217"/>
      <c r="C1822" s="218"/>
      <c r="D1822" s="219"/>
      <c r="E1822" s="217"/>
      <c r="F1822" s="217"/>
      <c r="G1822" s="217"/>
      <c r="H1822" s="220"/>
      <c r="I1822" s="217"/>
      <c r="J1822" s="217"/>
      <c r="K1822" s="217"/>
      <c r="L1822" s="217"/>
      <c r="M1822" s="217"/>
      <c r="N1822" s="217"/>
      <c r="O1822" s="44"/>
      <c r="P1822" s="44"/>
      <c r="Q1822" s="44"/>
      <c r="R1822" s="44"/>
      <c r="S1822" s="44"/>
      <c r="T1822" s="44"/>
      <c r="U1822" s="44"/>
      <c r="V1822" s="44"/>
      <c r="W1822" s="44"/>
      <c r="X1822" s="44"/>
      <c r="Y1822" s="44"/>
      <c r="Z1822" s="44"/>
      <c r="AA1822" s="44"/>
      <c r="AB1822" s="44"/>
      <c r="AC1822" s="44"/>
      <c r="AD1822" s="44"/>
      <c r="AE1822" s="44"/>
      <c r="AF1822" s="44"/>
      <c r="AG1822" s="44"/>
      <c r="AH1822" s="44"/>
      <c r="AI1822" s="44"/>
      <c r="AJ1822" s="44"/>
      <c r="AK1822" s="44"/>
      <c r="AL1822" s="44"/>
      <c r="AM1822" s="44"/>
      <c r="AN1822" s="44"/>
      <c r="AO1822" s="44"/>
      <c r="AP1822" s="44"/>
      <c r="AQ1822" s="44"/>
      <c r="BA1822" s="5"/>
      <c r="BB1822" s="5"/>
      <c r="BC1822" s="5"/>
      <c r="BD1822" s="5"/>
      <c r="BE1822" s="63"/>
      <c r="BF1822" s="63"/>
      <c r="BG1822" s="63"/>
      <c r="CA1822" s="256"/>
      <c r="CB1822" s="261"/>
      <c r="CC1822" s="261"/>
      <c r="CD1822" s="255"/>
      <c r="CE1822" s="261"/>
      <c r="CF1822" s="261"/>
      <c r="CG1822" s="53"/>
      <c r="CH1822" s="53"/>
      <c r="CI1822" s="53"/>
      <c r="CJ1822" s="53"/>
      <c r="CK1822" s="53"/>
      <c r="CL1822" s="53"/>
      <c r="CN1822" s="53"/>
      <c r="CO1822" s="53"/>
      <c r="CP1822" s="53"/>
      <c r="CQ1822" s="53"/>
      <c r="CR1822" s="53"/>
      <c r="CS1822" s="53"/>
      <c r="CT1822" s="261"/>
      <c r="CU1822" s="261"/>
      <c r="CV1822" s="255"/>
      <c r="CW1822" s="261"/>
      <c r="CX1822" s="261"/>
      <c r="CY1822" s="255"/>
    </row>
    <row r="1823" spans="1:103" ht="10.25" customHeight="1">
      <c r="A1823" s="216"/>
      <c r="B1823" s="217"/>
      <c r="C1823" s="218"/>
      <c r="D1823" s="219"/>
      <c r="E1823" s="217"/>
      <c r="F1823" s="217"/>
      <c r="G1823" s="217"/>
      <c r="H1823" s="220"/>
      <c r="I1823" s="217"/>
      <c r="J1823" s="217"/>
      <c r="K1823" s="217"/>
      <c r="L1823" s="217"/>
      <c r="M1823" s="217"/>
      <c r="N1823" s="217"/>
      <c r="O1823" s="44"/>
      <c r="P1823" s="44"/>
      <c r="Q1823" s="44"/>
      <c r="R1823" s="44"/>
      <c r="S1823" s="44"/>
      <c r="T1823" s="44"/>
      <c r="U1823" s="44"/>
      <c r="V1823" s="44"/>
      <c r="W1823" s="44"/>
      <c r="X1823" s="44"/>
      <c r="Y1823" s="44"/>
      <c r="Z1823" s="44"/>
      <c r="AA1823" s="44"/>
      <c r="AB1823" s="44"/>
      <c r="AC1823" s="44"/>
      <c r="AD1823" s="44"/>
      <c r="AE1823" s="44"/>
      <c r="AF1823" s="44"/>
      <c r="AG1823" s="44"/>
      <c r="AH1823" s="44"/>
      <c r="AI1823" s="44"/>
      <c r="AJ1823" s="44"/>
      <c r="AK1823" s="44"/>
      <c r="AL1823" s="44"/>
      <c r="AM1823" s="44"/>
      <c r="AN1823" s="44"/>
      <c r="AO1823" s="44"/>
      <c r="AP1823" s="44"/>
      <c r="AQ1823" s="44"/>
      <c r="BA1823" s="5"/>
      <c r="BB1823" s="5"/>
      <c r="BC1823" s="5"/>
      <c r="BD1823" s="5"/>
      <c r="BE1823" s="63"/>
      <c r="BF1823" s="63"/>
      <c r="BG1823" s="63"/>
      <c r="CA1823" s="256"/>
      <c r="CB1823" s="261"/>
      <c r="CC1823" s="261"/>
      <c r="CD1823" s="255"/>
      <c r="CE1823" s="261"/>
      <c r="CF1823" s="261"/>
      <c r="CG1823" s="53"/>
      <c r="CH1823" s="53"/>
      <c r="CI1823" s="53"/>
      <c r="CJ1823" s="53"/>
      <c r="CK1823" s="53"/>
      <c r="CL1823" s="53"/>
      <c r="CN1823" s="53"/>
      <c r="CO1823" s="53"/>
      <c r="CP1823" s="53"/>
      <c r="CQ1823" s="53"/>
      <c r="CR1823" s="53"/>
      <c r="CS1823" s="53"/>
      <c r="CT1823" s="261"/>
      <c r="CU1823" s="261"/>
      <c r="CV1823" s="261"/>
      <c r="CW1823" s="255"/>
      <c r="CX1823" s="261"/>
      <c r="CY1823" s="255"/>
    </row>
    <row r="1824" spans="1:103" ht="10.25" customHeight="1">
      <c r="A1824" s="216"/>
      <c r="B1824" s="217"/>
      <c r="C1824" s="218"/>
      <c r="D1824" s="219"/>
      <c r="E1824" s="217"/>
      <c r="F1824" s="217"/>
      <c r="G1824" s="217"/>
      <c r="H1824" s="220"/>
      <c r="I1824" s="217"/>
      <c r="J1824" s="217"/>
      <c r="K1824" s="217"/>
      <c r="L1824" s="217"/>
      <c r="M1824" s="217"/>
      <c r="N1824" s="217"/>
      <c r="O1824" s="44"/>
      <c r="P1824" s="44"/>
      <c r="Q1824" s="44"/>
      <c r="R1824" s="44"/>
      <c r="S1824" s="44"/>
      <c r="T1824" s="44"/>
      <c r="U1824" s="44"/>
      <c r="V1824" s="44"/>
      <c r="W1824" s="44"/>
      <c r="X1824" s="44"/>
      <c r="Y1824" s="44"/>
      <c r="Z1824" s="44"/>
      <c r="AA1824" s="44"/>
      <c r="AB1824" s="44"/>
      <c r="AC1824" s="44"/>
      <c r="AD1824" s="44"/>
      <c r="AE1824" s="44"/>
      <c r="AF1824" s="44"/>
      <c r="AG1824" s="44"/>
      <c r="AH1824" s="44"/>
      <c r="AI1824" s="44"/>
      <c r="AJ1824" s="44"/>
      <c r="AK1824" s="44"/>
      <c r="AL1824" s="44"/>
      <c r="AM1824" s="44"/>
      <c r="AN1824" s="44"/>
      <c r="AO1824" s="44"/>
      <c r="AP1824" s="44"/>
      <c r="AQ1824" s="44"/>
      <c r="BA1824" s="5"/>
      <c r="BB1824" s="5"/>
      <c r="BC1824" s="5"/>
      <c r="BD1824" s="5"/>
      <c r="BE1824" s="63"/>
      <c r="BF1824" s="63"/>
      <c r="BG1824" s="63"/>
      <c r="CA1824" s="256"/>
      <c r="CB1824" s="261"/>
      <c r="CC1824" s="261"/>
      <c r="CD1824" s="255"/>
      <c r="CE1824" s="261"/>
      <c r="CF1824" s="261"/>
      <c r="CG1824" s="53"/>
      <c r="CH1824" s="53"/>
      <c r="CI1824" s="53"/>
      <c r="CJ1824" s="53"/>
      <c r="CK1824" s="53"/>
      <c r="CL1824" s="53"/>
      <c r="CN1824" s="53"/>
      <c r="CO1824" s="53"/>
      <c r="CP1824" s="53"/>
      <c r="CQ1824" s="53"/>
      <c r="CR1824" s="53"/>
      <c r="CS1824" s="53"/>
      <c r="CT1824" s="261"/>
      <c r="CU1824" s="261"/>
      <c r="CV1824" s="261"/>
      <c r="CW1824" s="261"/>
      <c r="CX1824" s="261"/>
      <c r="CY1824" s="255"/>
    </row>
    <row r="1825" spans="1:103" ht="10.25" customHeight="1">
      <c r="A1825" s="216"/>
      <c r="B1825" s="217"/>
      <c r="C1825" s="218"/>
      <c r="D1825" s="219"/>
      <c r="E1825" s="217"/>
      <c r="F1825" s="217"/>
      <c r="G1825" s="217"/>
      <c r="H1825" s="220"/>
      <c r="I1825" s="217"/>
      <c r="J1825" s="217"/>
      <c r="K1825" s="217"/>
      <c r="L1825" s="217"/>
      <c r="M1825" s="217"/>
      <c r="N1825" s="217"/>
      <c r="O1825" s="44"/>
      <c r="P1825" s="44"/>
      <c r="Q1825" s="44"/>
      <c r="R1825" s="44"/>
      <c r="S1825" s="44"/>
      <c r="T1825" s="44"/>
      <c r="U1825" s="44"/>
      <c r="V1825" s="44"/>
      <c r="W1825" s="44"/>
      <c r="X1825" s="44"/>
      <c r="Y1825" s="44"/>
      <c r="Z1825" s="44"/>
      <c r="AA1825" s="44"/>
      <c r="AB1825" s="44"/>
      <c r="AC1825" s="44"/>
      <c r="AD1825" s="44"/>
      <c r="AE1825" s="44"/>
      <c r="AF1825" s="44"/>
      <c r="AG1825" s="44"/>
      <c r="AH1825" s="44"/>
      <c r="AI1825" s="44"/>
      <c r="AJ1825" s="44"/>
      <c r="AK1825" s="44"/>
      <c r="AL1825" s="44"/>
      <c r="AM1825" s="44"/>
      <c r="AN1825" s="44"/>
      <c r="AO1825" s="44"/>
      <c r="AP1825" s="44"/>
      <c r="AQ1825" s="44"/>
      <c r="BA1825" s="5"/>
      <c r="BB1825" s="5"/>
      <c r="BC1825" s="5"/>
      <c r="BD1825" s="5"/>
      <c r="BE1825" s="63"/>
      <c r="BF1825" s="63"/>
      <c r="BG1825" s="63"/>
      <c r="CA1825" s="256"/>
      <c r="CB1825" s="261"/>
      <c r="CC1825" s="261"/>
      <c r="CD1825" s="261"/>
      <c r="CE1825" s="261"/>
      <c r="CF1825" s="261"/>
      <c r="CG1825" s="53"/>
      <c r="CH1825" s="53"/>
      <c r="CI1825" s="53"/>
      <c r="CJ1825" s="53"/>
      <c r="CK1825" s="53"/>
      <c r="CL1825" s="53"/>
      <c r="CN1825" s="53"/>
      <c r="CO1825" s="53"/>
      <c r="CP1825" s="53"/>
      <c r="CQ1825" s="53"/>
      <c r="CR1825" s="53"/>
      <c r="CS1825" s="53"/>
      <c r="CT1825" s="261"/>
      <c r="CU1825" s="261"/>
      <c r="CV1825" s="255"/>
      <c r="CW1825" s="255"/>
      <c r="CX1825" s="261"/>
      <c r="CY1825" s="255"/>
    </row>
    <row r="1826" spans="1:103" ht="10.25" customHeight="1">
      <c r="A1826" s="216"/>
      <c r="B1826" s="217"/>
      <c r="C1826" s="218"/>
      <c r="D1826" s="219"/>
      <c r="E1826" s="217"/>
      <c r="F1826" s="217"/>
      <c r="G1826" s="217"/>
      <c r="H1826" s="220"/>
      <c r="I1826" s="217"/>
      <c r="J1826" s="217"/>
      <c r="K1826" s="217"/>
      <c r="L1826" s="217"/>
      <c r="M1826" s="217"/>
      <c r="N1826" s="217"/>
      <c r="O1826" s="44"/>
      <c r="P1826" s="44"/>
      <c r="Q1826" s="44"/>
      <c r="R1826" s="44"/>
      <c r="S1826" s="44"/>
      <c r="T1826" s="44"/>
      <c r="U1826" s="44"/>
      <c r="V1826" s="44"/>
      <c r="W1826" s="44"/>
      <c r="X1826" s="44"/>
      <c r="Y1826" s="44"/>
      <c r="Z1826" s="44"/>
      <c r="AA1826" s="44"/>
      <c r="AB1826" s="44"/>
      <c r="AC1826" s="44"/>
      <c r="AD1826" s="44"/>
      <c r="AE1826" s="44"/>
      <c r="AF1826" s="44"/>
      <c r="AG1826" s="44"/>
      <c r="AH1826" s="44"/>
      <c r="AI1826" s="44"/>
      <c r="AJ1826" s="44"/>
      <c r="AK1826" s="44"/>
      <c r="AL1826" s="44"/>
      <c r="AM1826" s="44"/>
      <c r="AN1826" s="44"/>
      <c r="AO1826" s="44"/>
      <c r="AP1826" s="44"/>
      <c r="AQ1826" s="44"/>
      <c r="BA1826" s="5"/>
      <c r="BB1826" s="5"/>
      <c r="BC1826" s="5"/>
      <c r="BD1826" s="5"/>
      <c r="BE1826" s="63"/>
      <c r="BF1826" s="63"/>
      <c r="BG1826" s="63"/>
      <c r="CA1826" s="256"/>
      <c r="CB1826" s="261"/>
      <c r="CC1826" s="261"/>
      <c r="CD1826" s="261"/>
      <c r="CE1826" s="261"/>
      <c r="CF1826" s="261"/>
      <c r="CG1826" s="53"/>
      <c r="CH1826" s="53"/>
      <c r="CI1826" s="53"/>
      <c r="CJ1826" s="53"/>
      <c r="CK1826" s="53"/>
      <c r="CL1826" s="53"/>
      <c r="CN1826" s="53"/>
      <c r="CO1826" s="53"/>
      <c r="CP1826" s="53"/>
      <c r="CQ1826" s="53"/>
      <c r="CR1826" s="53"/>
      <c r="CS1826" s="53"/>
      <c r="CT1826" s="261"/>
      <c r="CU1826" s="261"/>
      <c r="CV1826" s="261"/>
      <c r="CW1826" s="261"/>
      <c r="CX1826" s="261"/>
      <c r="CY1826" s="255"/>
    </row>
    <row r="1827" spans="1:103" ht="10.25" customHeight="1">
      <c r="A1827" s="216"/>
      <c r="B1827" s="217"/>
      <c r="C1827" s="218"/>
      <c r="D1827" s="219"/>
      <c r="E1827" s="217"/>
      <c r="F1827" s="217"/>
      <c r="G1827" s="217"/>
      <c r="H1827" s="220"/>
      <c r="I1827" s="217"/>
      <c r="J1827" s="217"/>
      <c r="K1827" s="217"/>
      <c r="L1827" s="217"/>
      <c r="M1827" s="217"/>
      <c r="N1827" s="217"/>
      <c r="O1827" s="44"/>
      <c r="P1827" s="44"/>
      <c r="Q1827" s="44"/>
      <c r="R1827" s="44"/>
      <c r="S1827" s="44"/>
      <c r="T1827" s="44"/>
      <c r="U1827" s="44"/>
      <c r="V1827" s="44"/>
      <c r="W1827" s="44"/>
      <c r="X1827" s="44"/>
      <c r="Y1827" s="44"/>
      <c r="Z1827" s="44"/>
      <c r="AA1827" s="44"/>
      <c r="AB1827" s="44"/>
      <c r="AC1827" s="44"/>
      <c r="AD1827" s="44"/>
      <c r="AE1827" s="44"/>
      <c r="AF1827" s="44"/>
      <c r="AG1827" s="44"/>
      <c r="AH1827" s="44"/>
      <c r="AI1827" s="44"/>
      <c r="AJ1827" s="44"/>
      <c r="AK1827" s="44"/>
      <c r="AL1827" s="44"/>
      <c r="AM1827" s="44"/>
      <c r="AN1827" s="44"/>
      <c r="AO1827" s="44"/>
      <c r="AP1827" s="44"/>
      <c r="AQ1827" s="44"/>
      <c r="BA1827" s="5"/>
      <c r="BB1827" s="5"/>
      <c r="BC1827" s="5"/>
      <c r="BD1827" s="5"/>
      <c r="BE1827" s="63"/>
      <c r="BF1827" s="63"/>
      <c r="BG1827" s="63"/>
      <c r="CA1827" s="256"/>
      <c r="CB1827" s="261"/>
      <c r="CC1827" s="261"/>
      <c r="CD1827" s="261"/>
      <c r="CE1827" s="261"/>
      <c r="CF1827" s="261"/>
      <c r="CG1827" s="53"/>
      <c r="CH1827" s="53"/>
      <c r="CI1827" s="53"/>
      <c r="CJ1827" s="53"/>
      <c r="CK1827" s="53"/>
      <c r="CL1827" s="53"/>
      <c r="CN1827" s="53"/>
      <c r="CO1827" s="53"/>
      <c r="CP1827" s="53"/>
      <c r="CQ1827" s="53"/>
      <c r="CR1827" s="53"/>
      <c r="CS1827" s="53"/>
      <c r="CT1827" s="261"/>
      <c r="CU1827" s="261"/>
      <c r="CV1827" s="255"/>
      <c r="CW1827" s="255"/>
      <c r="CX1827" s="261"/>
      <c r="CY1827" s="255"/>
    </row>
    <row r="1828" spans="1:103" ht="10.25" customHeight="1">
      <c r="A1828" s="216"/>
      <c r="B1828" s="217"/>
      <c r="C1828" s="218"/>
      <c r="D1828" s="219"/>
      <c r="E1828" s="217"/>
      <c r="F1828" s="217"/>
      <c r="G1828" s="217"/>
      <c r="H1828" s="220"/>
      <c r="I1828" s="217"/>
      <c r="J1828" s="217"/>
      <c r="K1828" s="217"/>
      <c r="L1828" s="217"/>
      <c r="M1828" s="217"/>
      <c r="N1828" s="217"/>
      <c r="O1828" s="44"/>
      <c r="P1828" s="44"/>
      <c r="Q1828" s="44"/>
      <c r="R1828" s="44"/>
      <c r="S1828" s="44"/>
      <c r="T1828" s="44"/>
      <c r="U1828" s="44"/>
      <c r="V1828" s="44"/>
      <c r="W1828" s="44"/>
      <c r="X1828" s="44"/>
      <c r="Y1828" s="44"/>
      <c r="Z1828" s="44"/>
      <c r="AA1828" s="44"/>
      <c r="AB1828" s="44"/>
      <c r="AC1828" s="44"/>
      <c r="AD1828" s="44"/>
      <c r="AE1828" s="44"/>
      <c r="AF1828" s="44"/>
      <c r="AG1828" s="44"/>
      <c r="AH1828" s="44"/>
      <c r="AI1828" s="44"/>
      <c r="AJ1828" s="44"/>
      <c r="AK1828" s="44"/>
      <c r="AL1828" s="44"/>
      <c r="AM1828" s="44"/>
      <c r="AN1828" s="44"/>
      <c r="AO1828" s="44"/>
      <c r="AP1828" s="44"/>
      <c r="AQ1828" s="44"/>
      <c r="BA1828" s="5"/>
      <c r="BB1828" s="5"/>
      <c r="BC1828" s="5"/>
      <c r="BD1828" s="5"/>
      <c r="BE1828" s="63"/>
      <c r="BF1828" s="63"/>
      <c r="BG1828" s="63"/>
      <c r="CA1828" s="256"/>
      <c r="CB1828" s="261"/>
      <c r="CC1828" s="261"/>
      <c r="CD1828" s="261"/>
      <c r="CE1828" s="261"/>
      <c r="CF1828" s="261"/>
      <c r="CG1828" s="53"/>
      <c r="CH1828" s="53"/>
      <c r="CI1828" s="53"/>
      <c r="CJ1828" s="53"/>
      <c r="CK1828" s="53"/>
      <c r="CL1828" s="53"/>
      <c r="CN1828" s="53"/>
      <c r="CO1828" s="53"/>
      <c r="CP1828" s="53"/>
      <c r="CQ1828" s="53"/>
      <c r="CR1828" s="53"/>
      <c r="CS1828" s="53"/>
      <c r="CT1828" s="261"/>
      <c r="CU1828" s="261"/>
      <c r="CV1828" s="261"/>
      <c r="CW1828" s="261"/>
      <c r="CX1828" s="255"/>
      <c r="CY1828" s="255"/>
    </row>
    <row r="1829" spans="1:103" ht="10.25" customHeight="1">
      <c r="A1829" s="216"/>
      <c r="B1829" s="217"/>
      <c r="C1829" s="218"/>
      <c r="D1829" s="219"/>
      <c r="E1829" s="217"/>
      <c r="F1829" s="217"/>
      <c r="G1829" s="217"/>
      <c r="H1829" s="220"/>
      <c r="I1829" s="217"/>
      <c r="J1829" s="217"/>
      <c r="K1829" s="217"/>
      <c r="L1829" s="217"/>
      <c r="M1829" s="217"/>
      <c r="N1829" s="217"/>
      <c r="O1829" s="44"/>
      <c r="P1829" s="44"/>
      <c r="Q1829" s="44"/>
      <c r="R1829" s="44"/>
      <c r="S1829" s="44"/>
      <c r="T1829" s="44"/>
      <c r="U1829" s="44"/>
      <c r="V1829" s="44"/>
      <c r="W1829" s="44"/>
      <c r="X1829" s="44"/>
      <c r="Y1829" s="44"/>
      <c r="Z1829" s="44"/>
      <c r="AA1829" s="44"/>
      <c r="AB1829" s="44"/>
      <c r="AC1829" s="44"/>
      <c r="AD1829" s="44"/>
      <c r="AE1829" s="44"/>
      <c r="AF1829" s="44"/>
      <c r="AG1829" s="44"/>
      <c r="AH1829" s="44"/>
      <c r="AI1829" s="44"/>
      <c r="AJ1829" s="44"/>
      <c r="AK1829" s="44"/>
      <c r="AL1829" s="44"/>
      <c r="AM1829" s="44"/>
      <c r="AN1829" s="44"/>
      <c r="AO1829" s="44"/>
      <c r="AP1829" s="44"/>
      <c r="AQ1829" s="44"/>
      <c r="BA1829" s="5"/>
      <c r="BB1829" s="5"/>
      <c r="BC1829" s="5"/>
      <c r="BD1829" s="5"/>
      <c r="BE1829" s="63"/>
      <c r="BF1829" s="63"/>
      <c r="BG1829" s="63"/>
      <c r="CA1829" s="256"/>
      <c r="CB1829" s="261"/>
      <c r="CC1829" s="261"/>
      <c r="CD1829" s="261"/>
      <c r="CE1829" s="261"/>
      <c r="CF1829" s="261"/>
      <c r="CG1829" s="53"/>
      <c r="CH1829" s="53"/>
      <c r="CI1829" s="53"/>
      <c r="CJ1829" s="53"/>
      <c r="CK1829" s="53"/>
      <c r="CL1829" s="53"/>
      <c r="CN1829" s="53"/>
      <c r="CO1829" s="53"/>
      <c r="CP1829" s="53"/>
      <c r="CQ1829" s="53"/>
      <c r="CR1829" s="53"/>
      <c r="CS1829" s="53"/>
      <c r="CT1829" s="261"/>
      <c r="CU1829" s="261"/>
      <c r="CV1829" s="255"/>
      <c r="CW1829" s="255"/>
      <c r="CX1829" s="261"/>
      <c r="CY1829" s="255"/>
    </row>
    <row r="1830" spans="1:103" ht="10.25" customHeight="1">
      <c r="A1830" s="216"/>
      <c r="B1830" s="217"/>
      <c r="C1830" s="218"/>
      <c r="D1830" s="219"/>
      <c r="E1830" s="217"/>
      <c r="F1830" s="217"/>
      <c r="G1830" s="217"/>
      <c r="H1830" s="220"/>
      <c r="I1830" s="217"/>
      <c r="J1830" s="217"/>
      <c r="K1830" s="217"/>
      <c r="L1830" s="217"/>
      <c r="M1830" s="217"/>
      <c r="N1830" s="217"/>
      <c r="O1830" s="44"/>
      <c r="P1830" s="44"/>
      <c r="Q1830" s="44"/>
      <c r="R1830" s="44"/>
      <c r="S1830" s="44"/>
      <c r="T1830" s="44"/>
      <c r="U1830" s="44"/>
      <c r="V1830" s="44"/>
      <c r="W1830" s="44"/>
      <c r="X1830" s="44"/>
      <c r="Y1830" s="44"/>
      <c r="Z1830" s="44"/>
      <c r="AA1830" s="44"/>
      <c r="AB1830" s="44"/>
      <c r="AC1830" s="44"/>
      <c r="AD1830" s="44"/>
      <c r="AE1830" s="44"/>
      <c r="AF1830" s="44"/>
      <c r="AG1830" s="44"/>
      <c r="AH1830" s="44"/>
      <c r="AI1830" s="44"/>
      <c r="AJ1830" s="44"/>
      <c r="AK1830" s="44"/>
      <c r="AL1830" s="44"/>
      <c r="AM1830" s="44"/>
      <c r="AN1830" s="44"/>
      <c r="AO1830" s="44"/>
      <c r="AP1830" s="44"/>
      <c r="AQ1830" s="44"/>
      <c r="BA1830" s="5"/>
      <c r="BB1830" s="5"/>
      <c r="BC1830" s="5"/>
      <c r="BD1830" s="5"/>
      <c r="BE1830" s="63"/>
      <c r="BF1830" s="63"/>
      <c r="BG1830" s="63"/>
      <c r="CA1830" s="256"/>
      <c r="CB1830" s="261"/>
      <c r="CC1830" s="261"/>
      <c r="CD1830" s="261"/>
      <c r="CE1830" s="261"/>
      <c r="CF1830" s="261"/>
      <c r="CG1830" s="53"/>
      <c r="CH1830" s="53"/>
      <c r="CI1830" s="53"/>
      <c r="CJ1830" s="53"/>
      <c r="CK1830" s="53"/>
      <c r="CL1830" s="53"/>
      <c r="CN1830" s="53"/>
      <c r="CO1830" s="53"/>
      <c r="CP1830" s="53"/>
      <c r="CQ1830" s="53"/>
      <c r="CR1830" s="53"/>
      <c r="CS1830" s="53"/>
      <c r="CT1830" s="261"/>
      <c r="CU1830" s="261"/>
      <c r="CV1830" s="261"/>
      <c r="CW1830" s="261"/>
      <c r="CX1830" s="261"/>
      <c r="CY1830" s="255"/>
    </row>
    <row r="1831" spans="1:103" ht="10.25" customHeight="1">
      <c r="A1831" s="216"/>
      <c r="B1831" s="217"/>
      <c r="C1831" s="218"/>
      <c r="D1831" s="219"/>
      <c r="E1831" s="217"/>
      <c r="F1831" s="217"/>
      <c r="G1831" s="217"/>
      <c r="H1831" s="220"/>
      <c r="I1831" s="217"/>
      <c r="J1831" s="217"/>
      <c r="K1831" s="217"/>
      <c r="L1831" s="217"/>
      <c r="M1831" s="217"/>
      <c r="N1831" s="217"/>
      <c r="O1831" s="44"/>
      <c r="P1831" s="44"/>
      <c r="Q1831" s="44"/>
      <c r="R1831" s="44"/>
      <c r="S1831" s="44"/>
      <c r="T1831" s="44"/>
      <c r="U1831" s="44"/>
      <c r="V1831" s="44"/>
      <c r="W1831" s="44"/>
      <c r="X1831" s="44"/>
      <c r="Y1831" s="44"/>
      <c r="Z1831" s="44"/>
      <c r="AA1831" s="44"/>
      <c r="AB1831" s="44"/>
      <c r="AC1831" s="44"/>
      <c r="AD1831" s="44"/>
      <c r="AE1831" s="44"/>
      <c r="AF1831" s="44"/>
      <c r="AG1831" s="44"/>
      <c r="AH1831" s="44"/>
      <c r="AI1831" s="44"/>
      <c r="AJ1831" s="44"/>
      <c r="AK1831" s="44"/>
      <c r="AL1831" s="44"/>
      <c r="AM1831" s="44"/>
      <c r="AN1831" s="44"/>
      <c r="AO1831" s="44"/>
      <c r="AP1831" s="44"/>
      <c r="AQ1831" s="44"/>
      <c r="BA1831" s="5"/>
      <c r="BB1831" s="5"/>
      <c r="BC1831" s="5"/>
      <c r="BD1831" s="5"/>
      <c r="BE1831" s="63"/>
      <c r="BF1831" s="63"/>
      <c r="BG1831" s="63"/>
      <c r="CA1831" s="256"/>
      <c r="CB1831" s="261"/>
      <c r="CC1831" s="261"/>
      <c r="CD1831" s="261"/>
      <c r="CE1831" s="261"/>
      <c r="CF1831" s="261"/>
      <c r="CG1831" s="53"/>
      <c r="CH1831" s="53"/>
      <c r="CI1831" s="53"/>
      <c r="CJ1831" s="53"/>
      <c r="CK1831" s="53"/>
      <c r="CL1831" s="53"/>
      <c r="CN1831" s="53"/>
      <c r="CO1831" s="53"/>
      <c r="CP1831" s="53"/>
      <c r="CQ1831" s="53"/>
      <c r="CR1831" s="53"/>
      <c r="CS1831" s="53"/>
      <c r="CT1831" s="261"/>
      <c r="CU1831" s="261"/>
      <c r="CV1831" s="261"/>
      <c r="CW1831" s="255"/>
      <c r="CX1831" s="261"/>
      <c r="CY1831" s="255"/>
    </row>
    <row r="1832" spans="1:103" ht="10.25" customHeight="1">
      <c r="A1832" s="216"/>
      <c r="B1832" s="217"/>
      <c r="C1832" s="218"/>
      <c r="D1832" s="219"/>
      <c r="E1832" s="217"/>
      <c r="F1832" s="217"/>
      <c r="G1832" s="217"/>
      <c r="H1832" s="220"/>
      <c r="I1832" s="217"/>
      <c r="J1832" s="217"/>
      <c r="K1832" s="217"/>
      <c r="L1832" s="217"/>
      <c r="M1832" s="217"/>
      <c r="N1832" s="217"/>
      <c r="O1832" s="44"/>
      <c r="P1832" s="44"/>
      <c r="Q1832" s="44"/>
      <c r="R1832" s="44"/>
      <c r="S1832" s="44"/>
      <c r="T1832" s="44"/>
      <c r="U1832" s="44"/>
      <c r="V1832" s="44"/>
      <c r="W1832" s="44"/>
      <c r="X1832" s="44"/>
      <c r="Y1832" s="44"/>
      <c r="Z1832" s="44"/>
      <c r="AA1832" s="44"/>
      <c r="AB1832" s="44"/>
      <c r="AC1832" s="44"/>
      <c r="AD1832" s="44"/>
      <c r="AE1832" s="44"/>
      <c r="AF1832" s="44"/>
      <c r="AG1832" s="44"/>
      <c r="AH1832" s="44"/>
      <c r="AI1832" s="44"/>
      <c r="AJ1832" s="44"/>
      <c r="AK1832" s="44"/>
      <c r="AL1832" s="44"/>
      <c r="AM1832" s="44"/>
      <c r="AN1832" s="44"/>
      <c r="AO1832" s="44"/>
      <c r="AP1832" s="44"/>
      <c r="AQ1832" s="44"/>
      <c r="BA1832" s="5"/>
      <c r="BB1832" s="5"/>
      <c r="BC1832" s="5"/>
      <c r="BD1832" s="5"/>
      <c r="BE1832" s="63"/>
      <c r="BF1832" s="63"/>
      <c r="BG1832" s="63"/>
      <c r="CA1832" s="256"/>
      <c r="CB1832" s="261"/>
      <c r="CC1832" s="261"/>
      <c r="CD1832" s="261"/>
      <c r="CE1832" s="261"/>
      <c r="CF1832" s="261"/>
      <c r="CG1832" s="53"/>
      <c r="CH1832" s="53"/>
      <c r="CI1832" s="53"/>
      <c r="CJ1832" s="53"/>
      <c r="CK1832" s="53"/>
      <c r="CL1832" s="53"/>
      <c r="CN1832" s="53"/>
      <c r="CO1832" s="53"/>
      <c r="CP1832" s="53"/>
      <c r="CQ1832" s="53"/>
      <c r="CR1832" s="53"/>
      <c r="CS1832" s="53"/>
      <c r="CT1832" s="261"/>
      <c r="CU1832" s="261"/>
      <c r="CV1832" s="261"/>
      <c r="CW1832" s="261"/>
      <c r="CX1832" s="261"/>
      <c r="CY1832" s="255"/>
    </row>
    <row r="1833" spans="1:103" ht="10.25" customHeight="1">
      <c r="A1833" s="216"/>
      <c r="B1833" s="217"/>
      <c r="C1833" s="218"/>
      <c r="D1833" s="219"/>
      <c r="E1833" s="217"/>
      <c r="F1833" s="217"/>
      <c r="G1833" s="217"/>
      <c r="H1833" s="220"/>
      <c r="I1833" s="217"/>
      <c r="J1833" s="217"/>
      <c r="K1833" s="217"/>
      <c r="L1833" s="217"/>
      <c r="M1833" s="217"/>
      <c r="N1833" s="217"/>
      <c r="O1833" s="44"/>
      <c r="P1833" s="44"/>
      <c r="Q1833" s="44"/>
      <c r="R1833" s="44"/>
      <c r="S1833" s="44"/>
      <c r="T1833" s="44"/>
      <c r="U1833" s="44"/>
      <c r="V1833" s="44"/>
      <c r="W1833" s="44"/>
      <c r="X1833" s="44"/>
      <c r="Y1833" s="44"/>
      <c r="Z1833" s="44"/>
      <c r="AA1833" s="44"/>
      <c r="AB1833" s="44"/>
      <c r="AC1833" s="44"/>
      <c r="AD1833" s="44"/>
      <c r="AE1833" s="44"/>
      <c r="AF1833" s="44"/>
      <c r="AG1833" s="44"/>
      <c r="AH1833" s="44"/>
      <c r="AI1833" s="44"/>
      <c r="AJ1833" s="44"/>
      <c r="AK1833" s="44"/>
      <c r="AL1833" s="44"/>
      <c r="AM1833" s="44"/>
      <c r="AN1833" s="44"/>
      <c r="AO1833" s="44"/>
      <c r="AP1833" s="44"/>
      <c r="AQ1833" s="44"/>
      <c r="BA1833" s="5"/>
      <c r="BB1833" s="5"/>
      <c r="BC1833" s="5"/>
      <c r="BD1833" s="5"/>
      <c r="BE1833" s="63"/>
      <c r="BF1833" s="63"/>
      <c r="BG1833" s="63"/>
      <c r="CA1833" s="256"/>
      <c r="CB1833" s="261"/>
      <c r="CC1833" s="261"/>
      <c r="CD1833" s="261"/>
      <c r="CE1833" s="261"/>
      <c r="CF1833" s="261"/>
      <c r="CG1833" s="53"/>
      <c r="CH1833" s="53"/>
      <c r="CI1833" s="53"/>
      <c r="CJ1833" s="53"/>
      <c r="CK1833" s="53"/>
      <c r="CL1833" s="53"/>
      <c r="CN1833" s="53"/>
      <c r="CO1833" s="53"/>
      <c r="CP1833" s="53"/>
      <c r="CQ1833" s="53"/>
      <c r="CR1833" s="53"/>
      <c r="CS1833" s="53"/>
      <c r="CT1833" s="261"/>
      <c r="CU1833" s="261"/>
      <c r="CV1833" s="255"/>
      <c r="CW1833" s="255"/>
      <c r="CX1833" s="261"/>
      <c r="CY1833" s="255"/>
    </row>
    <row r="1834" spans="1:103" ht="10.25" customHeight="1">
      <c r="A1834" s="216"/>
      <c r="B1834" s="217"/>
      <c r="C1834" s="218"/>
      <c r="D1834" s="219"/>
      <c r="E1834" s="217"/>
      <c r="F1834" s="217"/>
      <c r="G1834" s="217"/>
      <c r="H1834" s="220"/>
      <c r="I1834" s="217"/>
      <c r="J1834" s="217"/>
      <c r="K1834" s="217"/>
      <c r="L1834" s="217"/>
      <c r="M1834" s="217"/>
      <c r="N1834" s="217"/>
      <c r="O1834" s="44"/>
      <c r="P1834" s="44"/>
      <c r="Q1834" s="44"/>
      <c r="R1834" s="44"/>
      <c r="S1834" s="44"/>
      <c r="T1834" s="44"/>
      <c r="U1834" s="44"/>
      <c r="V1834" s="44"/>
      <c r="W1834" s="44"/>
      <c r="X1834" s="44"/>
      <c r="Y1834" s="44"/>
      <c r="Z1834" s="44"/>
      <c r="AA1834" s="44"/>
      <c r="AB1834" s="44"/>
      <c r="AC1834" s="44"/>
      <c r="AD1834" s="44"/>
      <c r="AE1834" s="44"/>
      <c r="AF1834" s="44"/>
      <c r="AG1834" s="44"/>
      <c r="AH1834" s="44"/>
      <c r="AI1834" s="44"/>
      <c r="AJ1834" s="44"/>
      <c r="AK1834" s="44"/>
      <c r="AL1834" s="44"/>
      <c r="AM1834" s="44"/>
      <c r="AN1834" s="44"/>
      <c r="AO1834" s="44"/>
      <c r="AP1834" s="44"/>
      <c r="AQ1834" s="44"/>
      <c r="BA1834" s="5"/>
      <c r="BB1834" s="5"/>
      <c r="BC1834" s="5"/>
      <c r="BD1834" s="5"/>
      <c r="BE1834" s="63"/>
      <c r="BF1834" s="63"/>
      <c r="BG1834" s="63"/>
      <c r="CA1834" s="256"/>
      <c r="CB1834" s="261"/>
      <c r="CC1834" s="261"/>
      <c r="CD1834" s="261"/>
      <c r="CE1834" s="261"/>
      <c r="CF1834" s="261"/>
      <c r="CG1834" s="53"/>
      <c r="CH1834" s="53"/>
      <c r="CI1834" s="53"/>
      <c r="CJ1834" s="53"/>
      <c r="CK1834" s="53"/>
      <c r="CL1834" s="53"/>
      <c r="CN1834" s="53"/>
      <c r="CO1834" s="53"/>
      <c r="CP1834" s="53"/>
      <c r="CQ1834" s="53"/>
      <c r="CR1834" s="53"/>
      <c r="CS1834" s="53"/>
      <c r="CT1834" s="261"/>
      <c r="CU1834" s="261"/>
      <c r="CV1834" s="261"/>
      <c r="CW1834" s="261"/>
      <c r="CX1834" s="261"/>
      <c r="CY1834" s="255"/>
    </row>
    <row r="1835" spans="1:103" ht="10.25" customHeight="1">
      <c r="A1835" s="216"/>
      <c r="B1835" s="217"/>
      <c r="C1835" s="218"/>
      <c r="D1835" s="219"/>
      <c r="E1835" s="217"/>
      <c r="F1835" s="217"/>
      <c r="G1835" s="217"/>
      <c r="H1835" s="220"/>
      <c r="I1835" s="217"/>
      <c r="J1835" s="217"/>
      <c r="K1835" s="217"/>
      <c r="L1835" s="217"/>
      <c r="M1835" s="217"/>
      <c r="N1835" s="217"/>
      <c r="O1835" s="44"/>
      <c r="P1835" s="44"/>
      <c r="Q1835" s="44"/>
      <c r="R1835" s="44"/>
      <c r="S1835" s="44"/>
      <c r="T1835" s="44"/>
      <c r="U1835" s="44"/>
      <c r="V1835" s="44"/>
      <c r="W1835" s="44"/>
      <c r="X1835" s="44"/>
      <c r="Y1835" s="44"/>
      <c r="Z1835" s="44"/>
      <c r="AA1835" s="44"/>
      <c r="AB1835" s="44"/>
      <c r="AC1835" s="44"/>
      <c r="AD1835" s="44"/>
      <c r="AE1835" s="44"/>
      <c r="AF1835" s="44"/>
      <c r="AG1835" s="44"/>
      <c r="AH1835" s="44"/>
      <c r="AI1835" s="44"/>
      <c r="AJ1835" s="44"/>
      <c r="AK1835" s="44"/>
      <c r="AL1835" s="44"/>
      <c r="AM1835" s="44"/>
      <c r="AN1835" s="44"/>
      <c r="AO1835" s="44"/>
      <c r="AP1835" s="44"/>
      <c r="AQ1835" s="44"/>
      <c r="BA1835" s="5"/>
      <c r="BB1835" s="5"/>
      <c r="BC1835" s="5"/>
      <c r="BD1835" s="5"/>
      <c r="BE1835" s="63"/>
      <c r="BF1835" s="63"/>
      <c r="BG1835" s="63"/>
      <c r="CA1835" s="256"/>
      <c r="CB1835" s="261"/>
      <c r="CC1835" s="261"/>
      <c r="CD1835" s="261"/>
      <c r="CE1835" s="261"/>
      <c r="CF1835" s="261"/>
      <c r="CG1835" s="53"/>
      <c r="CH1835" s="53"/>
      <c r="CI1835" s="53"/>
      <c r="CJ1835" s="53"/>
      <c r="CK1835" s="53"/>
      <c r="CL1835" s="53"/>
      <c r="CN1835" s="53"/>
      <c r="CO1835" s="53"/>
      <c r="CP1835" s="53"/>
      <c r="CQ1835" s="53"/>
      <c r="CR1835" s="53"/>
      <c r="CS1835" s="53"/>
      <c r="CT1835" s="261"/>
      <c r="CU1835" s="261"/>
      <c r="CV1835" s="255"/>
      <c r="CW1835" s="255"/>
      <c r="CX1835" s="255"/>
      <c r="CY1835" s="255"/>
    </row>
    <row r="1836" spans="1:103" ht="10.25" customHeight="1">
      <c r="A1836" s="216"/>
      <c r="B1836" s="217"/>
      <c r="C1836" s="218"/>
      <c r="D1836" s="219"/>
      <c r="E1836" s="217"/>
      <c r="F1836" s="217"/>
      <c r="G1836" s="217"/>
      <c r="H1836" s="220"/>
      <c r="I1836" s="217"/>
      <c r="J1836" s="217"/>
      <c r="K1836" s="217"/>
      <c r="L1836" s="217"/>
      <c r="M1836" s="217"/>
      <c r="N1836" s="217"/>
      <c r="O1836" s="44"/>
      <c r="P1836" s="44"/>
      <c r="Q1836" s="44"/>
      <c r="R1836" s="44"/>
      <c r="S1836" s="44"/>
      <c r="T1836" s="44"/>
      <c r="U1836" s="44"/>
      <c r="V1836" s="44"/>
      <c r="W1836" s="44"/>
      <c r="X1836" s="44"/>
      <c r="Y1836" s="44"/>
      <c r="Z1836" s="44"/>
      <c r="AA1836" s="44"/>
      <c r="AB1836" s="44"/>
      <c r="AC1836" s="44"/>
      <c r="AD1836" s="44"/>
      <c r="AE1836" s="44"/>
      <c r="AF1836" s="44"/>
      <c r="AG1836" s="44"/>
      <c r="AH1836" s="44"/>
      <c r="AI1836" s="44"/>
      <c r="AJ1836" s="44"/>
      <c r="AK1836" s="44"/>
      <c r="AL1836" s="44"/>
      <c r="AM1836" s="44"/>
      <c r="AN1836" s="44"/>
      <c r="AO1836" s="44"/>
      <c r="AP1836" s="44"/>
      <c r="AQ1836" s="44"/>
      <c r="BA1836" s="5"/>
      <c r="BB1836" s="5"/>
      <c r="BC1836" s="5"/>
      <c r="BD1836" s="5"/>
      <c r="BE1836" s="63"/>
      <c r="BF1836" s="63"/>
      <c r="BG1836" s="63"/>
      <c r="CA1836" s="256"/>
      <c r="CB1836" s="261"/>
      <c r="CC1836" s="261"/>
      <c r="CD1836" s="261"/>
      <c r="CE1836" s="261"/>
      <c r="CF1836" s="261"/>
      <c r="CG1836" s="53"/>
      <c r="CH1836" s="53"/>
      <c r="CI1836" s="53"/>
      <c r="CJ1836" s="53"/>
      <c r="CK1836" s="53"/>
      <c r="CL1836" s="53"/>
      <c r="CN1836" s="53"/>
      <c r="CO1836" s="53"/>
      <c r="CP1836" s="53"/>
      <c r="CQ1836" s="53"/>
      <c r="CR1836" s="53"/>
      <c r="CS1836" s="53"/>
      <c r="CT1836" s="261"/>
      <c r="CU1836" s="261"/>
      <c r="CV1836" s="261"/>
      <c r="CW1836" s="255"/>
      <c r="CX1836" s="261"/>
      <c r="CY1836" s="255"/>
    </row>
    <row r="1837" spans="1:103" ht="10.25" customHeight="1">
      <c r="A1837" s="216"/>
      <c r="B1837" s="217"/>
      <c r="C1837" s="218"/>
      <c r="D1837" s="219"/>
      <c r="E1837" s="217"/>
      <c r="F1837" s="217"/>
      <c r="G1837" s="217"/>
      <c r="H1837" s="220"/>
      <c r="I1837" s="217"/>
      <c r="J1837" s="217"/>
      <c r="K1837" s="217"/>
      <c r="L1837" s="217"/>
      <c r="M1837" s="217"/>
      <c r="N1837" s="217"/>
      <c r="O1837" s="44"/>
      <c r="P1837" s="44"/>
      <c r="Q1837" s="44"/>
      <c r="R1837" s="44"/>
      <c r="S1837" s="44"/>
      <c r="T1837" s="44"/>
      <c r="U1837" s="44"/>
      <c r="V1837" s="44"/>
      <c r="W1837" s="44"/>
      <c r="X1837" s="44"/>
      <c r="Y1837" s="44"/>
      <c r="Z1837" s="44"/>
      <c r="AA1837" s="44"/>
      <c r="AB1837" s="44"/>
      <c r="AC1837" s="44"/>
      <c r="AD1837" s="44"/>
      <c r="AE1837" s="44"/>
      <c r="AF1837" s="44"/>
      <c r="AG1837" s="44"/>
      <c r="AH1837" s="44"/>
      <c r="AI1837" s="44"/>
      <c r="AJ1837" s="44"/>
      <c r="AK1837" s="44"/>
      <c r="AL1837" s="44"/>
      <c r="AM1837" s="44"/>
      <c r="AN1837" s="44"/>
      <c r="AO1837" s="44"/>
      <c r="AP1837" s="44"/>
      <c r="AQ1837" s="44"/>
      <c r="BA1837" s="5"/>
      <c r="BB1837" s="5"/>
      <c r="BC1837" s="5"/>
      <c r="BD1837" s="5"/>
      <c r="BE1837" s="63"/>
      <c r="BF1837" s="63"/>
      <c r="BG1837" s="63"/>
      <c r="CA1837" s="256"/>
      <c r="CB1837" s="261"/>
      <c r="CC1837" s="261"/>
      <c r="CD1837" s="261"/>
      <c r="CE1837" s="261"/>
      <c r="CF1837" s="261"/>
      <c r="CG1837" s="53"/>
      <c r="CH1837" s="53"/>
      <c r="CI1837" s="53"/>
      <c r="CJ1837" s="53"/>
      <c r="CK1837" s="53"/>
      <c r="CL1837" s="53"/>
      <c r="CN1837" s="53"/>
      <c r="CO1837" s="53"/>
      <c r="CP1837" s="53"/>
      <c r="CQ1837" s="53"/>
      <c r="CR1837" s="53"/>
      <c r="CS1837" s="53"/>
      <c r="CT1837" s="261"/>
      <c r="CU1837" s="261"/>
      <c r="CV1837" s="255"/>
      <c r="CW1837" s="255"/>
      <c r="CX1837" s="261"/>
      <c r="CY1837" s="255"/>
    </row>
    <row r="1838" spans="1:103" ht="10.25" customHeight="1">
      <c r="A1838" s="216"/>
      <c r="B1838" s="217"/>
      <c r="C1838" s="218"/>
      <c r="D1838" s="219"/>
      <c r="E1838" s="217"/>
      <c r="F1838" s="217"/>
      <c r="G1838" s="217"/>
      <c r="H1838" s="220"/>
      <c r="I1838" s="217"/>
      <c r="J1838" s="217"/>
      <c r="K1838" s="217"/>
      <c r="L1838" s="217"/>
      <c r="M1838" s="217"/>
      <c r="N1838" s="217"/>
      <c r="O1838" s="44"/>
      <c r="P1838" s="44"/>
      <c r="Q1838" s="44"/>
      <c r="R1838" s="44"/>
      <c r="S1838" s="44"/>
      <c r="T1838" s="44"/>
      <c r="U1838" s="44"/>
      <c r="V1838" s="44"/>
      <c r="W1838" s="44"/>
      <c r="X1838" s="44"/>
      <c r="Y1838" s="44"/>
      <c r="Z1838" s="44"/>
      <c r="AA1838" s="44"/>
      <c r="AB1838" s="44"/>
      <c r="AC1838" s="44"/>
      <c r="AD1838" s="44"/>
      <c r="AE1838" s="44"/>
      <c r="AF1838" s="44"/>
      <c r="AG1838" s="44"/>
      <c r="AH1838" s="44"/>
      <c r="AI1838" s="44"/>
      <c r="AJ1838" s="44"/>
      <c r="AK1838" s="44"/>
      <c r="AL1838" s="44"/>
      <c r="AM1838" s="44"/>
      <c r="AN1838" s="44"/>
      <c r="AO1838" s="44"/>
      <c r="AP1838" s="44"/>
      <c r="AQ1838" s="44"/>
      <c r="BA1838" s="5"/>
      <c r="BB1838" s="5"/>
      <c r="BC1838" s="5"/>
      <c r="BD1838" s="5"/>
      <c r="BE1838" s="63"/>
      <c r="BF1838" s="63"/>
      <c r="BG1838" s="63"/>
      <c r="CA1838" s="256"/>
      <c r="CB1838" s="261"/>
      <c r="CC1838" s="261"/>
      <c r="CD1838" s="261"/>
      <c r="CE1838" s="261"/>
      <c r="CF1838" s="261"/>
      <c r="CG1838" s="53"/>
      <c r="CH1838" s="53"/>
      <c r="CI1838" s="53"/>
      <c r="CJ1838" s="53"/>
      <c r="CK1838" s="53"/>
      <c r="CL1838" s="53"/>
      <c r="CN1838" s="53"/>
      <c r="CO1838" s="53"/>
      <c r="CP1838" s="53"/>
      <c r="CQ1838" s="53"/>
      <c r="CR1838" s="53"/>
      <c r="CS1838" s="53"/>
      <c r="CT1838" s="261"/>
      <c r="CU1838" s="261"/>
      <c r="CV1838" s="261"/>
      <c r="CW1838" s="261"/>
      <c r="CX1838" s="261"/>
      <c r="CY1838" s="255"/>
    </row>
    <row r="1839" spans="1:103" ht="10.25" customHeight="1">
      <c r="A1839" s="216"/>
      <c r="B1839" s="217"/>
      <c r="C1839" s="218"/>
      <c r="D1839" s="219"/>
      <c r="E1839" s="217"/>
      <c r="F1839" s="217"/>
      <c r="G1839" s="217"/>
      <c r="H1839" s="220"/>
      <c r="I1839" s="217"/>
      <c r="J1839" s="217"/>
      <c r="K1839" s="217"/>
      <c r="L1839" s="217"/>
      <c r="M1839" s="217"/>
      <c r="N1839" s="217"/>
      <c r="O1839" s="44"/>
      <c r="P1839" s="44"/>
      <c r="Q1839" s="44"/>
      <c r="R1839" s="44"/>
      <c r="S1839" s="44"/>
      <c r="T1839" s="44"/>
      <c r="U1839" s="44"/>
      <c r="V1839" s="44"/>
      <c r="W1839" s="44"/>
      <c r="X1839" s="44"/>
      <c r="Y1839" s="44"/>
      <c r="Z1839" s="44"/>
      <c r="AA1839" s="44"/>
      <c r="AB1839" s="44"/>
      <c r="AC1839" s="44"/>
      <c r="AD1839" s="44"/>
      <c r="AE1839" s="44"/>
      <c r="AF1839" s="44"/>
      <c r="AG1839" s="44"/>
      <c r="AH1839" s="44"/>
      <c r="AI1839" s="44"/>
      <c r="AJ1839" s="44"/>
      <c r="AK1839" s="44"/>
      <c r="AL1839" s="44"/>
      <c r="AM1839" s="44"/>
      <c r="AN1839" s="44"/>
      <c r="AO1839" s="44"/>
      <c r="AP1839" s="44"/>
      <c r="AQ1839" s="44"/>
      <c r="BA1839" s="5"/>
      <c r="BB1839" s="5"/>
      <c r="BC1839" s="5"/>
      <c r="BD1839" s="5"/>
      <c r="BE1839" s="63"/>
      <c r="BF1839" s="63"/>
      <c r="BG1839" s="63"/>
      <c r="CA1839" s="256"/>
      <c r="CB1839" s="261"/>
      <c r="CC1839" s="261"/>
      <c r="CD1839" s="261"/>
      <c r="CE1839" s="261"/>
      <c r="CF1839" s="261"/>
      <c r="CG1839" s="53"/>
      <c r="CH1839" s="53"/>
      <c r="CI1839" s="53"/>
      <c r="CJ1839" s="53"/>
      <c r="CK1839" s="53"/>
      <c r="CL1839" s="53"/>
      <c r="CN1839" s="53"/>
      <c r="CO1839" s="53"/>
      <c r="CP1839" s="53"/>
      <c r="CQ1839" s="53"/>
      <c r="CR1839" s="53"/>
      <c r="CS1839" s="53"/>
      <c r="CT1839" s="261"/>
      <c r="CU1839" s="261"/>
      <c r="CV1839" s="255"/>
      <c r="CW1839" s="255"/>
      <c r="CX1839" s="261"/>
      <c r="CY1839" s="255"/>
    </row>
    <row r="1840" spans="1:103" ht="10.25" customHeight="1">
      <c r="A1840" s="216"/>
      <c r="B1840" s="217"/>
      <c r="C1840" s="218"/>
      <c r="D1840" s="219"/>
      <c r="E1840" s="217"/>
      <c r="F1840" s="217"/>
      <c r="G1840" s="217"/>
      <c r="H1840" s="220"/>
      <c r="I1840" s="217"/>
      <c r="J1840" s="217"/>
      <c r="K1840" s="217"/>
      <c r="L1840" s="217"/>
      <c r="M1840" s="217"/>
      <c r="N1840" s="217"/>
      <c r="O1840" s="44"/>
      <c r="P1840" s="44"/>
      <c r="Q1840" s="44"/>
      <c r="R1840" s="44"/>
      <c r="S1840" s="44"/>
      <c r="T1840" s="44"/>
      <c r="U1840" s="44"/>
      <c r="V1840" s="44"/>
      <c r="W1840" s="44"/>
      <c r="X1840" s="44"/>
      <c r="Y1840" s="44"/>
      <c r="Z1840" s="44"/>
      <c r="AA1840" s="44"/>
      <c r="AB1840" s="44"/>
      <c r="AC1840" s="44"/>
      <c r="AD1840" s="44"/>
      <c r="AE1840" s="44"/>
      <c r="AF1840" s="44"/>
      <c r="AG1840" s="44"/>
      <c r="AH1840" s="44"/>
      <c r="AI1840" s="44"/>
      <c r="AJ1840" s="44"/>
      <c r="AK1840" s="44"/>
      <c r="AL1840" s="44"/>
      <c r="AM1840" s="44"/>
      <c r="AN1840" s="44"/>
      <c r="AO1840" s="44"/>
      <c r="AP1840" s="44"/>
      <c r="AQ1840" s="44"/>
      <c r="BA1840" s="5"/>
      <c r="BB1840" s="5"/>
      <c r="BC1840" s="5"/>
      <c r="BD1840" s="5"/>
      <c r="BE1840" s="63"/>
      <c r="BF1840" s="63"/>
      <c r="BG1840" s="63"/>
      <c r="CA1840" s="256"/>
      <c r="CB1840" s="261"/>
      <c r="CC1840" s="261"/>
      <c r="CD1840" s="261"/>
      <c r="CE1840" s="261"/>
      <c r="CF1840" s="255"/>
      <c r="CG1840" s="53"/>
      <c r="CH1840" s="53"/>
      <c r="CI1840" s="53"/>
      <c r="CJ1840" s="53"/>
      <c r="CK1840" s="53"/>
      <c r="CL1840" s="53"/>
      <c r="CN1840" s="53"/>
      <c r="CO1840" s="53"/>
      <c r="CP1840" s="53"/>
      <c r="CQ1840" s="53"/>
      <c r="CR1840" s="53"/>
      <c r="CS1840" s="53"/>
      <c r="CT1840" s="261"/>
      <c r="CU1840" s="255"/>
      <c r="CV1840" s="261"/>
      <c r="CW1840" s="261"/>
      <c r="CX1840" s="261"/>
      <c r="CY1840" s="255"/>
    </row>
    <row r="1841" spans="1:103" ht="10.25" customHeight="1">
      <c r="A1841" s="216"/>
      <c r="B1841" s="217"/>
      <c r="C1841" s="218"/>
      <c r="D1841" s="219"/>
      <c r="E1841" s="217"/>
      <c r="F1841" s="217"/>
      <c r="G1841" s="217"/>
      <c r="H1841" s="220"/>
      <c r="I1841" s="217"/>
      <c r="J1841" s="217"/>
      <c r="K1841" s="217"/>
      <c r="L1841" s="217"/>
      <c r="M1841" s="217"/>
      <c r="N1841" s="217"/>
      <c r="O1841" s="44"/>
      <c r="P1841" s="44"/>
      <c r="Q1841" s="44"/>
      <c r="R1841" s="44"/>
      <c r="S1841" s="44"/>
      <c r="T1841" s="44"/>
      <c r="U1841" s="44"/>
      <c r="V1841" s="44"/>
      <c r="W1841" s="44"/>
      <c r="X1841" s="44"/>
      <c r="Y1841" s="44"/>
      <c r="Z1841" s="44"/>
      <c r="AA1841" s="44"/>
      <c r="AB1841" s="44"/>
      <c r="AC1841" s="44"/>
      <c r="AD1841" s="44"/>
      <c r="AE1841" s="44"/>
      <c r="AF1841" s="44"/>
      <c r="AG1841" s="44"/>
      <c r="AH1841" s="44"/>
      <c r="AI1841" s="44"/>
      <c r="AJ1841" s="44"/>
      <c r="AK1841" s="44"/>
      <c r="AL1841" s="44"/>
      <c r="AM1841" s="44"/>
      <c r="AN1841" s="44"/>
      <c r="AO1841" s="44"/>
      <c r="AP1841" s="44"/>
      <c r="AQ1841" s="44"/>
      <c r="BA1841" s="5"/>
      <c r="BB1841" s="5"/>
      <c r="BC1841" s="5"/>
      <c r="BD1841" s="5"/>
      <c r="BE1841" s="63"/>
      <c r="BF1841" s="63"/>
      <c r="BG1841" s="63"/>
      <c r="CA1841" s="256"/>
      <c r="CB1841" s="261"/>
      <c r="CC1841" s="261"/>
      <c r="CD1841" s="261"/>
      <c r="CE1841" s="261"/>
      <c r="CF1841" s="255"/>
      <c r="CG1841" s="53"/>
      <c r="CH1841" s="53"/>
      <c r="CI1841" s="53"/>
      <c r="CJ1841" s="53"/>
      <c r="CK1841" s="53"/>
      <c r="CL1841" s="53"/>
      <c r="CN1841" s="53"/>
      <c r="CO1841" s="53"/>
      <c r="CP1841" s="53"/>
      <c r="CQ1841" s="53"/>
      <c r="CR1841" s="53"/>
      <c r="CS1841" s="53"/>
      <c r="CT1841" s="261"/>
      <c r="CU1841" s="255"/>
      <c r="CV1841" s="255"/>
      <c r="CW1841" s="255"/>
      <c r="CX1841" s="261"/>
      <c r="CY1841" s="255"/>
    </row>
    <row r="1842" spans="1:103" ht="10.25" customHeight="1">
      <c r="A1842" s="216"/>
      <c r="B1842" s="217"/>
      <c r="C1842" s="218"/>
      <c r="D1842" s="219"/>
      <c r="E1842" s="217"/>
      <c r="F1842" s="217"/>
      <c r="G1842" s="217"/>
      <c r="H1842" s="220"/>
      <c r="I1842" s="217"/>
      <c r="J1842" s="217"/>
      <c r="K1842" s="217"/>
      <c r="L1842" s="217"/>
      <c r="M1842" s="217"/>
      <c r="N1842" s="217"/>
      <c r="O1842" s="44"/>
      <c r="P1842" s="44"/>
      <c r="Q1842" s="44"/>
      <c r="R1842" s="44"/>
      <c r="S1842" s="44"/>
      <c r="T1842" s="44"/>
      <c r="U1842" s="44"/>
      <c r="V1842" s="44"/>
      <c r="W1842" s="44"/>
      <c r="X1842" s="44"/>
      <c r="Y1842" s="44"/>
      <c r="Z1842" s="44"/>
      <c r="AA1842" s="44"/>
      <c r="AB1842" s="44"/>
      <c r="AC1842" s="44"/>
      <c r="AD1842" s="44"/>
      <c r="AE1842" s="44"/>
      <c r="AF1842" s="44"/>
      <c r="AG1842" s="44"/>
      <c r="AH1842" s="44"/>
      <c r="AI1842" s="44"/>
      <c r="AJ1842" s="44"/>
      <c r="AK1842" s="44"/>
      <c r="AL1842" s="44"/>
      <c r="AM1842" s="44"/>
      <c r="AN1842" s="44"/>
      <c r="AO1842" s="44"/>
      <c r="AP1842" s="44"/>
      <c r="AQ1842" s="44"/>
      <c r="BA1842" s="5"/>
      <c r="BB1842" s="5"/>
      <c r="BC1842" s="5"/>
      <c r="BD1842" s="5"/>
      <c r="BE1842" s="63"/>
      <c r="BF1842" s="63"/>
      <c r="BG1842" s="63"/>
      <c r="CA1842" s="256"/>
      <c r="CB1842" s="261"/>
      <c r="CC1842" s="261"/>
      <c r="CD1842" s="261"/>
      <c r="CE1842" s="255"/>
      <c r="CF1842" s="261"/>
      <c r="CG1842" s="53"/>
      <c r="CH1842" s="53"/>
      <c r="CI1842" s="53"/>
      <c r="CJ1842" s="53"/>
      <c r="CK1842" s="53"/>
      <c r="CL1842" s="53"/>
      <c r="CN1842" s="53"/>
      <c r="CO1842" s="53"/>
      <c r="CP1842" s="53"/>
      <c r="CQ1842" s="53"/>
      <c r="CR1842" s="53"/>
      <c r="CS1842" s="53"/>
      <c r="CT1842" s="255"/>
      <c r="CU1842" s="261"/>
      <c r="CV1842" s="261"/>
      <c r="CW1842" s="261"/>
      <c r="CX1842" s="261"/>
      <c r="CY1842" s="255"/>
    </row>
    <row r="1843" spans="1:103" ht="10.25" customHeight="1">
      <c r="A1843" s="216"/>
      <c r="B1843" s="217"/>
      <c r="C1843" s="218"/>
      <c r="D1843" s="219"/>
      <c r="E1843" s="217"/>
      <c r="F1843" s="217"/>
      <c r="G1843" s="217"/>
      <c r="H1843" s="220"/>
      <c r="I1843" s="217"/>
      <c r="J1843" s="217"/>
      <c r="K1843" s="217"/>
      <c r="L1843" s="217"/>
      <c r="M1843" s="217"/>
      <c r="N1843" s="217"/>
      <c r="O1843" s="44"/>
      <c r="P1843" s="44"/>
      <c r="Q1843" s="44"/>
      <c r="R1843" s="44"/>
      <c r="S1843" s="44"/>
      <c r="T1843" s="44"/>
      <c r="U1843" s="44"/>
      <c r="V1843" s="44"/>
      <c r="W1843" s="44"/>
      <c r="X1843" s="44"/>
      <c r="Y1843" s="44"/>
      <c r="Z1843" s="44"/>
      <c r="AA1843" s="44"/>
      <c r="AB1843" s="44"/>
      <c r="AC1843" s="44"/>
      <c r="AD1843" s="44"/>
      <c r="AE1843" s="44"/>
      <c r="AF1843" s="44"/>
      <c r="AG1843" s="44"/>
      <c r="AH1843" s="44"/>
      <c r="AI1843" s="44"/>
      <c r="AJ1843" s="44"/>
      <c r="AK1843" s="44"/>
      <c r="AL1843" s="44"/>
      <c r="AM1843" s="44"/>
      <c r="AN1843" s="44"/>
      <c r="AO1843" s="44"/>
      <c r="AP1843" s="44"/>
      <c r="AQ1843" s="44"/>
      <c r="BA1843" s="5"/>
      <c r="BB1843" s="5"/>
      <c r="BC1843" s="5"/>
      <c r="BD1843" s="5"/>
      <c r="BE1843" s="63"/>
      <c r="BF1843" s="63"/>
      <c r="BG1843" s="63"/>
      <c r="CA1843" s="256"/>
      <c r="CB1843" s="261"/>
      <c r="CC1843" s="261"/>
      <c r="CD1843" s="261"/>
      <c r="CE1843" s="255"/>
      <c r="CF1843" s="261"/>
      <c r="CG1843" s="53"/>
      <c r="CH1843" s="53"/>
      <c r="CI1843" s="53"/>
      <c r="CJ1843" s="53"/>
      <c r="CK1843" s="53"/>
      <c r="CL1843" s="53"/>
      <c r="CN1843" s="53"/>
      <c r="CO1843" s="53"/>
      <c r="CP1843" s="53"/>
      <c r="CQ1843" s="53"/>
      <c r="CR1843" s="53"/>
      <c r="CS1843" s="53"/>
      <c r="CT1843" s="255"/>
      <c r="CU1843" s="261"/>
      <c r="CV1843" s="255"/>
      <c r="CW1843" s="255"/>
      <c r="CX1843" s="261"/>
      <c r="CY1843" s="255"/>
    </row>
    <row r="1844" spans="1:103" ht="10.25" customHeight="1">
      <c r="A1844" s="216"/>
      <c r="B1844" s="217"/>
      <c r="C1844" s="218"/>
      <c r="D1844" s="219"/>
      <c r="E1844" s="217"/>
      <c r="F1844" s="217"/>
      <c r="G1844" s="217"/>
      <c r="H1844" s="220"/>
      <c r="I1844" s="217"/>
      <c r="J1844" s="217"/>
      <c r="K1844" s="217"/>
      <c r="L1844" s="217"/>
      <c r="M1844" s="217"/>
      <c r="N1844" s="217"/>
      <c r="O1844" s="44"/>
      <c r="P1844" s="44"/>
      <c r="Q1844" s="44"/>
      <c r="R1844" s="44"/>
      <c r="S1844" s="44"/>
      <c r="T1844" s="44"/>
      <c r="U1844" s="44"/>
      <c r="V1844" s="44"/>
      <c r="W1844" s="44"/>
      <c r="X1844" s="44"/>
      <c r="Y1844" s="44"/>
      <c r="Z1844" s="44"/>
      <c r="AA1844" s="44"/>
      <c r="AB1844" s="44"/>
      <c r="AC1844" s="44"/>
      <c r="AD1844" s="44"/>
      <c r="AE1844" s="44"/>
      <c r="AF1844" s="44"/>
      <c r="AG1844" s="44"/>
      <c r="AH1844" s="44"/>
      <c r="AI1844" s="44"/>
      <c r="AJ1844" s="44"/>
      <c r="AK1844" s="44"/>
      <c r="AL1844" s="44"/>
      <c r="AM1844" s="44"/>
      <c r="AN1844" s="44"/>
      <c r="AO1844" s="44"/>
      <c r="AP1844" s="44"/>
      <c r="AQ1844" s="44"/>
      <c r="BA1844" s="5"/>
      <c r="BB1844" s="5"/>
      <c r="BC1844" s="5"/>
      <c r="BD1844" s="5"/>
      <c r="BE1844" s="63"/>
      <c r="BF1844" s="63"/>
      <c r="BG1844" s="63"/>
      <c r="CA1844" s="256"/>
      <c r="CB1844" s="261"/>
      <c r="CC1844" s="261"/>
      <c r="CD1844" s="261"/>
      <c r="CE1844" s="261"/>
      <c r="CF1844" s="261"/>
      <c r="CG1844" s="53"/>
      <c r="CH1844" s="53"/>
      <c r="CI1844" s="53"/>
      <c r="CJ1844" s="53"/>
      <c r="CK1844" s="53"/>
      <c r="CL1844" s="53"/>
      <c r="CN1844" s="53"/>
      <c r="CO1844" s="53"/>
      <c r="CP1844" s="53"/>
      <c r="CQ1844" s="53"/>
      <c r="CR1844" s="53"/>
      <c r="CS1844" s="53"/>
      <c r="CT1844" s="261"/>
      <c r="CU1844" s="261"/>
      <c r="CV1844" s="261"/>
      <c r="CW1844" s="261"/>
      <c r="CX1844" s="255"/>
      <c r="CY1844" s="255"/>
    </row>
    <row r="1845" spans="1:103" ht="10.25" customHeight="1">
      <c r="A1845" s="216"/>
      <c r="B1845" s="217"/>
      <c r="C1845" s="218"/>
      <c r="D1845" s="219"/>
      <c r="E1845" s="217"/>
      <c r="F1845" s="217"/>
      <c r="G1845" s="217"/>
      <c r="H1845" s="220"/>
      <c r="I1845" s="217"/>
      <c r="J1845" s="217"/>
      <c r="K1845" s="217"/>
      <c r="L1845" s="217"/>
      <c r="M1845" s="217"/>
      <c r="N1845" s="217"/>
      <c r="O1845" s="44"/>
      <c r="P1845" s="44"/>
      <c r="Q1845" s="44"/>
      <c r="R1845" s="44"/>
      <c r="S1845" s="44"/>
      <c r="T1845" s="44"/>
      <c r="U1845" s="44"/>
      <c r="V1845" s="44"/>
      <c r="W1845" s="44"/>
      <c r="X1845" s="44"/>
      <c r="Y1845" s="44"/>
      <c r="Z1845" s="44"/>
      <c r="AA1845" s="44"/>
      <c r="AB1845" s="44"/>
      <c r="AC1845" s="44"/>
      <c r="AD1845" s="44"/>
      <c r="AE1845" s="44"/>
      <c r="AF1845" s="44"/>
      <c r="AG1845" s="44"/>
      <c r="AH1845" s="44"/>
      <c r="AI1845" s="44"/>
      <c r="AJ1845" s="44"/>
      <c r="AK1845" s="44"/>
      <c r="AL1845" s="44"/>
      <c r="AM1845" s="44"/>
      <c r="AN1845" s="44"/>
      <c r="AO1845" s="44"/>
      <c r="AP1845" s="44"/>
      <c r="AQ1845" s="44"/>
      <c r="BA1845" s="5"/>
      <c r="BB1845" s="5"/>
      <c r="BC1845" s="5"/>
      <c r="BD1845" s="5"/>
      <c r="BE1845" s="63"/>
      <c r="BF1845" s="63"/>
      <c r="BG1845" s="63"/>
      <c r="CA1845" s="256"/>
      <c r="CB1845" s="261"/>
      <c r="CC1845" s="261"/>
      <c r="CD1845" s="261"/>
      <c r="CE1845" s="261"/>
      <c r="CF1845" s="261"/>
      <c r="CG1845" s="53"/>
      <c r="CH1845" s="53"/>
      <c r="CI1845" s="53"/>
      <c r="CJ1845" s="53"/>
      <c r="CK1845" s="53"/>
      <c r="CL1845" s="53"/>
      <c r="CN1845" s="53"/>
      <c r="CO1845" s="53"/>
      <c r="CP1845" s="53"/>
      <c r="CQ1845" s="53"/>
      <c r="CR1845" s="53"/>
      <c r="CS1845" s="53"/>
      <c r="CT1845" s="261"/>
      <c r="CU1845" s="261"/>
      <c r="CV1845" s="255"/>
      <c r="CW1845" s="255"/>
      <c r="CX1845" s="261"/>
      <c r="CY1845" s="255"/>
    </row>
    <row r="1846" spans="1:103" ht="10.25" customHeight="1">
      <c r="A1846" s="216"/>
      <c r="B1846" s="217"/>
      <c r="C1846" s="218"/>
      <c r="D1846" s="219"/>
      <c r="E1846" s="217"/>
      <c r="F1846" s="217"/>
      <c r="G1846" s="217"/>
      <c r="H1846" s="220"/>
      <c r="I1846" s="217"/>
      <c r="J1846" s="217"/>
      <c r="K1846" s="217"/>
      <c r="L1846" s="217"/>
      <c r="M1846" s="217"/>
      <c r="N1846" s="217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BA1846" s="5"/>
      <c r="BB1846" s="5"/>
      <c r="BC1846" s="5"/>
      <c r="BD1846" s="5"/>
      <c r="BE1846" s="63"/>
      <c r="BF1846" s="63"/>
      <c r="BG1846" s="63"/>
      <c r="CA1846" s="256"/>
      <c r="CB1846" s="261"/>
      <c r="CC1846" s="261"/>
      <c r="CD1846" s="261"/>
      <c r="CE1846" s="261"/>
      <c r="CF1846" s="261"/>
      <c r="CG1846" s="53"/>
      <c r="CH1846" s="53"/>
      <c r="CI1846" s="53"/>
      <c r="CJ1846" s="53"/>
      <c r="CK1846" s="53"/>
      <c r="CL1846" s="53"/>
      <c r="CN1846" s="53"/>
      <c r="CO1846" s="53"/>
      <c r="CP1846" s="53"/>
      <c r="CQ1846" s="53"/>
      <c r="CR1846" s="53"/>
      <c r="CS1846" s="53"/>
      <c r="CT1846" s="261"/>
      <c r="CU1846" s="261"/>
      <c r="CV1846" s="261"/>
      <c r="CW1846" s="255"/>
      <c r="CX1846" s="261"/>
      <c r="CY1846" s="255"/>
    </row>
    <row r="1847" spans="1:103" ht="10.25" customHeight="1">
      <c r="A1847" s="216"/>
      <c r="B1847" s="217"/>
      <c r="C1847" s="218"/>
      <c r="D1847" s="219"/>
      <c r="E1847" s="217"/>
      <c r="F1847" s="217"/>
      <c r="G1847" s="217"/>
      <c r="H1847" s="220"/>
      <c r="I1847" s="217"/>
      <c r="J1847" s="217"/>
      <c r="K1847" s="217"/>
      <c r="L1847" s="217"/>
      <c r="M1847" s="217"/>
      <c r="N1847" s="217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BA1847" s="5"/>
      <c r="BB1847" s="5"/>
      <c r="BC1847" s="5"/>
      <c r="BD1847" s="5"/>
      <c r="BE1847" s="63"/>
      <c r="BF1847" s="63"/>
      <c r="BG1847" s="63"/>
      <c r="CA1847" s="256"/>
      <c r="CB1847" s="261"/>
      <c r="CC1847" s="261"/>
      <c r="CD1847" s="261"/>
      <c r="CE1847" s="261"/>
      <c r="CF1847" s="261"/>
      <c r="CG1847" s="53"/>
      <c r="CH1847" s="53"/>
      <c r="CI1847" s="53"/>
      <c r="CJ1847" s="53"/>
      <c r="CK1847" s="53"/>
      <c r="CL1847" s="53"/>
      <c r="CN1847" s="53"/>
      <c r="CO1847" s="53"/>
      <c r="CP1847" s="53"/>
      <c r="CQ1847" s="53"/>
      <c r="CR1847" s="53"/>
      <c r="CS1847" s="53"/>
      <c r="CT1847" s="261"/>
      <c r="CU1847" s="261"/>
      <c r="CV1847" s="255"/>
      <c r="CW1847" s="255"/>
      <c r="CX1847" s="261"/>
      <c r="CY1847" s="255"/>
    </row>
    <row r="1848" spans="1:103" ht="10.25" customHeight="1">
      <c r="A1848" s="216"/>
      <c r="B1848" s="217"/>
      <c r="C1848" s="218"/>
      <c r="D1848" s="219"/>
      <c r="E1848" s="217"/>
      <c r="F1848" s="217"/>
      <c r="G1848" s="217"/>
      <c r="H1848" s="220"/>
      <c r="I1848" s="217"/>
      <c r="J1848" s="217"/>
      <c r="K1848" s="217"/>
      <c r="L1848" s="217"/>
      <c r="M1848" s="217"/>
      <c r="N1848" s="217"/>
      <c r="O1848" s="44"/>
      <c r="P1848" s="44"/>
      <c r="Q1848" s="44"/>
      <c r="R1848" s="44"/>
      <c r="S1848" s="44"/>
      <c r="T1848" s="44"/>
      <c r="U1848" s="44"/>
      <c r="V1848" s="44"/>
      <c r="W1848" s="44"/>
      <c r="X1848" s="44"/>
      <c r="Y1848" s="44"/>
      <c r="Z1848" s="44"/>
      <c r="AA1848" s="44"/>
      <c r="AB1848" s="44"/>
      <c r="AC1848" s="44"/>
      <c r="AD1848" s="44"/>
      <c r="AE1848" s="44"/>
      <c r="AF1848" s="44"/>
      <c r="AG1848" s="44"/>
      <c r="AH1848" s="44"/>
      <c r="AI1848" s="44"/>
      <c r="AJ1848" s="44"/>
      <c r="AK1848" s="44"/>
      <c r="AL1848" s="44"/>
      <c r="AM1848" s="44"/>
      <c r="AN1848" s="44"/>
      <c r="AO1848" s="44"/>
      <c r="AP1848" s="44"/>
      <c r="AQ1848" s="44"/>
      <c r="BA1848" s="5"/>
      <c r="BB1848" s="5"/>
      <c r="BC1848" s="5"/>
      <c r="BD1848" s="5"/>
      <c r="BE1848" s="63"/>
      <c r="BF1848" s="63"/>
      <c r="BG1848" s="63"/>
      <c r="CA1848" s="256"/>
      <c r="CB1848" s="261"/>
      <c r="CC1848" s="261"/>
      <c r="CD1848" s="261"/>
      <c r="CE1848" s="261"/>
      <c r="CF1848" s="261"/>
      <c r="CG1848" s="53"/>
      <c r="CH1848" s="53"/>
      <c r="CI1848" s="53"/>
      <c r="CJ1848" s="53"/>
      <c r="CK1848" s="53"/>
      <c r="CL1848" s="53"/>
      <c r="CN1848" s="53"/>
      <c r="CO1848" s="53"/>
      <c r="CP1848" s="53"/>
      <c r="CQ1848" s="53"/>
      <c r="CR1848" s="53"/>
      <c r="CS1848" s="53"/>
      <c r="CT1848" s="261"/>
      <c r="CU1848" s="261"/>
      <c r="CV1848" s="261"/>
      <c r="CW1848" s="261"/>
      <c r="CX1848" s="261"/>
      <c r="CY1848" s="255"/>
    </row>
    <row r="1849" spans="1:103" ht="10.25" customHeight="1">
      <c r="A1849" s="216"/>
      <c r="B1849" s="217"/>
      <c r="C1849" s="218"/>
      <c r="D1849" s="219"/>
      <c r="E1849" s="217"/>
      <c r="F1849" s="217"/>
      <c r="G1849" s="217"/>
      <c r="H1849" s="220"/>
      <c r="I1849" s="217"/>
      <c r="J1849" s="217"/>
      <c r="K1849" s="217"/>
      <c r="L1849" s="217"/>
      <c r="M1849" s="217"/>
      <c r="N1849" s="217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44"/>
      <c r="AL1849" s="44"/>
      <c r="AM1849" s="44"/>
      <c r="AN1849" s="44"/>
      <c r="AO1849" s="44"/>
      <c r="AP1849" s="44"/>
      <c r="AQ1849" s="44"/>
      <c r="BA1849" s="5"/>
      <c r="BB1849" s="5"/>
      <c r="BC1849" s="5"/>
      <c r="BD1849" s="5"/>
      <c r="BE1849" s="63"/>
      <c r="BF1849" s="63"/>
      <c r="BG1849" s="63"/>
      <c r="CA1849" s="256"/>
      <c r="CB1849" s="261"/>
      <c r="CC1849" s="261"/>
      <c r="CD1849" s="255"/>
      <c r="CE1849" s="261"/>
      <c r="CF1849" s="261"/>
      <c r="CG1849" s="53"/>
      <c r="CH1849" s="53"/>
      <c r="CI1849" s="53"/>
      <c r="CJ1849" s="53"/>
      <c r="CK1849" s="53"/>
      <c r="CL1849" s="53"/>
      <c r="CN1849" s="53"/>
      <c r="CO1849" s="53"/>
      <c r="CP1849" s="53"/>
      <c r="CQ1849" s="53"/>
      <c r="CR1849" s="53"/>
      <c r="CS1849" s="53"/>
      <c r="CT1849" s="261"/>
      <c r="CU1849" s="261"/>
      <c r="CV1849" s="261"/>
      <c r="CW1849" s="261"/>
      <c r="CX1849" s="261"/>
      <c r="CY1849" s="255"/>
    </row>
    <row r="1850" spans="1:103" ht="10.25" customHeight="1">
      <c r="A1850" s="216"/>
      <c r="B1850" s="217"/>
      <c r="C1850" s="218"/>
      <c r="D1850" s="219"/>
      <c r="E1850" s="217"/>
      <c r="F1850" s="217"/>
      <c r="G1850" s="217"/>
      <c r="H1850" s="220"/>
      <c r="I1850" s="217"/>
      <c r="J1850" s="217"/>
      <c r="K1850" s="217"/>
      <c r="L1850" s="217"/>
      <c r="M1850" s="217"/>
      <c r="N1850" s="217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BA1850" s="5"/>
      <c r="BB1850" s="5"/>
      <c r="BC1850" s="5"/>
      <c r="BD1850" s="5"/>
      <c r="BE1850" s="63"/>
      <c r="BF1850" s="63"/>
      <c r="BG1850" s="63"/>
      <c r="CA1850" s="256"/>
      <c r="CB1850" s="261"/>
      <c r="CC1850" s="261"/>
      <c r="CD1850" s="255"/>
      <c r="CE1850" s="261"/>
      <c r="CF1850" s="261"/>
      <c r="CG1850" s="53"/>
      <c r="CH1850" s="53"/>
      <c r="CI1850" s="53"/>
      <c r="CJ1850" s="53"/>
      <c r="CK1850" s="53"/>
      <c r="CL1850" s="53"/>
      <c r="CN1850" s="53"/>
      <c r="CO1850" s="53"/>
      <c r="CP1850" s="53"/>
      <c r="CQ1850" s="53"/>
      <c r="CR1850" s="53"/>
      <c r="CS1850" s="53"/>
      <c r="CT1850" s="261"/>
      <c r="CU1850" s="261"/>
      <c r="CV1850" s="261"/>
      <c r="CW1850" s="261"/>
      <c r="CX1850" s="261"/>
      <c r="CY1850" s="255"/>
    </row>
    <row r="1851" spans="1:103" ht="10.25" customHeight="1">
      <c r="A1851" s="216"/>
      <c r="B1851" s="217"/>
      <c r="C1851" s="218"/>
      <c r="D1851" s="219"/>
      <c r="E1851" s="217"/>
      <c r="F1851" s="217"/>
      <c r="G1851" s="217"/>
      <c r="H1851" s="220"/>
      <c r="I1851" s="217"/>
      <c r="J1851" s="217"/>
      <c r="K1851" s="217"/>
      <c r="L1851" s="217"/>
      <c r="M1851" s="217"/>
      <c r="N1851" s="217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BA1851" s="5"/>
      <c r="BB1851" s="5"/>
      <c r="BC1851" s="5"/>
      <c r="BD1851" s="5"/>
      <c r="BE1851" s="63"/>
      <c r="BF1851" s="63"/>
      <c r="BG1851" s="63"/>
      <c r="CA1851" s="256"/>
      <c r="CB1851" s="261"/>
      <c r="CC1851" s="261"/>
      <c r="CD1851" s="255"/>
      <c r="CE1851" s="261"/>
      <c r="CF1851" s="261"/>
      <c r="CG1851" s="53"/>
      <c r="CH1851" s="53"/>
      <c r="CI1851" s="53"/>
      <c r="CJ1851" s="53"/>
      <c r="CK1851" s="53"/>
      <c r="CL1851" s="53"/>
      <c r="CN1851" s="53"/>
      <c r="CO1851" s="53"/>
      <c r="CP1851" s="53"/>
      <c r="CQ1851" s="53"/>
      <c r="CR1851" s="53"/>
      <c r="CS1851" s="53"/>
      <c r="CT1851" s="261"/>
      <c r="CU1851" s="261"/>
      <c r="CV1851" s="261"/>
      <c r="CW1851" s="261"/>
      <c r="CX1851" s="261"/>
      <c r="CY1851" s="255"/>
    </row>
    <row r="1852" spans="1:103" ht="10.25" customHeight="1">
      <c r="A1852" s="216"/>
      <c r="B1852" s="217"/>
      <c r="C1852" s="218"/>
      <c r="D1852" s="219"/>
      <c r="E1852" s="217"/>
      <c r="F1852" s="217"/>
      <c r="G1852" s="217"/>
      <c r="H1852" s="220"/>
      <c r="I1852" s="217"/>
      <c r="J1852" s="217"/>
      <c r="K1852" s="217"/>
      <c r="L1852" s="217"/>
      <c r="M1852" s="217"/>
      <c r="N1852" s="217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BA1852" s="5"/>
      <c r="BB1852" s="5"/>
      <c r="BC1852" s="5"/>
      <c r="BD1852" s="5"/>
      <c r="BE1852" s="63"/>
      <c r="BF1852" s="63"/>
      <c r="BG1852" s="63"/>
      <c r="CA1852" s="256"/>
      <c r="CB1852" s="261"/>
      <c r="CC1852" s="255"/>
      <c r="CD1852" s="261"/>
      <c r="CE1852" s="261"/>
      <c r="CF1852" s="261"/>
      <c r="CG1852" s="53"/>
      <c r="CH1852" s="53"/>
      <c r="CI1852" s="53"/>
      <c r="CJ1852" s="53"/>
      <c r="CK1852" s="53"/>
      <c r="CL1852" s="53"/>
      <c r="CN1852" s="53"/>
      <c r="CO1852" s="53"/>
      <c r="CP1852" s="53"/>
      <c r="CQ1852" s="53"/>
      <c r="CR1852" s="53"/>
      <c r="CS1852" s="53"/>
      <c r="CT1852" s="261"/>
      <c r="CU1852" s="261"/>
      <c r="CV1852" s="261"/>
      <c r="CW1852" s="261"/>
      <c r="CX1852" s="261"/>
      <c r="CY1852" s="255"/>
    </row>
    <row r="1853" spans="1:103" ht="10.25" customHeight="1">
      <c r="A1853" s="216"/>
      <c r="B1853" s="217"/>
      <c r="C1853" s="218"/>
      <c r="D1853" s="219"/>
      <c r="E1853" s="217"/>
      <c r="F1853" s="217"/>
      <c r="G1853" s="217"/>
      <c r="H1853" s="220"/>
      <c r="I1853" s="217"/>
      <c r="J1853" s="217"/>
      <c r="K1853" s="217"/>
      <c r="L1853" s="217"/>
      <c r="M1853" s="217"/>
      <c r="N1853" s="217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BA1853" s="5"/>
      <c r="BB1853" s="5"/>
      <c r="BC1853" s="5"/>
      <c r="BD1853" s="5"/>
      <c r="BE1853" s="63"/>
      <c r="BF1853" s="63"/>
      <c r="BG1853" s="63"/>
      <c r="CA1853" s="256"/>
      <c r="CB1853" s="261"/>
      <c r="CC1853" s="255"/>
      <c r="CD1853" s="261"/>
      <c r="CE1853" s="261"/>
      <c r="CF1853" s="261"/>
      <c r="CG1853" s="53"/>
      <c r="CH1853" s="53"/>
      <c r="CI1853" s="53"/>
      <c r="CJ1853" s="53"/>
      <c r="CK1853" s="53"/>
      <c r="CL1853" s="53"/>
      <c r="CN1853" s="53"/>
      <c r="CO1853" s="53"/>
      <c r="CP1853" s="53"/>
      <c r="CQ1853" s="53"/>
      <c r="CR1853" s="53"/>
      <c r="CS1853" s="53"/>
      <c r="CT1853" s="261"/>
      <c r="CU1853" s="261"/>
      <c r="CV1853" s="261"/>
      <c r="CW1853" s="261"/>
      <c r="CX1853" s="261"/>
      <c r="CY1853" s="255"/>
    </row>
    <row r="1854" spans="1:103" ht="10.25" customHeight="1">
      <c r="A1854" s="371"/>
      <c r="B1854" s="371"/>
      <c r="C1854" s="371"/>
      <c r="D1854" s="269"/>
      <c r="L1854" s="269"/>
      <c r="M1854" s="269"/>
      <c r="N1854" s="269"/>
      <c r="O1854" s="63"/>
      <c r="P1854" s="63"/>
      <c r="Q1854" s="63"/>
      <c r="R1854" s="63"/>
      <c r="S1854" s="63"/>
      <c r="T1854" s="63"/>
      <c r="U1854" s="63"/>
      <c r="V1854" s="63"/>
      <c r="W1854" s="63"/>
      <c r="X1854" s="63"/>
      <c r="Y1854" s="63"/>
      <c r="Z1854" s="63"/>
      <c r="AA1854" s="63"/>
      <c r="AB1854" s="63"/>
      <c r="AC1854" s="63"/>
      <c r="AD1854" s="63"/>
      <c r="AE1854" s="63"/>
      <c r="AF1854" s="63"/>
      <c r="AG1854" s="63"/>
      <c r="AH1854" s="63"/>
      <c r="AI1854" s="63"/>
      <c r="AJ1854" s="63"/>
      <c r="AK1854" s="63"/>
      <c r="AL1854" s="63"/>
      <c r="AM1854" s="63"/>
      <c r="AN1854" s="63"/>
      <c r="AO1854" s="63"/>
      <c r="AP1854" s="63"/>
      <c r="AQ1854" s="63"/>
      <c r="CA1854" s="256"/>
      <c r="CB1854" s="261"/>
      <c r="CC1854" s="255"/>
      <c r="CD1854" s="261"/>
      <c r="CE1854" s="261"/>
      <c r="CF1854" s="261"/>
      <c r="CG1854" s="261"/>
      <c r="CH1854" s="261"/>
      <c r="CI1854" s="261"/>
      <c r="CJ1854" s="261"/>
      <c r="CK1854" s="261"/>
      <c r="CL1854" s="255"/>
      <c r="CN1854" s="256"/>
      <c r="CO1854" s="256"/>
      <c r="CP1854" s="261"/>
      <c r="CQ1854" s="261"/>
      <c r="CR1854" s="255"/>
      <c r="CS1854" s="261"/>
      <c r="CT1854" s="261"/>
      <c r="CU1854" s="261"/>
      <c r="CV1854" s="261"/>
      <c r="CW1854" s="261"/>
      <c r="CX1854" s="261"/>
      <c r="CY1854" s="255"/>
    </row>
    <row r="1855" spans="1:103" ht="12.65" customHeight="1">
      <c r="A1855" s="270"/>
      <c r="C1855" s="271"/>
      <c r="D1855" s="372"/>
      <c r="E1855" s="372"/>
      <c r="F1855" s="272"/>
      <c r="G1855" s="272"/>
      <c r="H1855" s="273"/>
      <c r="L1855" s="269"/>
      <c r="M1855" s="269"/>
      <c r="N1855" s="269"/>
      <c r="O1855" s="63"/>
      <c r="P1855" s="63"/>
      <c r="Q1855" s="63"/>
      <c r="R1855" s="63"/>
      <c r="S1855" s="63"/>
      <c r="T1855" s="63"/>
      <c r="U1855" s="63"/>
      <c r="V1855" s="63"/>
      <c r="W1855" s="63"/>
      <c r="X1855" s="63"/>
      <c r="Y1855" s="63"/>
      <c r="Z1855" s="63"/>
      <c r="AA1855" s="63"/>
      <c r="AB1855" s="63"/>
      <c r="AC1855" s="63"/>
      <c r="AD1855" s="63"/>
      <c r="AE1855" s="63"/>
      <c r="AF1855" s="63"/>
      <c r="AG1855" s="63"/>
      <c r="AH1855" s="63"/>
      <c r="AI1855" s="63"/>
      <c r="AJ1855" s="63"/>
      <c r="AK1855" s="63"/>
      <c r="AL1855" s="63"/>
      <c r="AM1855" s="63"/>
      <c r="AN1855" s="63"/>
      <c r="AO1855" s="63"/>
      <c r="AP1855" s="63"/>
      <c r="AQ1855" s="63"/>
      <c r="CA1855" s="256"/>
      <c r="CB1855" s="261"/>
      <c r="CC1855" s="255"/>
      <c r="CD1855" s="261"/>
      <c r="CE1855" s="261"/>
      <c r="CF1855" s="261"/>
      <c r="CG1855" s="261"/>
      <c r="CH1855" s="261"/>
      <c r="CI1855" s="261"/>
      <c r="CJ1855" s="261"/>
      <c r="CK1855" s="255"/>
      <c r="CL1855" s="255"/>
      <c r="CN1855" s="256"/>
      <c r="CO1855" s="256"/>
      <c r="CP1855" s="261"/>
      <c r="CQ1855" s="261"/>
      <c r="CR1855" s="255"/>
      <c r="CS1855" s="261"/>
      <c r="CT1855" s="261"/>
      <c r="CU1855" s="261"/>
      <c r="CV1855" s="261"/>
      <c r="CW1855" s="261"/>
      <c r="CX1855" s="255"/>
      <c r="CY1855" s="255"/>
    </row>
    <row r="1856" spans="1:103" ht="10.25" customHeight="1">
      <c r="A1856" s="270"/>
      <c r="D1856" s="372"/>
      <c r="E1856" s="372"/>
      <c r="F1856" s="272"/>
      <c r="G1856" s="272"/>
      <c r="H1856" s="273"/>
      <c r="L1856" s="269"/>
      <c r="M1856" s="269"/>
      <c r="N1856" s="269"/>
      <c r="O1856" s="63"/>
      <c r="P1856" s="63"/>
      <c r="Q1856" s="63"/>
      <c r="R1856" s="63"/>
      <c r="S1856" s="63"/>
      <c r="T1856" s="63"/>
      <c r="U1856" s="63"/>
      <c r="V1856" s="63"/>
      <c r="W1856" s="63"/>
      <c r="X1856" s="63"/>
      <c r="Y1856" s="63"/>
      <c r="Z1856" s="63"/>
      <c r="AA1856" s="63"/>
      <c r="AB1856" s="63"/>
      <c r="AC1856" s="63"/>
      <c r="AD1856" s="63"/>
      <c r="AE1856" s="63"/>
      <c r="AF1856" s="63"/>
      <c r="AG1856" s="63"/>
      <c r="AH1856" s="63"/>
      <c r="AI1856" s="63"/>
      <c r="AJ1856" s="63"/>
      <c r="AK1856" s="63"/>
      <c r="AL1856" s="63"/>
      <c r="AM1856" s="63"/>
      <c r="AN1856" s="63"/>
      <c r="AO1856" s="63"/>
      <c r="AP1856" s="63"/>
      <c r="AQ1856" s="63"/>
      <c r="CA1856" s="256"/>
      <c r="CB1856" s="261"/>
      <c r="CC1856" s="255"/>
      <c r="CD1856" s="261"/>
      <c r="CE1856" s="261"/>
      <c r="CF1856" s="261"/>
      <c r="CG1856" s="261"/>
      <c r="CH1856" s="261"/>
      <c r="CI1856" s="261"/>
      <c r="CJ1856" s="261"/>
      <c r="CK1856" s="261"/>
      <c r="CL1856" s="255"/>
      <c r="CN1856" s="256"/>
      <c r="CO1856" s="256"/>
      <c r="CP1856" s="261"/>
      <c r="CQ1856" s="261"/>
      <c r="CR1856" s="255"/>
      <c r="CS1856" s="261"/>
      <c r="CT1856" s="261"/>
      <c r="CU1856" s="261"/>
      <c r="CV1856" s="261"/>
      <c r="CW1856" s="261"/>
      <c r="CX1856" s="261"/>
      <c r="CY1856" s="255"/>
    </row>
    <row r="1857" spans="1:103" ht="10.25" customHeight="1">
      <c r="C1857" s="270"/>
      <c r="D1857" s="274"/>
      <c r="E1857" s="214"/>
      <c r="F1857" s="272"/>
      <c r="G1857" s="272"/>
      <c r="H1857" s="272"/>
      <c r="I1857" s="273"/>
      <c r="J1857" s="273"/>
      <c r="K1857" s="273"/>
      <c r="L1857" s="275"/>
      <c r="M1857" s="269"/>
      <c r="N1857" s="269"/>
      <c r="O1857" s="63"/>
      <c r="P1857" s="63"/>
      <c r="Q1857" s="63"/>
      <c r="R1857" s="63"/>
      <c r="S1857" s="63"/>
      <c r="T1857" s="63"/>
      <c r="U1857" s="63"/>
      <c r="V1857" s="63"/>
      <c r="W1857" s="63"/>
      <c r="X1857" s="63"/>
      <c r="Y1857" s="63"/>
      <c r="Z1857" s="63"/>
      <c r="AA1857" s="63"/>
      <c r="AB1857" s="63"/>
      <c r="AC1857" s="63"/>
      <c r="AD1857" s="63"/>
      <c r="AE1857" s="63"/>
      <c r="AF1857" s="63"/>
      <c r="AG1857" s="63"/>
      <c r="AH1857" s="63"/>
      <c r="AI1857" s="63"/>
      <c r="AJ1857" s="63"/>
      <c r="AK1857" s="63"/>
      <c r="AL1857" s="63"/>
      <c r="AM1857" s="63"/>
      <c r="AN1857" s="63"/>
      <c r="AO1857" s="63"/>
      <c r="AP1857" s="63"/>
      <c r="AQ1857" s="63"/>
      <c r="CA1857" s="256"/>
      <c r="CB1857" s="261"/>
      <c r="CC1857" s="255"/>
      <c r="CD1857" s="261"/>
      <c r="CE1857" s="261"/>
      <c r="CF1857" s="261"/>
      <c r="CG1857" s="261"/>
      <c r="CH1857" s="261"/>
      <c r="CI1857" s="261"/>
      <c r="CJ1857" s="261"/>
      <c r="CK1857" s="261"/>
      <c r="CL1857" s="255"/>
      <c r="CN1857" s="256"/>
      <c r="CO1857" s="256"/>
      <c r="CP1857" s="261"/>
      <c r="CQ1857" s="261"/>
      <c r="CR1857" s="255"/>
      <c r="CS1857" s="261"/>
      <c r="CT1857" s="261"/>
      <c r="CU1857" s="261"/>
      <c r="CV1857" s="261"/>
      <c r="CW1857" s="261"/>
      <c r="CX1857" s="261"/>
      <c r="CY1857" s="255"/>
    </row>
    <row r="1858" spans="1:103" ht="10.25" customHeight="1">
      <c r="A1858" s="270"/>
      <c r="D1858" s="372"/>
      <c r="E1858" s="372"/>
      <c r="F1858" s="272"/>
      <c r="G1858" s="272"/>
      <c r="H1858" s="272"/>
      <c r="I1858" s="273"/>
      <c r="J1858" s="273"/>
      <c r="K1858" s="273"/>
      <c r="L1858" s="275"/>
      <c r="M1858" s="269"/>
      <c r="N1858" s="269"/>
      <c r="O1858" s="63"/>
      <c r="P1858" s="63"/>
      <c r="Q1858" s="63"/>
      <c r="R1858" s="63"/>
      <c r="S1858" s="63"/>
      <c r="T1858" s="63"/>
      <c r="U1858" s="63"/>
      <c r="V1858" s="63"/>
      <c r="W1858" s="63"/>
      <c r="X1858" s="63"/>
      <c r="Y1858" s="63"/>
      <c r="Z1858" s="63"/>
      <c r="AA1858" s="63"/>
      <c r="AB1858" s="63"/>
      <c r="AC1858" s="63"/>
      <c r="AD1858" s="63"/>
      <c r="AE1858" s="63"/>
      <c r="AF1858" s="63"/>
      <c r="AG1858" s="63"/>
      <c r="AH1858" s="63"/>
      <c r="AI1858" s="63"/>
      <c r="AJ1858" s="63"/>
      <c r="AK1858" s="63"/>
      <c r="AL1858" s="63"/>
      <c r="AM1858" s="63"/>
      <c r="AN1858" s="63"/>
      <c r="AO1858" s="63"/>
      <c r="AP1858" s="63"/>
      <c r="AQ1858" s="63"/>
      <c r="CA1858" s="256"/>
      <c r="CB1858" s="261"/>
      <c r="CC1858" s="255"/>
      <c r="CD1858" s="261"/>
      <c r="CE1858" s="261"/>
      <c r="CF1858" s="261"/>
      <c r="CG1858" s="261"/>
      <c r="CH1858" s="261"/>
      <c r="CI1858" s="255"/>
      <c r="CJ1858" s="255"/>
      <c r="CK1858" s="261"/>
      <c r="CL1858" s="255"/>
      <c r="CN1858" s="256"/>
      <c r="CO1858" s="256"/>
      <c r="CP1858" s="261"/>
      <c r="CQ1858" s="261"/>
      <c r="CR1858" s="255"/>
      <c r="CS1858" s="261"/>
      <c r="CT1858" s="261"/>
      <c r="CU1858" s="261"/>
      <c r="CV1858" s="261"/>
      <c r="CW1858" s="255"/>
      <c r="CX1858" s="261"/>
      <c r="CY1858" s="255"/>
    </row>
    <row r="1859" spans="1:103" ht="10.25" customHeight="1">
      <c r="A1859" s="270"/>
      <c r="D1859" s="372"/>
      <c r="E1859" s="372"/>
      <c r="F1859" s="272"/>
      <c r="G1859" s="272"/>
      <c r="H1859" s="272"/>
      <c r="I1859" s="273"/>
      <c r="J1859" s="273"/>
      <c r="K1859" s="273"/>
      <c r="L1859" s="275"/>
      <c r="M1859" s="269"/>
      <c r="N1859" s="269"/>
      <c r="O1859" s="63"/>
      <c r="P1859" s="63"/>
      <c r="Q1859" s="63"/>
      <c r="R1859" s="63"/>
      <c r="S1859" s="63"/>
      <c r="T1859" s="63"/>
      <c r="U1859" s="63"/>
      <c r="V1859" s="63"/>
      <c r="W1859" s="63"/>
      <c r="X1859" s="63"/>
      <c r="Y1859" s="63"/>
      <c r="Z1859" s="63"/>
      <c r="AA1859" s="63"/>
      <c r="AB1859" s="63"/>
      <c r="AC1859" s="63"/>
      <c r="AD1859" s="63"/>
      <c r="AE1859" s="63"/>
      <c r="AF1859" s="63"/>
      <c r="AG1859" s="63"/>
      <c r="AH1859" s="63"/>
      <c r="AI1859" s="63"/>
      <c r="AJ1859" s="63"/>
      <c r="AK1859" s="63"/>
      <c r="AL1859" s="63"/>
      <c r="AM1859" s="63"/>
      <c r="AN1859" s="63"/>
      <c r="AO1859" s="63"/>
      <c r="AP1859" s="63"/>
      <c r="AQ1859" s="63"/>
      <c r="CA1859" s="256"/>
      <c r="CB1859" s="261"/>
      <c r="CC1859" s="255"/>
      <c r="CD1859" s="261"/>
      <c r="CE1859" s="261"/>
      <c r="CF1859" s="261"/>
      <c r="CG1859" s="255"/>
      <c r="CH1859" s="255"/>
      <c r="CI1859" s="261"/>
      <c r="CJ1859" s="261"/>
      <c r="CK1859" s="261"/>
      <c r="CL1859" s="255"/>
      <c r="CN1859" s="256"/>
      <c r="CO1859" s="256"/>
      <c r="CP1859" s="261"/>
      <c r="CQ1859" s="261"/>
      <c r="CR1859" s="255"/>
      <c r="CS1859" s="261"/>
      <c r="CT1859" s="261"/>
      <c r="CU1859" s="261"/>
      <c r="CV1859" s="255"/>
      <c r="CW1859" s="261"/>
      <c r="CX1859" s="261"/>
      <c r="CY1859" s="255"/>
    </row>
    <row r="1860" spans="1:103" ht="10.25" customHeight="1">
      <c r="A1860" s="270"/>
      <c r="D1860" s="372"/>
      <c r="E1860" s="372"/>
      <c r="F1860" s="272"/>
      <c r="G1860" s="272"/>
      <c r="H1860" s="272"/>
      <c r="I1860" s="273"/>
      <c r="J1860" s="273"/>
      <c r="K1860" s="273"/>
      <c r="L1860" s="275"/>
      <c r="M1860" s="269"/>
      <c r="N1860" s="269"/>
      <c r="O1860" s="63"/>
      <c r="P1860" s="63"/>
      <c r="Q1860" s="63"/>
      <c r="R1860" s="63"/>
      <c r="S1860" s="63"/>
      <c r="T1860" s="63"/>
      <c r="U1860" s="63"/>
      <c r="V1860" s="63"/>
      <c r="W1860" s="63"/>
      <c r="X1860" s="63"/>
      <c r="Y1860" s="63"/>
      <c r="Z1860" s="63"/>
      <c r="AA1860" s="63"/>
      <c r="AB1860" s="63"/>
      <c r="AC1860" s="63"/>
      <c r="AD1860" s="63"/>
      <c r="AE1860" s="63"/>
      <c r="AF1860" s="63"/>
      <c r="AG1860" s="63"/>
      <c r="AH1860" s="63"/>
      <c r="AI1860" s="63"/>
      <c r="AJ1860" s="63"/>
      <c r="AK1860" s="63"/>
      <c r="AL1860" s="63"/>
      <c r="AM1860" s="63"/>
      <c r="AN1860" s="63"/>
      <c r="AO1860" s="63"/>
      <c r="AP1860" s="63"/>
      <c r="AQ1860" s="63"/>
      <c r="CA1860" s="256"/>
      <c r="CB1860" s="261"/>
      <c r="CC1860" s="255"/>
      <c r="CD1860" s="261"/>
      <c r="CE1860" s="261"/>
      <c r="CF1860" s="261"/>
      <c r="CG1860" s="255"/>
      <c r="CH1860" s="255"/>
      <c r="CI1860" s="261"/>
      <c r="CJ1860" s="261"/>
      <c r="CK1860" s="261"/>
      <c r="CL1860" s="255"/>
      <c r="CN1860" s="256"/>
      <c r="CO1860" s="256"/>
      <c r="CP1860" s="261"/>
      <c r="CQ1860" s="261"/>
      <c r="CR1860" s="255"/>
      <c r="CS1860" s="261"/>
      <c r="CT1860" s="261"/>
      <c r="CU1860" s="261"/>
      <c r="CV1860" s="255"/>
      <c r="CW1860" s="261"/>
      <c r="CX1860" s="261"/>
      <c r="CY1860" s="255"/>
    </row>
    <row r="1861" spans="1:103" ht="10.25" customHeight="1">
      <c r="A1861" s="270"/>
      <c r="D1861" s="372"/>
      <c r="E1861" s="372"/>
      <c r="F1861" s="272"/>
      <c r="G1861" s="272"/>
      <c r="H1861" s="272"/>
      <c r="I1861" s="375"/>
      <c r="J1861" s="375"/>
      <c r="K1861" s="375"/>
      <c r="L1861" s="375"/>
      <c r="M1861" s="269"/>
      <c r="N1861" s="269"/>
      <c r="O1861" s="63"/>
      <c r="P1861" s="63"/>
      <c r="Q1861" s="63"/>
      <c r="R1861" s="63"/>
      <c r="S1861" s="63"/>
      <c r="T1861" s="63"/>
      <c r="U1861" s="63"/>
      <c r="V1861" s="63"/>
      <c r="W1861" s="63"/>
      <c r="X1861" s="63"/>
      <c r="Y1861" s="63"/>
      <c r="Z1861" s="63"/>
      <c r="AA1861" s="63"/>
      <c r="AB1861" s="63"/>
      <c r="AC1861" s="63"/>
      <c r="AD1861" s="63"/>
      <c r="AE1861" s="63"/>
      <c r="AF1861" s="63"/>
      <c r="AG1861" s="63"/>
      <c r="AH1861" s="63"/>
      <c r="AI1861" s="63"/>
      <c r="AJ1861" s="63"/>
      <c r="AK1861" s="63"/>
      <c r="AL1861" s="63"/>
      <c r="AM1861" s="63"/>
      <c r="AN1861" s="63"/>
      <c r="AO1861" s="63"/>
      <c r="AP1861" s="63"/>
      <c r="AQ1861" s="63"/>
      <c r="CA1861" s="256"/>
      <c r="CB1861" s="261"/>
      <c r="CC1861" s="255"/>
      <c r="CD1861" s="261"/>
      <c r="CE1861" s="261"/>
      <c r="CF1861" s="261"/>
      <c r="CG1861" s="261"/>
      <c r="CH1861" s="261"/>
      <c r="CI1861" s="261"/>
      <c r="CJ1861" s="261"/>
      <c r="CK1861" s="261"/>
      <c r="CL1861" s="255"/>
      <c r="CN1861" s="256"/>
      <c r="CO1861" s="256"/>
      <c r="CP1861" s="261"/>
      <c r="CQ1861" s="261"/>
      <c r="CR1861" s="255"/>
      <c r="CS1861" s="261"/>
      <c r="CT1861" s="261"/>
      <c r="CU1861" s="261"/>
      <c r="CV1861" s="261"/>
      <c r="CW1861" s="261"/>
      <c r="CX1861" s="261"/>
      <c r="CY1861" s="255"/>
    </row>
    <row r="1862" spans="1:103" ht="10.25" customHeight="1">
      <c r="A1862" s="270"/>
      <c r="D1862" s="372"/>
      <c r="E1862" s="372"/>
      <c r="H1862" s="209"/>
      <c r="I1862" s="213"/>
      <c r="J1862" s="213"/>
      <c r="K1862" s="213"/>
      <c r="L1862" s="213"/>
      <c r="M1862" s="213"/>
      <c r="N1862" s="213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  <c r="AO1862" s="5"/>
      <c r="AP1862" s="5"/>
      <c r="AQ1862" s="5"/>
      <c r="CA1862" s="256"/>
      <c r="CB1862" s="261"/>
      <c r="CC1862" s="255"/>
      <c r="CD1862" s="261"/>
      <c r="CE1862" s="261"/>
      <c r="CF1862" s="261"/>
      <c r="CG1862" s="261"/>
      <c r="CH1862" s="261"/>
      <c r="CI1862" s="261"/>
      <c r="CJ1862" s="261"/>
      <c r="CK1862" s="261"/>
      <c r="CL1862" s="255"/>
      <c r="CN1862" s="256"/>
      <c r="CO1862" s="256"/>
      <c r="CP1862" s="261"/>
      <c r="CQ1862" s="261"/>
      <c r="CR1862" s="255"/>
      <c r="CS1862" s="261"/>
      <c r="CT1862" s="261"/>
      <c r="CU1862" s="261"/>
      <c r="CV1862" s="261"/>
      <c r="CW1862" s="261"/>
      <c r="CX1862" s="261"/>
      <c r="CY1862" s="255"/>
    </row>
    <row r="1863" spans="1:103" ht="10.25" customHeight="1">
      <c r="A1863" s="270"/>
      <c r="C1863" s="269"/>
      <c r="D1863" s="275"/>
      <c r="E1863" s="275"/>
      <c r="F1863" s="209"/>
      <c r="G1863" s="209"/>
      <c r="H1863" s="209"/>
      <c r="I1863" s="209"/>
      <c r="J1863" s="209"/>
      <c r="K1863" s="209"/>
      <c r="L1863" s="376"/>
      <c r="M1863" s="376"/>
      <c r="N1863" s="279"/>
      <c r="O1863" s="51"/>
      <c r="P1863" s="51"/>
      <c r="Q1863" s="51"/>
      <c r="R1863" s="51"/>
      <c r="S1863" s="51"/>
      <c r="T1863" s="51"/>
      <c r="U1863" s="51"/>
      <c r="V1863" s="51"/>
      <c r="W1863" s="51"/>
      <c r="X1863" s="51"/>
      <c r="Y1863" s="51"/>
      <c r="Z1863" s="51"/>
      <c r="AA1863" s="51"/>
      <c r="AB1863" s="51"/>
      <c r="AC1863" s="51"/>
      <c r="AD1863" s="51"/>
      <c r="AE1863" s="51"/>
      <c r="AF1863" s="51"/>
      <c r="AG1863" s="51"/>
      <c r="AH1863" s="51"/>
      <c r="AI1863" s="51"/>
      <c r="AJ1863" s="51"/>
      <c r="AK1863" s="51"/>
      <c r="AL1863" s="51"/>
      <c r="AM1863" s="51"/>
      <c r="AN1863" s="51"/>
      <c r="AO1863" s="51"/>
      <c r="AP1863" s="51"/>
      <c r="AQ1863" s="51"/>
      <c r="CA1863" s="256"/>
      <c r="CB1863" s="261"/>
      <c r="CC1863" s="255"/>
      <c r="CD1863" s="261"/>
      <c r="CE1863" s="261"/>
      <c r="CF1863" s="261"/>
      <c r="CG1863" s="261"/>
      <c r="CH1863" s="261"/>
      <c r="CI1863" s="261"/>
      <c r="CJ1863" s="261"/>
      <c r="CK1863" s="261"/>
      <c r="CL1863" s="255"/>
      <c r="CN1863" s="256"/>
      <c r="CO1863" s="256"/>
      <c r="CP1863" s="261"/>
      <c r="CQ1863" s="261"/>
      <c r="CR1863" s="255"/>
      <c r="CS1863" s="261"/>
      <c r="CT1863" s="261"/>
      <c r="CU1863" s="261"/>
      <c r="CV1863" s="261"/>
      <c r="CW1863" s="261"/>
      <c r="CX1863" s="261"/>
      <c r="CY1863" s="255"/>
    </row>
    <row r="1864" spans="1:103" ht="10.25" customHeight="1">
      <c r="A1864" s="270"/>
      <c r="C1864" s="269"/>
      <c r="D1864" s="269"/>
      <c r="F1864" s="209"/>
      <c r="G1864" s="209"/>
      <c r="H1864" s="276"/>
      <c r="I1864" s="276"/>
      <c r="J1864" s="276"/>
      <c r="K1864" s="276"/>
      <c r="L1864" s="374"/>
      <c r="M1864" s="374"/>
      <c r="N1864" s="213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  <c r="AH1864" s="5"/>
      <c r="AI1864" s="5"/>
      <c r="AJ1864" s="5"/>
      <c r="AK1864" s="5"/>
      <c r="AL1864" s="5"/>
      <c r="AM1864" s="5"/>
      <c r="AN1864" s="5"/>
      <c r="AO1864" s="5"/>
      <c r="AP1864" s="5"/>
      <c r="AQ1864" s="5"/>
      <c r="CA1864" s="256"/>
      <c r="CB1864" s="261"/>
      <c r="CC1864" s="255"/>
      <c r="CD1864" s="261"/>
      <c r="CE1864" s="261"/>
      <c r="CF1864" s="261"/>
      <c r="CG1864" s="261"/>
      <c r="CH1864" s="261"/>
      <c r="CI1864" s="261"/>
      <c r="CJ1864" s="261"/>
      <c r="CK1864" s="261"/>
      <c r="CL1864" s="255"/>
      <c r="CN1864" s="256"/>
      <c r="CO1864" s="256"/>
      <c r="CP1864" s="261"/>
      <c r="CQ1864" s="261"/>
      <c r="CR1864" s="255"/>
      <c r="CS1864" s="261"/>
      <c r="CT1864" s="261"/>
      <c r="CU1864" s="261"/>
      <c r="CV1864" s="261"/>
      <c r="CW1864" s="261"/>
      <c r="CX1864" s="261"/>
      <c r="CY1864" s="255"/>
    </row>
    <row r="1865" spans="1:103" ht="10.25" customHeight="1">
      <c r="A1865" s="270"/>
      <c r="D1865" s="269"/>
      <c r="F1865" s="208"/>
      <c r="G1865" s="208"/>
      <c r="H1865" s="277"/>
      <c r="I1865" s="277"/>
      <c r="J1865" s="277"/>
      <c r="K1865" s="277"/>
      <c r="L1865" s="372"/>
      <c r="M1865" s="372"/>
      <c r="N1865" s="214"/>
      <c r="O1865" s="41"/>
      <c r="P1865" s="41"/>
      <c r="Q1865" s="41"/>
      <c r="R1865" s="41"/>
      <c r="S1865" s="41"/>
      <c r="T1865" s="41"/>
      <c r="U1865" s="41"/>
      <c r="V1865" s="41"/>
      <c r="W1865" s="41"/>
      <c r="X1865" s="41"/>
      <c r="Y1865" s="41"/>
      <c r="Z1865" s="41"/>
      <c r="AA1865" s="41"/>
      <c r="AB1865" s="41"/>
      <c r="AC1865" s="41"/>
      <c r="AD1865" s="41"/>
      <c r="AE1865" s="41"/>
      <c r="AF1865" s="41"/>
      <c r="AG1865" s="41"/>
      <c r="AH1865" s="41"/>
      <c r="AI1865" s="41"/>
      <c r="AJ1865" s="41"/>
      <c r="AK1865" s="41"/>
      <c r="AL1865" s="41"/>
      <c r="AM1865" s="41"/>
      <c r="AN1865" s="41"/>
      <c r="AO1865" s="41"/>
      <c r="AP1865" s="41"/>
      <c r="AQ1865" s="41"/>
      <c r="CA1865" s="256"/>
      <c r="CB1865" s="261"/>
      <c r="CC1865" s="255"/>
      <c r="CD1865" s="261"/>
      <c r="CE1865" s="261"/>
      <c r="CF1865" s="261"/>
      <c r="CG1865" s="261"/>
      <c r="CH1865" s="261"/>
      <c r="CI1865" s="261"/>
      <c r="CJ1865" s="261"/>
      <c r="CK1865" s="261"/>
      <c r="CL1865" s="255"/>
      <c r="CN1865" s="256"/>
      <c r="CO1865" s="256"/>
      <c r="CP1865" s="261"/>
      <c r="CQ1865" s="261"/>
      <c r="CR1865" s="255"/>
      <c r="CS1865" s="261"/>
      <c r="CT1865" s="261"/>
      <c r="CU1865" s="261"/>
      <c r="CV1865" s="261"/>
      <c r="CW1865" s="261"/>
      <c r="CX1865" s="261"/>
      <c r="CY1865" s="255"/>
    </row>
    <row r="1866" spans="1:103" ht="10.25" customHeight="1">
      <c r="CA1866" s="256"/>
      <c r="CB1866" s="261"/>
      <c r="CC1866" s="255"/>
      <c r="CD1866" s="261"/>
      <c r="CE1866" s="261"/>
      <c r="CF1866" s="255"/>
      <c r="CG1866" s="261"/>
      <c r="CH1866" s="261"/>
      <c r="CI1866" s="261"/>
      <c r="CJ1866" s="261"/>
      <c r="CK1866" s="261"/>
      <c r="CL1866" s="255"/>
      <c r="CN1866" s="256"/>
      <c r="CO1866" s="256"/>
      <c r="CP1866" s="261"/>
      <c r="CQ1866" s="261"/>
      <c r="CR1866" s="255"/>
      <c r="CS1866" s="261"/>
      <c r="CT1866" s="261"/>
      <c r="CU1866" s="255"/>
      <c r="CV1866" s="261"/>
      <c r="CW1866" s="261"/>
      <c r="CX1866" s="261"/>
      <c r="CY1866" s="255"/>
    </row>
    <row r="1867" spans="1:103" ht="10.25" customHeight="1">
      <c r="C1867" s="278"/>
      <c r="CA1867" s="256"/>
      <c r="CB1867" s="261"/>
      <c r="CC1867" s="255"/>
      <c r="CD1867" s="261"/>
      <c r="CE1867" s="261"/>
      <c r="CF1867" s="255"/>
      <c r="CG1867" s="261"/>
      <c r="CH1867" s="261"/>
      <c r="CI1867" s="261"/>
      <c r="CJ1867" s="261"/>
      <c r="CK1867" s="261"/>
      <c r="CL1867" s="255"/>
      <c r="CN1867" s="256"/>
      <c r="CO1867" s="256"/>
      <c r="CP1867" s="261"/>
      <c r="CQ1867" s="261"/>
      <c r="CR1867" s="255"/>
      <c r="CS1867" s="261"/>
      <c r="CT1867" s="261"/>
      <c r="CU1867" s="255"/>
      <c r="CV1867" s="261"/>
      <c r="CW1867" s="261"/>
      <c r="CX1867" s="261"/>
      <c r="CY1867" s="255"/>
    </row>
    <row r="1868" spans="1:103" ht="10.25" customHeight="1">
      <c r="C1868" s="278"/>
      <c r="F1868" s="377"/>
      <c r="G1868" s="377"/>
      <c r="H1868" s="377"/>
      <c r="I1868" s="377"/>
      <c r="J1868" s="377"/>
      <c r="K1868" s="377"/>
      <c r="L1868" s="377"/>
      <c r="M1868" s="377"/>
      <c r="N1868" s="269"/>
      <c r="O1868" s="63"/>
      <c r="P1868" s="63"/>
      <c r="Q1868" s="63"/>
      <c r="R1868" s="63"/>
      <c r="S1868" s="63"/>
      <c r="T1868" s="63"/>
      <c r="U1868" s="63"/>
      <c r="V1868" s="63"/>
      <c r="W1868" s="63"/>
      <c r="X1868" s="63"/>
      <c r="Y1868" s="63"/>
      <c r="Z1868" s="63"/>
      <c r="AA1868" s="63"/>
      <c r="AB1868" s="63"/>
      <c r="AC1868" s="63"/>
      <c r="AD1868" s="63"/>
      <c r="AE1868" s="63"/>
      <c r="AF1868" s="63"/>
      <c r="AG1868" s="63"/>
      <c r="AH1868" s="63"/>
      <c r="AI1868" s="63"/>
      <c r="AJ1868" s="63"/>
      <c r="AK1868" s="63"/>
      <c r="AL1868" s="63"/>
      <c r="AM1868" s="63"/>
      <c r="AN1868" s="63"/>
      <c r="AO1868" s="63"/>
      <c r="AP1868" s="63"/>
      <c r="AQ1868" s="63"/>
      <c r="CA1868" s="256"/>
      <c r="CB1868" s="261"/>
      <c r="CC1868" s="255"/>
      <c r="CD1868" s="261"/>
      <c r="CE1868" s="261"/>
      <c r="CF1868" s="255"/>
      <c r="CG1868" s="261"/>
      <c r="CH1868" s="261"/>
      <c r="CI1868" s="261"/>
      <c r="CJ1868" s="261"/>
      <c r="CK1868" s="261"/>
      <c r="CL1868" s="255"/>
      <c r="CN1868" s="256"/>
      <c r="CO1868" s="256"/>
      <c r="CP1868" s="261"/>
      <c r="CQ1868" s="261"/>
      <c r="CR1868" s="255"/>
      <c r="CS1868" s="261"/>
      <c r="CT1868" s="261"/>
      <c r="CU1868" s="255"/>
      <c r="CV1868" s="261"/>
      <c r="CW1868" s="261"/>
      <c r="CX1868" s="261"/>
      <c r="CY1868" s="255"/>
    </row>
    <row r="1869" spans="1:103" ht="10.4" customHeight="1">
      <c r="C1869" s="278"/>
      <c r="F1869" s="377"/>
      <c r="G1869" s="377"/>
      <c r="H1869" s="377"/>
      <c r="I1869" s="377"/>
      <c r="J1869" s="377"/>
      <c r="K1869" s="377"/>
      <c r="L1869" s="377"/>
      <c r="M1869" s="377"/>
      <c r="N1869" s="269"/>
      <c r="O1869" s="63"/>
      <c r="P1869" s="63"/>
      <c r="Q1869" s="63"/>
      <c r="R1869" s="63"/>
      <c r="S1869" s="63"/>
      <c r="T1869" s="63"/>
      <c r="U1869" s="63"/>
      <c r="V1869" s="63"/>
      <c r="W1869" s="63"/>
      <c r="X1869" s="63"/>
      <c r="Y1869" s="63"/>
      <c r="Z1869" s="63"/>
      <c r="AA1869" s="63"/>
      <c r="AB1869" s="63"/>
      <c r="AC1869" s="63"/>
      <c r="AD1869" s="63"/>
      <c r="AE1869" s="63"/>
      <c r="AF1869" s="63"/>
      <c r="AG1869" s="63"/>
      <c r="AH1869" s="63"/>
      <c r="AI1869" s="63"/>
      <c r="AJ1869" s="63"/>
      <c r="AK1869" s="63"/>
      <c r="AL1869" s="63"/>
      <c r="AM1869" s="63"/>
      <c r="AN1869" s="63"/>
      <c r="AO1869" s="63"/>
      <c r="AP1869" s="63"/>
      <c r="AQ1869" s="63"/>
      <c r="AS1869" s="236"/>
      <c r="BE1869" s="63"/>
      <c r="BF1869" s="63"/>
      <c r="BG1869" s="63"/>
      <c r="BK1869" s="317"/>
      <c r="BL1869" s="5"/>
      <c r="BM1869" s="5"/>
      <c r="BN1869" s="5"/>
      <c r="BO1869" s="5"/>
      <c r="BP1869" s="5"/>
      <c r="BQ1869" s="5"/>
      <c r="BR1869" s="5"/>
      <c r="BS1869" s="5"/>
      <c r="BT1869" s="5"/>
      <c r="BV1869" s="317"/>
      <c r="CF1869" s="5"/>
      <c r="CG1869" s="5"/>
      <c r="CH1869" s="5"/>
      <c r="CI1869" s="5"/>
      <c r="CJ1869" s="5"/>
      <c r="CK1869" s="5"/>
      <c r="CL1869" s="5"/>
    </row>
    <row r="1870" spans="1:103" ht="10.25" customHeight="1">
      <c r="A1870" s="377"/>
      <c r="B1870" s="377"/>
      <c r="C1870" s="377"/>
      <c r="D1870" s="377"/>
      <c r="E1870" s="377"/>
      <c r="F1870" s="377"/>
      <c r="G1870" s="377"/>
      <c r="H1870" s="377"/>
      <c r="I1870" s="377"/>
      <c r="J1870" s="377"/>
      <c r="K1870" s="377"/>
      <c r="L1870" s="377"/>
      <c r="M1870" s="377"/>
      <c r="N1870" s="269"/>
      <c r="O1870" s="63"/>
      <c r="P1870" s="63"/>
      <c r="Q1870" s="63"/>
      <c r="R1870" s="63"/>
      <c r="S1870" s="63"/>
      <c r="T1870" s="63"/>
      <c r="U1870" s="63"/>
      <c r="V1870" s="63"/>
      <c r="W1870" s="63"/>
      <c r="X1870" s="63"/>
      <c r="Y1870" s="63"/>
      <c r="Z1870" s="63"/>
      <c r="AA1870" s="63"/>
      <c r="AB1870" s="63"/>
      <c r="AC1870" s="63"/>
      <c r="AD1870" s="63"/>
      <c r="AE1870" s="63"/>
      <c r="AF1870" s="63"/>
      <c r="AG1870" s="63"/>
      <c r="AH1870" s="63"/>
      <c r="AI1870" s="63"/>
      <c r="AJ1870" s="63"/>
      <c r="AK1870" s="63"/>
      <c r="AL1870" s="63"/>
      <c r="AM1870" s="63"/>
      <c r="AN1870" s="63"/>
      <c r="AO1870" s="63"/>
      <c r="AP1870" s="63"/>
      <c r="AQ1870" s="63"/>
      <c r="BE1870" s="63"/>
      <c r="BF1870" s="63"/>
      <c r="BG1870" s="63"/>
      <c r="BK1870" s="317"/>
      <c r="BL1870" s="5"/>
      <c r="BM1870" s="5"/>
      <c r="BN1870" s="5"/>
      <c r="BO1870" s="5"/>
      <c r="BP1870" s="5"/>
      <c r="BQ1870" s="5"/>
      <c r="BR1870" s="5"/>
      <c r="BS1870" s="5"/>
      <c r="BT1870" s="5"/>
      <c r="BV1870" s="317"/>
      <c r="CF1870" s="5"/>
      <c r="CG1870" s="5"/>
      <c r="CH1870" s="5"/>
      <c r="CI1870" s="5"/>
      <c r="CJ1870" s="5"/>
      <c r="CK1870" s="5"/>
      <c r="CL1870" s="5"/>
    </row>
    <row r="1871" spans="1:103" ht="10.25" customHeight="1">
      <c r="A1871" s="376"/>
      <c r="B1871" s="376"/>
      <c r="C1871" s="376"/>
      <c r="D1871" s="376"/>
      <c r="E1871" s="376"/>
      <c r="F1871" s="376"/>
      <c r="G1871" s="376"/>
      <c r="H1871" s="376"/>
      <c r="I1871" s="376"/>
      <c r="J1871" s="376"/>
      <c r="K1871" s="376"/>
      <c r="L1871" s="376"/>
      <c r="M1871" s="376"/>
      <c r="N1871" s="279"/>
      <c r="O1871" s="51"/>
      <c r="P1871" s="51"/>
      <c r="Q1871" s="51"/>
      <c r="R1871" s="51"/>
      <c r="S1871" s="51"/>
      <c r="T1871" s="51"/>
      <c r="U1871" s="51"/>
      <c r="V1871" s="51"/>
      <c r="W1871" s="51"/>
      <c r="X1871" s="51"/>
      <c r="Y1871" s="51"/>
      <c r="Z1871" s="51"/>
      <c r="AA1871" s="51"/>
      <c r="AB1871" s="51"/>
      <c r="AC1871" s="51"/>
      <c r="AD1871" s="51"/>
      <c r="AE1871" s="51"/>
      <c r="AF1871" s="51"/>
      <c r="AG1871" s="51"/>
      <c r="AH1871" s="51"/>
      <c r="AI1871" s="51"/>
      <c r="AJ1871" s="51"/>
      <c r="AK1871" s="51"/>
      <c r="AL1871" s="51"/>
      <c r="AM1871" s="51"/>
      <c r="AN1871" s="51"/>
      <c r="AO1871" s="51"/>
      <c r="AP1871" s="51"/>
      <c r="AQ1871" s="51"/>
      <c r="BE1871" s="63"/>
      <c r="BF1871" s="63"/>
      <c r="BG1871" s="63"/>
      <c r="BK1871" s="317"/>
      <c r="BL1871" s="5"/>
      <c r="BM1871" s="5"/>
      <c r="BN1871" s="5"/>
      <c r="BO1871" s="5"/>
      <c r="BP1871" s="5"/>
      <c r="BQ1871" s="5"/>
      <c r="BR1871" s="5"/>
      <c r="BS1871" s="5"/>
      <c r="BT1871" s="5"/>
      <c r="BV1871" s="317"/>
      <c r="CF1871" s="5"/>
      <c r="CG1871" s="5"/>
      <c r="CH1871" s="5"/>
      <c r="CI1871" s="5"/>
      <c r="CJ1871" s="5"/>
      <c r="CK1871" s="5"/>
      <c r="CL1871" s="5"/>
    </row>
    <row r="1872" spans="1:103" ht="10.25" customHeight="1">
      <c r="A1872" s="374"/>
      <c r="B1872" s="374"/>
      <c r="C1872" s="374"/>
      <c r="D1872" s="374"/>
      <c r="E1872" s="374"/>
      <c r="F1872" s="374"/>
      <c r="G1872" s="374"/>
      <c r="H1872" s="374"/>
      <c r="I1872" s="374"/>
      <c r="J1872" s="374"/>
      <c r="K1872" s="374"/>
      <c r="L1872" s="374"/>
      <c r="M1872" s="374"/>
      <c r="N1872" s="213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  <c r="AL1872" s="5"/>
      <c r="AM1872" s="5"/>
      <c r="AN1872" s="5"/>
      <c r="AO1872" s="5"/>
      <c r="AP1872" s="5"/>
      <c r="AQ1872" s="5"/>
      <c r="BE1872" s="63"/>
      <c r="BF1872" s="63"/>
      <c r="BG1872" s="63"/>
      <c r="BK1872" s="317"/>
      <c r="BL1872" s="5"/>
      <c r="BM1872" s="5"/>
      <c r="BN1872" s="5"/>
      <c r="BO1872" s="5"/>
      <c r="BP1872" s="5"/>
      <c r="BQ1872" s="5"/>
      <c r="BR1872" s="5"/>
      <c r="BS1872" s="5"/>
      <c r="BT1872" s="5"/>
      <c r="BV1872" s="317"/>
      <c r="CF1872" s="5"/>
      <c r="CG1872" s="5"/>
      <c r="CH1872" s="5"/>
      <c r="CI1872" s="5"/>
      <c r="CJ1872" s="5"/>
      <c r="CK1872" s="5"/>
      <c r="CL1872" s="5"/>
    </row>
    <row r="1873" spans="1:103" ht="6" customHeight="1">
      <c r="A1873" s="208"/>
      <c r="B1873" s="209"/>
      <c r="C1873" s="209"/>
      <c r="D1873" s="209"/>
      <c r="E1873" s="209"/>
      <c r="F1873" s="280"/>
      <c r="G1873" s="280"/>
      <c r="H1873" s="280"/>
      <c r="I1873" s="280"/>
      <c r="J1873" s="280"/>
      <c r="K1873" s="280"/>
      <c r="L1873" s="280"/>
      <c r="M1873" s="280"/>
      <c r="N1873" s="280"/>
      <c r="O1873" s="42"/>
      <c r="P1873" s="42"/>
      <c r="Q1873" s="42"/>
      <c r="R1873" s="42"/>
      <c r="S1873" s="42"/>
      <c r="T1873" s="42"/>
      <c r="U1873" s="42"/>
      <c r="V1873" s="42"/>
      <c r="W1873" s="42"/>
      <c r="X1873" s="42"/>
      <c r="Y1873" s="42"/>
      <c r="Z1873" s="42"/>
      <c r="AA1873" s="42"/>
      <c r="AB1873" s="42"/>
      <c r="AC1873" s="42"/>
      <c r="AD1873" s="42"/>
      <c r="AE1873" s="42"/>
      <c r="AF1873" s="42"/>
      <c r="AG1873" s="42"/>
      <c r="AH1873" s="42"/>
      <c r="AI1873" s="42"/>
      <c r="AJ1873" s="42"/>
      <c r="AK1873" s="42"/>
      <c r="AL1873" s="42"/>
      <c r="AM1873" s="42"/>
      <c r="AN1873" s="42"/>
      <c r="AO1873" s="42"/>
      <c r="AP1873" s="42"/>
      <c r="AQ1873" s="42"/>
      <c r="BK1873" s="317"/>
      <c r="BL1873" s="5"/>
      <c r="BM1873" s="5"/>
      <c r="BN1873" s="5"/>
      <c r="BO1873" s="5"/>
      <c r="BP1873" s="5"/>
      <c r="BQ1873" s="5"/>
      <c r="BR1873" s="5"/>
      <c r="BS1873" s="5"/>
      <c r="BT1873" s="5"/>
      <c r="BV1873" s="317"/>
      <c r="CF1873" s="5"/>
      <c r="CG1873" s="5"/>
      <c r="CH1873" s="5"/>
      <c r="CI1873" s="5"/>
      <c r="CJ1873" s="5"/>
      <c r="CK1873" s="5"/>
      <c r="CL1873" s="5"/>
    </row>
    <row r="1874" spans="1:103" ht="10.25" customHeight="1">
      <c r="A1874" s="208"/>
      <c r="B1874" s="209"/>
      <c r="C1874" s="209"/>
      <c r="D1874" s="210"/>
      <c r="E1874" s="211"/>
      <c r="F1874" s="369"/>
      <c r="G1874" s="369"/>
      <c r="H1874" s="369"/>
      <c r="I1874" s="369"/>
      <c r="J1874" s="369"/>
      <c r="K1874" s="369"/>
      <c r="L1874" s="369"/>
      <c r="M1874" s="230"/>
      <c r="N1874" s="230"/>
      <c r="O1874" s="235"/>
      <c r="P1874" s="235"/>
      <c r="Q1874" s="235"/>
      <c r="R1874" s="235"/>
      <c r="S1874" s="235"/>
      <c r="T1874" s="235"/>
      <c r="U1874" s="235"/>
      <c r="V1874" s="235"/>
      <c r="W1874" s="235"/>
      <c r="X1874" s="235"/>
      <c r="Y1874" s="235"/>
      <c r="Z1874" s="235"/>
      <c r="AA1874" s="235"/>
      <c r="AB1874" s="235"/>
      <c r="AC1874" s="235"/>
      <c r="AD1874" s="235"/>
      <c r="AE1874" s="235"/>
      <c r="AF1874" s="235"/>
      <c r="AG1874" s="235"/>
      <c r="AH1874" s="235"/>
      <c r="AI1874" s="235"/>
      <c r="AJ1874" s="235"/>
      <c r="AK1874" s="235"/>
      <c r="AL1874" s="235"/>
      <c r="AM1874" s="235"/>
      <c r="AN1874" s="235"/>
      <c r="AO1874" s="235"/>
      <c r="AP1874" s="235"/>
      <c r="AQ1874" s="235"/>
      <c r="BK1874" s="317"/>
      <c r="BL1874" s="5"/>
      <c r="BM1874" s="5"/>
      <c r="BN1874" s="5"/>
      <c r="BO1874" s="5"/>
      <c r="BP1874" s="5"/>
      <c r="BQ1874" s="5"/>
      <c r="BR1874" s="5"/>
      <c r="BS1874" s="5"/>
      <c r="BT1874" s="5"/>
      <c r="BV1874" s="317"/>
      <c r="CF1874" s="5"/>
      <c r="CG1874" s="5"/>
      <c r="CH1874" s="5"/>
      <c r="CI1874" s="5"/>
      <c r="CJ1874" s="5"/>
      <c r="CK1874" s="5"/>
      <c r="CL1874" s="5"/>
    </row>
    <row r="1875" spans="1:103" ht="2" customHeight="1">
      <c r="A1875" s="209"/>
      <c r="B1875" s="209"/>
      <c r="C1875" s="212"/>
      <c r="D1875" s="213"/>
      <c r="E1875" s="209"/>
      <c r="F1875" s="209"/>
      <c r="G1875" s="209"/>
      <c r="H1875" s="209"/>
      <c r="I1875" s="209"/>
      <c r="J1875" s="209"/>
      <c r="K1875" s="209"/>
      <c r="L1875" s="209"/>
      <c r="M1875" s="209"/>
      <c r="N1875" s="209"/>
      <c r="O1875" s="46"/>
      <c r="P1875" s="46"/>
      <c r="Q1875" s="46"/>
      <c r="R1875" s="46"/>
      <c r="S1875" s="46"/>
      <c r="T1875" s="46"/>
      <c r="U1875" s="46"/>
      <c r="V1875" s="46"/>
      <c r="W1875" s="46"/>
      <c r="X1875" s="46"/>
      <c r="Y1875" s="46"/>
      <c r="Z1875" s="46"/>
      <c r="AA1875" s="46"/>
      <c r="AB1875" s="46"/>
      <c r="AC1875" s="46"/>
      <c r="AD1875" s="46"/>
      <c r="AE1875" s="46"/>
      <c r="AF1875" s="46"/>
      <c r="AG1875" s="46"/>
      <c r="AH1875" s="46"/>
      <c r="AI1875" s="46"/>
      <c r="AJ1875" s="46"/>
      <c r="AK1875" s="46"/>
      <c r="AL1875" s="46"/>
      <c r="AM1875" s="46"/>
      <c r="AN1875" s="46"/>
      <c r="AO1875" s="46"/>
      <c r="AP1875" s="46"/>
      <c r="AQ1875" s="46"/>
      <c r="BK1875" s="317"/>
      <c r="BL1875" s="5"/>
      <c r="BM1875" s="5"/>
      <c r="BN1875" s="5"/>
      <c r="BO1875" s="5"/>
      <c r="BP1875" s="5"/>
      <c r="BQ1875" s="5"/>
      <c r="BR1875" s="5"/>
      <c r="BS1875" s="5"/>
      <c r="BT1875" s="5"/>
      <c r="BV1875" s="317"/>
      <c r="CF1875" s="5"/>
      <c r="CG1875" s="5"/>
      <c r="CH1875" s="5"/>
      <c r="CI1875" s="5"/>
      <c r="CJ1875" s="5"/>
      <c r="CK1875" s="5"/>
      <c r="CL1875" s="5"/>
    </row>
    <row r="1876" spans="1:103" ht="26.4" customHeight="1">
      <c r="A1876" s="374"/>
      <c r="B1876" s="374"/>
      <c r="C1876" s="374"/>
      <c r="D1876" s="372"/>
      <c r="E1876" s="373"/>
      <c r="F1876" s="370"/>
      <c r="G1876" s="215"/>
      <c r="H1876" s="373"/>
      <c r="I1876" s="370"/>
      <c r="J1876" s="370"/>
      <c r="K1876" s="370"/>
      <c r="L1876" s="373"/>
      <c r="M1876" s="374"/>
      <c r="N1876" s="213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  <c r="AG1876" s="5"/>
      <c r="AH1876" s="5"/>
      <c r="AI1876" s="5"/>
      <c r="AJ1876" s="5"/>
      <c r="AK1876" s="5"/>
      <c r="AL1876" s="5"/>
      <c r="AM1876" s="5"/>
      <c r="AN1876" s="5"/>
      <c r="AO1876" s="5"/>
      <c r="AP1876" s="5"/>
      <c r="AQ1876" s="5"/>
      <c r="BK1876" s="317"/>
      <c r="BL1876" s="5"/>
      <c r="BM1876" s="5"/>
      <c r="BN1876" s="5"/>
      <c r="BO1876" s="5"/>
      <c r="BP1876" s="5"/>
      <c r="BQ1876" s="5"/>
      <c r="BR1876" s="5"/>
      <c r="BS1876" s="5"/>
      <c r="BT1876" s="5"/>
      <c r="BV1876" s="317"/>
      <c r="CF1876" s="5"/>
      <c r="CG1876" s="5"/>
      <c r="CH1876" s="5"/>
      <c r="CI1876" s="5"/>
      <c r="CJ1876" s="5"/>
      <c r="CK1876" s="5"/>
      <c r="CL1876" s="5"/>
    </row>
    <row r="1877" spans="1:103" ht="9.65" customHeight="1">
      <c r="A1877" s="374"/>
      <c r="B1877" s="374"/>
      <c r="C1877" s="374"/>
      <c r="D1877" s="372"/>
      <c r="E1877" s="373"/>
      <c r="F1877" s="370"/>
      <c r="G1877" s="215"/>
      <c r="H1877" s="373"/>
      <c r="I1877" s="233"/>
      <c r="J1877" s="233"/>
      <c r="K1877" s="233"/>
      <c r="L1877" s="373"/>
      <c r="M1877" s="374"/>
      <c r="N1877" s="213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  <c r="BK1877" s="317"/>
      <c r="BL1877" s="5"/>
      <c r="BM1877" s="5"/>
      <c r="BN1877" s="5"/>
      <c r="BO1877" s="5"/>
      <c r="BP1877" s="5"/>
      <c r="BQ1877" s="5"/>
      <c r="BR1877" s="5"/>
      <c r="BS1877" s="5"/>
      <c r="BT1877" s="5"/>
      <c r="BV1877" s="317"/>
      <c r="CF1877" s="5"/>
      <c r="CG1877" s="5"/>
      <c r="CH1877" s="5"/>
      <c r="CI1877" s="5"/>
      <c r="CJ1877" s="5"/>
      <c r="CK1877" s="5"/>
      <c r="CL1877" s="5"/>
    </row>
    <row r="1878" spans="1:103" ht="10.25" customHeight="1">
      <c r="A1878" s="216"/>
      <c r="B1878" s="217"/>
      <c r="C1878" s="218"/>
      <c r="D1878" s="219"/>
      <c r="E1878" s="217"/>
      <c r="F1878" s="217"/>
      <c r="G1878" s="217"/>
      <c r="H1878" s="220"/>
      <c r="I1878" s="217"/>
      <c r="J1878" s="217"/>
      <c r="K1878" s="217"/>
      <c r="L1878" s="217"/>
      <c r="M1878" s="217"/>
      <c r="N1878" s="217"/>
      <c r="O1878" s="44"/>
      <c r="P1878" s="44"/>
      <c r="Q1878" s="44"/>
      <c r="R1878" s="44"/>
      <c r="S1878" s="44"/>
      <c r="T1878" s="44"/>
      <c r="U1878" s="44"/>
      <c r="V1878" s="44"/>
      <c r="W1878" s="44"/>
      <c r="X1878" s="44"/>
      <c r="Y1878" s="44"/>
      <c r="Z1878" s="44"/>
      <c r="AA1878" s="44"/>
      <c r="AB1878" s="44"/>
      <c r="AC1878" s="44"/>
      <c r="AD1878" s="44"/>
      <c r="AE1878" s="44"/>
      <c r="AF1878" s="44"/>
      <c r="AG1878" s="44"/>
      <c r="AH1878" s="44"/>
      <c r="AI1878" s="44"/>
      <c r="AJ1878" s="44"/>
      <c r="AK1878" s="44"/>
      <c r="AL1878" s="44"/>
      <c r="AM1878" s="44"/>
      <c r="AN1878" s="44"/>
      <c r="AO1878" s="44"/>
      <c r="AP1878" s="44"/>
      <c r="AQ1878" s="44"/>
      <c r="BA1878" s="5"/>
      <c r="BB1878" s="5"/>
      <c r="BC1878" s="5"/>
      <c r="BD1878" s="5"/>
      <c r="BE1878" s="63"/>
      <c r="BF1878" s="63"/>
      <c r="BG1878" s="63"/>
      <c r="BK1878" s="317"/>
      <c r="BL1878" s="5"/>
      <c r="BM1878" s="5"/>
      <c r="BN1878" s="5"/>
      <c r="BO1878" s="5"/>
      <c r="BP1878" s="5"/>
      <c r="BQ1878" s="5"/>
      <c r="BR1878" s="5"/>
      <c r="BS1878" s="5"/>
      <c r="BT1878" s="5"/>
      <c r="BV1878" s="317"/>
      <c r="CF1878" s="5"/>
      <c r="CG1878" s="53"/>
      <c r="CH1878" s="53"/>
      <c r="CI1878" s="53"/>
      <c r="CJ1878" s="53"/>
      <c r="CK1878" s="53"/>
      <c r="CL1878" s="53"/>
      <c r="CN1878" s="53"/>
      <c r="CO1878" s="53"/>
      <c r="CP1878" s="53"/>
      <c r="CQ1878" s="53"/>
      <c r="CR1878" s="53"/>
      <c r="CS1878" s="53"/>
    </row>
    <row r="1879" spans="1:103" ht="10.25" customHeight="1">
      <c r="A1879" s="216"/>
      <c r="B1879" s="217"/>
      <c r="C1879" s="218"/>
      <c r="D1879" s="219"/>
      <c r="E1879" s="217"/>
      <c r="F1879" s="217"/>
      <c r="G1879" s="217"/>
      <c r="H1879" s="220"/>
      <c r="I1879" s="217"/>
      <c r="J1879" s="217"/>
      <c r="K1879" s="217"/>
      <c r="L1879" s="217"/>
      <c r="M1879" s="217"/>
      <c r="N1879" s="217"/>
      <c r="O1879" s="44"/>
      <c r="P1879" s="44"/>
      <c r="Q1879" s="44"/>
      <c r="R1879" s="44"/>
      <c r="S1879" s="44"/>
      <c r="T1879" s="44"/>
      <c r="U1879" s="44"/>
      <c r="V1879" s="44"/>
      <c r="W1879" s="44"/>
      <c r="X1879" s="44"/>
      <c r="Y1879" s="44"/>
      <c r="Z1879" s="44"/>
      <c r="AA1879" s="44"/>
      <c r="AB1879" s="44"/>
      <c r="AC1879" s="44"/>
      <c r="AD1879" s="44"/>
      <c r="AE1879" s="44"/>
      <c r="AF1879" s="44"/>
      <c r="AG1879" s="44"/>
      <c r="AH1879" s="44"/>
      <c r="AI1879" s="44"/>
      <c r="AJ1879" s="44"/>
      <c r="AK1879" s="44"/>
      <c r="AL1879" s="44"/>
      <c r="AM1879" s="44"/>
      <c r="AN1879" s="44"/>
      <c r="AO1879" s="44"/>
      <c r="AP1879" s="44"/>
      <c r="AQ1879" s="44"/>
      <c r="BA1879" s="5"/>
      <c r="BB1879" s="5"/>
      <c r="BC1879" s="5"/>
      <c r="BD1879" s="5"/>
      <c r="BE1879" s="63"/>
      <c r="BF1879" s="63"/>
      <c r="BG1879" s="63"/>
      <c r="BK1879" s="317"/>
      <c r="BL1879" s="5"/>
      <c r="BM1879" s="5"/>
      <c r="BN1879" s="5"/>
      <c r="BO1879" s="5"/>
      <c r="BP1879" s="5"/>
      <c r="BQ1879" s="5"/>
      <c r="BR1879" s="5"/>
      <c r="BS1879" s="5"/>
      <c r="BT1879" s="5"/>
      <c r="BV1879" s="317"/>
      <c r="CF1879" s="5"/>
      <c r="CG1879" s="53"/>
      <c r="CH1879" s="53"/>
      <c r="CI1879" s="53"/>
      <c r="CJ1879" s="53"/>
      <c r="CK1879" s="53"/>
      <c r="CL1879" s="53"/>
      <c r="CN1879" s="53"/>
      <c r="CO1879" s="53"/>
      <c r="CP1879" s="53"/>
      <c r="CQ1879" s="53"/>
      <c r="CR1879" s="53"/>
      <c r="CS1879" s="53"/>
    </row>
    <row r="1880" spans="1:103" ht="10.25" customHeight="1">
      <c r="A1880" s="216"/>
      <c r="B1880" s="217"/>
      <c r="C1880" s="218"/>
      <c r="D1880" s="219"/>
      <c r="E1880" s="217"/>
      <c r="F1880" s="217"/>
      <c r="G1880" s="217"/>
      <c r="H1880" s="220"/>
      <c r="I1880" s="217"/>
      <c r="J1880" s="217"/>
      <c r="K1880" s="217"/>
      <c r="L1880" s="217"/>
      <c r="M1880" s="217"/>
      <c r="N1880" s="217"/>
      <c r="O1880" s="44"/>
      <c r="P1880" s="44"/>
      <c r="Q1880" s="44"/>
      <c r="R1880" s="44"/>
      <c r="S1880" s="44"/>
      <c r="T1880" s="44"/>
      <c r="U1880" s="44"/>
      <c r="V1880" s="44"/>
      <c r="W1880" s="44"/>
      <c r="X1880" s="44"/>
      <c r="Y1880" s="44"/>
      <c r="Z1880" s="44"/>
      <c r="AA1880" s="44"/>
      <c r="AB1880" s="44"/>
      <c r="AC1880" s="44"/>
      <c r="AD1880" s="44"/>
      <c r="AE1880" s="44"/>
      <c r="AF1880" s="44"/>
      <c r="AG1880" s="44"/>
      <c r="AH1880" s="44"/>
      <c r="AI1880" s="44"/>
      <c r="AJ1880" s="44"/>
      <c r="AK1880" s="44"/>
      <c r="AL1880" s="44"/>
      <c r="AM1880" s="44"/>
      <c r="AN1880" s="44"/>
      <c r="AO1880" s="44"/>
      <c r="AP1880" s="44"/>
      <c r="AQ1880" s="44"/>
      <c r="BA1880" s="5"/>
      <c r="BB1880" s="5"/>
      <c r="BC1880" s="5"/>
      <c r="BD1880" s="5"/>
      <c r="BE1880" s="63"/>
      <c r="BF1880" s="63"/>
      <c r="BG1880" s="63"/>
      <c r="BK1880" s="317"/>
      <c r="BL1880" s="5"/>
      <c r="BM1880" s="5"/>
      <c r="BN1880" s="5"/>
      <c r="BO1880" s="5"/>
      <c r="BP1880" s="5"/>
      <c r="BQ1880" s="5"/>
      <c r="BR1880" s="5"/>
      <c r="BS1880" s="5"/>
      <c r="BT1880" s="5"/>
      <c r="BV1880" s="317"/>
      <c r="CF1880" s="5"/>
      <c r="CG1880" s="53"/>
      <c r="CH1880" s="53"/>
      <c r="CI1880" s="53"/>
      <c r="CJ1880" s="53"/>
      <c r="CK1880" s="53"/>
      <c r="CL1880" s="53"/>
      <c r="CN1880" s="53"/>
      <c r="CO1880" s="53"/>
      <c r="CP1880" s="53"/>
      <c r="CQ1880" s="53"/>
      <c r="CR1880" s="53"/>
      <c r="CS1880" s="53"/>
    </row>
    <row r="1881" spans="1:103" ht="10.25" customHeight="1">
      <c r="A1881" s="216"/>
      <c r="B1881" s="217"/>
      <c r="C1881" s="218"/>
      <c r="D1881" s="219"/>
      <c r="E1881" s="217"/>
      <c r="F1881" s="217"/>
      <c r="G1881" s="217"/>
      <c r="H1881" s="220"/>
      <c r="I1881" s="217"/>
      <c r="J1881" s="217"/>
      <c r="K1881" s="217"/>
      <c r="L1881" s="217"/>
      <c r="M1881" s="217"/>
      <c r="N1881" s="217"/>
      <c r="O1881" s="44"/>
      <c r="P1881" s="44"/>
      <c r="Q1881" s="44"/>
      <c r="R1881" s="44"/>
      <c r="S1881" s="44"/>
      <c r="T1881" s="44"/>
      <c r="U1881" s="44"/>
      <c r="V1881" s="44"/>
      <c r="W1881" s="44"/>
      <c r="X1881" s="44"/>
      <c r="Y1881" s="44"/>
      <c r="Z1881" s="44"/>
      <c r="AA1881" s="44"/>
      <c r="AB1881" s="44"/>
      <c r="AC1881" s="44"/>
      <c r="AD1881" s="44"/>
      <c r="AE1881" s="44"/>
      <c r="AF1881" s="44"/>
      <c r="AG1881" s="44"/>
      <c r="AH1881" s="44"/>
      <c r="AI1881" s="44"/>
      <c r="AJ1881" s="44"/>
      <c r="AK1881" s="44"/>
      <c r="AL1881" s="44"/>
      <c r="AM1881" s="44"/>
      <c r="AN1881" s="44"/>
      <c r="AO1881" s="44"/>
      <c r="AP1881" s="44"/>
      <c r="AQ1881" s="44"/>
      <c r="BA1881" s="5"/>
      <c r="BB1881" s="5"/>
      <c r="BC1881" s="5"/>
      <c r="BD1881" s="5"/>
      <c r="BE1881" s="63"/>
      <c r="BF1881" s="63"/>
      <c r="BG1881" s="63"/>
      <c r="BK1881" s="317"/>
      <c r="BL1881" s="5"/>
      <c r="BM1881" s="5"/>
      <c r="BN1881" s="5"/>
      <c r="BO1881" s="5"/>
      <c r="BP1881" s="5"/>
      <c r="BQ1881" s="5"/>
      <c r="BR1881" s="5"/>
      <c r="BS1881" s="5"/>
      <c r="BT1881" s="5"/>
      <c r="BV1881" s="317"/>
      <c r="CF1881" s="5"/>
      <c r="CG1881" s="53"/>
      <c r="CH1881" s="53"/>
      <c r="CI1881" s="53"/>
      <c r="CJ1881" s="53"/>
      <c r="CK1881" s="53"/>
      <c r="CL1881" s="53"/>
      <c r="CN1881" s="53"/>
      <c r="CO1881" s="53"/>
      <c r="CP1881" s="53"/>
      <c r="CQ1881" s="53"/>
      <c r="CR1881" s="53"/>
      <c r="CS1881" s="53"/>
    </row>
    <row r="1882" spans="1:103" ht="10.25" customHeight="1">
      <c r="A1882" s="216"/>
      <c r="B1882" s="217"/>
      <c r="C1882" s="218"/>
      <c r="D1882" s="219"/>
      <c r="E1882" s="217"/>
      <c r="F1882" s="217"/>
      <c r="G1882" s="217"/>
      <c r="H1882" s="220"/>
      <c r="I1882" s="217"/>
      <c r="J1882" s="217"/>
      <c r="K1882" s="217"/>
      <c r="L1882" s="217"/>
      <c r="M1882" s="217"/>
      <c r="N1882" s="217"/>
      <c r="O1882" s="44"/>
      <c r="P1882" s="44"/>
      <c r="Q1882" s="44"/>
      <c r="R1882" s="44"/>
      <c r="S1882" s="44"/>
      <c r="T1882" s="44"/>
      <c r="U1882" s="44"/>
      <c r="V1882" s="44"/>
      <c r="W1882" s="44"/>
      <c r="X1882" s="44"/>
      <c r="Y1882" s="44"/>
      <c r="Z1882" s="44"/>
      <c r="AA1882" s="44"/>
      <c r="AB1882" s="44"/>
      <c r="AC1882" s="44"/>
      <c r="AD1882" s="44"/>
      <c r="AE1882" s="44"/>
      <c r="AF1882" s="44"/>
      <c r="AG1882" s="44"/>
      <c r="AH1882" s="44"/>
      <c r="AI1882" s="44"/>
      <c r="AJ1882" s="44"/>
      <c r="AK1882" s="44"/>
      <c r="AL1882" s="44"/>
      <c r="AM1882" s="44"/>
      <c r="AN1882" s="44"/>
      <c r="AO1882" s="44"/>
      <c r="AP1882" s="44"/>
      <c r="AQ1882" s="44"/>
      <c r="BA1882" s="5"/>
      <c r="BB1882" s="5"/>
      <c r="BC1882" s="5"/>
      <c r="BD1882" s="5"/>
      <c r="BE1882" s="63"/>
      <c r="BF1882" s="63"/>
      <c r="BG1882" s="63"/>
      <c r="BK1882" s="317"/>
      <c r="BL1882" s="5"/>
      <c r="BM1882" s="5"/>
      <c r="BN1882" s="5"/>
      <c r="BO1882" s="5"/>
      <c r="BP1882" s="5"/>
      <c r="BQ1882" s="5"/>
      <c r="BR1882" s="5"/>
      <c r="BS1882" s="5"/>
      <c r="BT1882" s="5"/>
      <c r="BV1882" s="317"/>
      <c r="CF1882" s="5"/>
      <c r="CG1882" s="53"/>
      <c r="CH1882" s="53"/>
      <c r="CI1882" s="53"/>
      <c r="CJ1882" s="53"/>
      <c r="CK1882" s="53"/>
      <c r="CL1882" s="53"/>
      <c r="CN1882" s="53"/>
      <c r="CO1882" s="53"/>
      <c r="CP1882" s="53"/>
      <c r="CQ1882" s="53"/>
      <c r="CR1882" s="53"/>
      <c r="CS1882" s="53"/>
    </row>
    <row r="1883" spans="1:103" ht="10.25" customHeight="1">
      <c r="A1883" s="216"/>
      <c r="B1883" s="217"/>
      <c r="C1883" s="218"/>
      <c r="D1883" s="219"/>
      <c r="E1883" s="217"/>
      <c r="F1883" s="217"/>
      <c r="G1883" s="217"/>
      <c r="H1883" s="220"/>
      <c r="I1883" s="217"/>
      <c r="J1883" s="217"/>
      <c r="K1883" s="217"/>
      <c r="L1883" s="217"/>
      <c r="M1883" s="217"/>
      <c r="N1883" s="217"/>
      <c r="O1883" s="44"/>
      <c r="P1883" s="44"/>
      <c r="Q1883" s="44"/>
      <c r="R1883" s="44"/>
      <c r="S1883" s="44"/>
      <c r="T1883" s="44"/>
      <c r="U1883" s="44"/>
      <c r="V1883" s="44"/>
      <c r="W1883" s="44"/>
      <c r="X1883" s="44"/>
      <c r="Y1883" s="44"/>
      <c r="Z1883" s="44"/>
      <c r="AA1883" s="44"/>
      <c r="AB1883" s="44"/>
      <c r="AC1883" s="44"/>
      <c r="AD1883" s="44"/>
      <c r="AE1883" s="44"/>
      <c r="AF1883" s="44"/>
      <c r="AG1883" s="44"/>
      <c r="AH1883" s="44"/>
      <c r="AI1883" s="44"/>
      <c r="AJ1883" s="44"/>
      <c r="AK1883" s="44"/>
      <c r="AL1883" s="44"/>
      <c r="AM1883" s="44"/>
      <c r="AN1883" s="44"/>
      <c r="AO1883" s="44"/>
      <c r="AP1883" s="44"/>
      <c r="AQ1883" s="44"/>
      <c r="BA1883" s="5"/>
      <c r="BB1883" s="5"/>
      <c r="BC1883" s="5"/>
      <c r="BD1883" s="5"/>
      <c r="BE1883" s="63"/>
      <c r="BF1883" s="63"/>
      <c r="BG1883" s="63"/>
      <c r="BK1883" s="317"/>
      <c r="BL1883" s="5"/>
      <c r="BM1883" s="5"/>
      <c r="BN1883" s="5"/>
      <c r="BO1883" s="5"/>
      <c r="BP1883" s="5"/>
      <c r="BQ1883" s="5"/>
      <c r="BR1883" s="5"/>
      <c r="BS1883" s="5"/>
      <c r="BT1883" s="5"/>
      <c r="BV1883" s="317"/>
      <c r="CF1883" s="5"/>
      <c r="CG1883" s="53"/>
      <c r="CH1883" s="53"/>
      <c r="CI1883" s="53"/>
      <c r="CJ1883" s="53"/>
      <c r="CK1883" s="53"/>
      <c r="CL1883" s="53"/>
      <c r="CN1883" s="53"/>
      <c r="CO1883" s="53"/>
      <c r="CP1883" s="53"/>
      <c r="CQ1883" s="53"/>
      <c r="CR1883" s="53"/>
      <c r="CS1883" s="53"/>
    </row>
    <row r="1884" spans="1:103" ht="10.25" customHeight="1">
      <c r="A1884" s="216"/>
      <c r="B1884" s="217"/>
      <c r="C1884" s="218"/>
      <c r="D1884" s="219"/>
      <c r="E1884" s="217"/>
      <c r="F1884" s="217"/>
      <c r="G1884" s="217"/>
      <c r="H1884" s="220"/>
      <c r="I1884" s="217"/>
      <c r="J1884" s="217"/>
      <c r="K1884" s="217"/>
      <c r="L1884" s="217"/>
      <c r="M1884" s="217"/>
      <c r="N1884" s="217"/>
      <c r="O1884" s="44"/>
      <c r="P1884" s="44"/>
      <c r="Q1884" s="44"/>
      <c r="R1884" s="44"/>
      <c r="S1884" s="44"/>
      <c r="T1884" s="44"/>
      <c r="U1884" s="44"/>
      <c r="V1884" s="44"/>
      <c r="W1884" s="44"/>
      <c r="X1884" s="44"/>
      <c r="Y1884" s="44"/>
      <c r="Z1884" s="44"/>
      <c r="AA1884" s="44"/>
      <c r="AB1884" s="44"/>
      <c r="AC1884" s="44"/>
      <c r="AD1884" s="44"/>
      <c r="AE1884" s="44"/>
      <c r="AF1884" s="44"/>
      <c r="AG1884" s="44"/>
      <c r="AH1884" s="44"/>
      <c r="AI1884" s="44"/>
      <c r="AJ1884" s="44"/>
      <c r="AK1884" s="44"/>
      <c r="AL1884" s="44"/>
      <c r="AM1884" s="44"/>
      <c r="AN1884" s="44"/>
      <c r="AO1884" s="44"/>
      <c r="AP1884" s="44"/>
      <c r="AQ1884" s="44"/>
      <c r="BA1884" s="5"/>
      <c r="BB1884" s="5"/>
      <c r="BC1884" s="5"/>
      <c r="BD1884" s="5"/>
      <c r="BE1884" s="63"/>
      <c r="BF1884" s="63"/>
      <c r="BG1884" s="63"/>
      <c r="BK1884" s="317"/>
      <c r="BL1884" s="5"/>
      <c r="BM1884" s="5"/>
      <c r="BN1884" s="5"/>
      <c r="BO1884" s="5"/>
      <c r="BP1884" s="5"/>
      <c r="BQ1884" s="5"/>
      <c r="BR1884" s="5"/>
      <c r="BS1884" s="5"/>
      <c r="BT1884" s="5"/>
      <c r="BV1884" s="317"/>
      <c r="CF1884" s="5"/>
      <c r="CG1884" s="53"/>
      <c r="CH1884" s="53"/>
      <c r="CI1884" s="53"/>
      <c r="CJ1884" s="53"/>
      <c r="CK1884" s="53"/>
      <c r="CL1884" s="53"/>
      <c r="CN1884" s="53"/>
      <c r="CO1884" s="53"/>
      <c r="CP1884" s="53"/>
      <c r="CQ1884" s="53"/>
      <c r="CR1884" s="53"/>
      <c r="CS1884" s="53"/>
    </row>
    <row r="1885" spans="1:103" ht="10.25" customHeight="1">
      <c r="A1885" s="216"/>
      <c r="B1885" s="217"/>
      <c r="C1885" s="218"/>
      <c r="D1885" s="219"/>
      <c r="E1885" s="217"/>
      <c r="F1885" s="217"/>
      <c r="G1885" s="217"/>
      <c r="H1885" s="220"/>
      <c r="I1885" s="217"/>
      <c r="J1885" s="217"/>
      <c r="K1885" s="217"/>
      <c r="L1885" s="217"/>
      <c r="M1885" s="217"/>
      <c r="N1885" s="217"/>
      <c r="O1885" s="44"/>
      <c r="P1885" s="44"/>
      <c r="Q1885" s="44"/>
      <c r="R1885" s="44"/>
      <c r="S1885" s="44"/>
      <c r="T1885" s="44"/>
      <c r="U1885" s="44"/>
      <c r="V1885" s="44"/>
      <c r="W1885" s="44"/>
      <c r="X1885" s="44"/>
      <c r="Y1885" s="44"/>
      <c r="Z1885" s="44"/>
      <c r="AA1885" s="44"/>
      <c r="AB1885" s="44"/>
      <c r="AC1885" s="44"/>
      <c r="AD1885" s="44"/>
      <c r="AE1885" s="44"/>
      <c r="AF1885" s="44"/>
      <c r="AG1885" s="44"/>
      <c r="AH1885" s="44"/>
      <c r="AI1885" s="44"/>
      <c r="AJ1885" s="44"/>
      <c r="AK1885" s="44"/>
      <c r="AL1885" s="44"/>
      <c r="AM1885" s="44"/>
      <c r="AN1885" s="44"/>
      <c r="AO1885" s="44"/>
      <c r="AP1885" s="44"/>
      <c r="AQ1885" s="44"/>
      <c r="AW1885" s="63"/>
      <c r="AX1885" s="63"/>
      <c r="AY1885" s="63"/>
      <c r="AZ1885" s="63"/>
      <c r="BA1885" s="5"/>
      <c r="BB1885" s="5"/>
      <c r="BC1885" s="5"/>
      <c r="BD1885" s="5"/>
      <c r="BE1885" s="63"/>
      <c r="BF1885" s="63"/>
      <c r="BG1885" s="63"/>
      <c r="BV1885" s="317"/>
      <c r="CF1885" s="5"/>
      <c r="CG1885" s="53"/>
      <c r="CH1885" s="53"/>
      <c r="CI1885" s="53"/>
      <c r="CJ1885" s="53"/>
      <c r="CK1885" s="53"/>
      <c r="CL1885" s="53"/>
      <c r="CN1885" s="53"/>
      <c r="CO1885" s="53"/>
      <c r="CP1885" s="53"/>
      <c r="CQ1885" s="53"/>
      <c r="CR1885" s="53"/>
      <c r="CS1885" s="53"/>
    </row>
    <row r="1886" spans="1:103" ht="10.25" customHeight="1">
      <c r="A1886" s="216"/>
      <c r="B1886" s="217"/>
      <c r="C1886" s="218"/>
      <c r="D1886" s="219"/>
      <c r="E1886" s="217"/>
      <c r="F1886" s="217"/>
      <c r="G1886" s="217"/>
      <c r="H1886" s="220"/>
      <c r="I1886" s="217"/>
      <c r="J1886" s="217"/>
      <c r="K1886" s="217"/>
      <c r="L1886" s="217"/>
      <c r="M1886" s="217"/>
      <c r="N1886" s="217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W1886" s="63"/>
      <c r="AX1886" s="63"/>
      <c r="AY1886" s="63"/>
      <c r="AZ1886" s="63"/>
      <c r="BA1886" s="5"/>
      <c r="BB1886" s="5"/>
      <c r="BC1886" s="5"/>
      <c r="BD1886" s="5"/>
      <c r="BE1886" s="63"/>
      <c r="BF1886" s="63"/>
      <c r="BG1886" s="63"/>
      <c r="BV1886" s="317"/>
      <c r="CF1886" s="5"/>
      <c r="CG1886" s="53"/>
      <c r="CH1886" s="53"/>
      <c r="CI1886" s="53"/>
      <c r="CJ1886" s="53"/>
      <c r="CK1886" s="53"/>
      <c r="CL1886" s="53"/>
      <c r="CN1886" s="53"/>
      <c r="CO1886" s="53"/>
      <c r="CP1886" s="53"/>
      <c r="CQ1886" s="53"/>
      <c r="CR1886" s="53"/>
      <c r="CS1886" s="53"/>
    </row>
    <row r="1887" spans="1:103" ht="10.25" customHeight="1">
      <c r="A1887" s="216"/>
      <c r="B1887" s="217"/>
      <c r="C1887" s="218"/>
      <c r="D1887" s="219"/>
      <c r="E1887" s="217"/>
      <c r="F1887" s="217"/>
      <c r="G1887" s="217"/>
      <c r="H1887" s="220"/>
      <c r="I1887" s="217"/>
      <c r="J1887" s="217"/>
      <c r="K1887" s="217"/>
      <c r="L1887" s="217"/>
      <c r="M1887" s="217"/>
      <c r="N1887" s="217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W1887" s="63"/>
      <c r="AX1887" s="63"/>
      <c r="AY1887" s="63"/>
      <c r="AZ1887" s="63"/>
      <c r="BA1887" s="5"/>
      <c r="BB1887" s="5"/>
      <c r="BC1887" s="5"/>
      <c r="BD1887" s="5"/>
      <c r="BE1887" s="63"/>
      <c r="BF1887" s="63"/>
      <c r="BG1887" s="63"/>
      <c r="BV1887" s="317"/>
      <c r="CF1887" s="5"/>
      <c r="CG1887" s="53"/>
      <c r="CH1887" s="53"/>
      <c r="CI1887" s="53"/>
      <c r="CJ1887" s="53"/>
      <c r="CK1887" s="53"/>
      <c r="CL1887" s="53"/>
      <c r="CN1887" s="53"/>
      <c r="CO1887" s="53"/>
      <c r="CP1887" s="53"/>
      <c r="CQ1887" s="53"/>
      <c r="CR1887" s="53"/>
      <c r="CS1887" s="53"/>
      <c r="CT1887" s="5"/>
      <c r="CU1887" s="5"/>
      <c r="CV1887" s="5"/>
      <c r="CW1887" s="5"/>
      <c r="CX1887" s="5"/>
      <c r="CY1887" s="5"/>
    </row>
    <row r="1888" spans="1:103" ht="10.25" customHeight="1">
      <c r="A1888" s="216"/>
      <c r="B1888" s="217"/>
      <c r="C1888" s="218"/>
      <c r="D1888" s="219"/>
      <c r="E1888" s="217"/>
      <c r="F1888" s="217"/>
      <c r="G1888" s="217"/>
      <c r="H1888" s="220"/>
      <c r="I1888" s="217"/>
      <c r="J1888" s="217"/>
      <c r="K1888" s="217"/>
      <c r="L1888" s="217"/>
      <c r="M1888" s="217"/>
      <c r="N1888" s="217"/>
      <c r="O1888" s="44"/>
      <c r="P1888" s="44"/>
      <c r="Q1888" s="44"/>
      <c r="R1888" s="44"/>
      <c r="S1888" s="44"/>
      <c r="T1888" s="44"/>
      <c r="U1888" s="44"/>
      <c r="V1888" s="44"/>
      <c r="W1888" s="44"/>
      <c r="X1888" s="44"/>
      <c r="Y1888" s="44"/>
      <c r="Z1888" s="44"/>
      <c r="AA1888" s="44"/>
      <c r="AB1888" s="44"/>
      <c r="AC1888" s="44"/>
      <c r="AD1888" s="44"/>
      <c r="AE1888" s="44"/>
      <c r="AF1888" s="44"/>
      <c r="AG1888" s="44"/>
      <c r="AH1888" s="44"/>
      <c r="AI1888" s="44"/>
      <c r="AJ1888" s="44"/>
      <c r="AK1888" s="44"/>
      <c r="AL1888" s="44"/>
      <c r="AM1888" s="44"/>
      <c r="AN1888" s="44"/>
      <c r="AO1888" s="44"/>
      <c r="AP1888" s="44"/>
      <c r="AQ1888" s="44"/>
      <c r="AW1888" s="63"/>
      <c r="AX1888" s="63"/>
      <c r="AY1888" s="63"/>
      <c r="AZ1888" s="63"/>
      <c r="BA1888" s="5"/>
      <c r="BB1888" s="5"/>
      <c r="BC1888" s="5"/>
      <c r="BD1888" s="5"/>
      <c r="BE1888" s="63"/>
      <c r="BF1888" s="63"/>
      <c r="BG1888" s="63"/>
      <c r="BV1888" s="317"/>
      <c r="CF1888" s="5"/>
      <c r="CG1888" s="53"/>
      <c r="CH1888" s="53"/>
      <c r="CI1888" s="53"/>
      <c r="CJ1888" s="53"/>
      <c r="CK1888" s="53"/>
      <c r="CL1888" s="53"/>
      <c r="CN1888" s="53"/>
      <c r="CO1888" s="53"/>
      <c r="CP1888" s="53"/>
      <c r="CQ1888" s="53"/>
      <c r="CR1888" s="53"/>
      <c r="CS1888" s="53"/>
      <c r="CT1888" s="5"/>
      <c r="CU1888" s="5"/>
      <c r="CV1888" s="5"/>
      <c r="CW1888" s="5"/>
      <c r="CX1888" s="5"/>
      <c r="CY1888" s="5"/>
    </row>
    <row r="1889" spans="1:103" ht="10.25" customHeight="1">
      <c r="A1889" s="216"/>
      <c r="B1889" s="217"/>
      <c r="C1889" s="218"/>
      <c r="D1889" s="219"/>
      <c r="E1889" s="217"/>
      <c r="F1889" s="217"/>
      <c r="G1889" s="217"/>
      <c r="H1889" s="220"/>
      <c r="I1889" s="217"/>
      <c r="J1889" s="217"/>
      <c r="K1889" s="217"/>
      <c r="L1889" s="217"/>
      <c r="M1889" s="217"/>
      <c r="N1889" s="217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44"/>
      <c r="AL1889" s="44"/>
      <c r="AM1889" s="44"/>
      <c r="AN1889" s="44"/>
      <c r="AO1889" s="44"/>
      <c r="AP1889" s="44"/>
      <c r="AQ1889" s="44"/>
      <c r="AW1889" s="63"/>
      <c r="AX1889" s="63"/>
      <c r="AY1889" s="63"/>
      <c r="AZ1889" s="63"/>
      <c r="BA1889" s="5"/>
      <c r="BB1889" s="5"/>
      <c r="BC1889" s="5"/>
      <c r="BD1889" s="5"/>
      <c r="BE1889" s="63"/>
      <c r="BF1889" s="63"/>
      <c r="BG1889" s="63"/>
      <c r="BV1889" s="317"/>
      <c r="CF1889" s="5"/>
      <c r="CG1889" s="53"/>
      <c r="CH1889" s="53"/>
      <c r="CI1889" s="53"/>
      <c r="CJ1889" s="53"/>
      <c r="CK1889" s="53"/>
      <c r="CL1889" s="53"/>
      <c r="CN1889" s="53"/>
      <c r="CO1889" s="53"/>
      <c r="CP1889" s="53"/>
      <c r="CQ1889" s="53"/>
      <c r="CR1889" s="53"/>
      <c r="CS1889" s="53"/>
      <c r="CT1889" s="5"/>
      <c r="CU1889" s="5"/>
      <c r="CV1889" s="5"/>
      <c r="CW1889" s="5"/>
      <c r="CX1889" s="5"/>
      <c r="CY1889" s="5"/>
    </row>
    <row r="1890" spans="1:103" ht="10.25" customHeight="1">
      <c r="A1890" s="216"/>
      <c r="B1890" s="217"/>
      <c r="C1890" s="218"/>
      <c r="D1890" s="219"/>
      <c r="E1890" s="217"/>
      <c r="F1890" s="217"/>
      <c r="G1890" s="217"/>
      <c r="H1890" s="220"/>
      <c r="I1890" s="217"/>
      <c r="J1890" s="217"/>
      <c r="K1890" s="217"/>
      <c r="L1890" s="217"/>
      <c r="M1890" s="217"/>
      <c r="N1890" s="217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BA1890" s="5"/>
      <c r="BB1890" s="5"/>
      <c r="BC1890" s="5"/>
      <c r="BD1890" s="5"/>
      <c r="BE1890" s="63"/>
      <c r="BF1890" s="63"/>
      <c r="BG1890" s="63"/>
      <c r="BV1890" s="317"/>
      <c r="CF1890" s="5"/>
      <c r="CG1890" s="53"/>
      <c r="CH1890" s="53"/>
      <c r="CI1890" s="53"/>
      <c r="CJ1890" s="53"/>
      <c r="CK1890" s="53"/>
      <c r="CL1890" s="53"/>
      <c r="CN1890" s="53"/>
      <c r="CO1890" s="53"/>
      <c r="CP1890" s="53"/>
      <c r="CQ1890" s="53"/>
      <c r="CR1890" s="53"/>
      <c r="CS1890" s="53"/>
      <c r="CT1890" s="5"/>
      <c r="CU1890" s="5"/>
      <c r="CV1890" s="5"/>
      <c r="CW1890" s="5"/>
      <c r="CX1890" s="5"/>
      <c r="CY1890" s="5"/>
    </row>
    <row r="1891" spans="1:103" ht="10.25" customHeight="1">
      <c r="A1891" s="216"/>
      <c r="B1891" s="217"/>
      <c r="C1891" s="218"/>
      <c r="D1891" s="219"/>
      <c r="E1891" s="217"/>
      <c r="F1891" s="217"/>
      <c r="G1891" s="217"/>
      <c r="H1891" s="220"/>
      <c r="I1891" s="217"/>
      <c r="J1891" s="217"/>
      <c r="K1891" s="217"/>
      <c r="L1891" s="217"/>
      <c r="M1891" s="217"/>
      <c r="N1891" s="217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BA1891" s="5"/>
      <c r="BB1891" s="5"/>
      <c r="BC1891" s="5"/>
      <c r="BD1891" s="5"/>
      <c r="BE1891" s="63"/>
      <c r="BF1891" s="63"/>
      <c r="BG1891" s="63"/>
      <c r="BV1891" s="317"/>
      <c r="CF1891" s="5"/>
      <c r="CG1891" s="53"/>
      <c r="CH1891" s="53"/>
      <c r="CI1891" s="53"/>
      <c r="CJ1891" s="53"/>
      <c r="CK1891" s="53"/>
      <c r="CL1891" s="53"/>
      <c r="CN1891" s="53"/>
      <c r="CO1891" s="53"/>
      <c r="CP1891" s="53"/>
      <c r="CQ1891" s="53"/>
      <c r="CR1891" s="53"/>
      <c r="CS1891" s="53"/>
      <c r="CT1891" s="5"/>
      <c r="CU1891" s="5"/>
      <c r="CV1891" s="5"/>
      <c r="CW1891" s="5"/>
      <c r="CX1891" s="5"/>
      <c r="CY1891" s="5"/>
    </row>
    <row r="1892" spans="1:103" ht="10.25" customHeight="1">
      <c r="A1892" s="216"/>
      <c r="B1892" s="217"/>
      <c r="C1892" s="218"/>
      <c r="D1892" s="219"/>
      <c r="E1892" s="217"/>
      <c r="F1892" s="217"/>
      <c r="G1892" s="217"/>
      <c r="H1892" s="220"/>
      <c r="I1892" s="217"/>
      <c r="J1892" s="217"/>
      <c r="K1892" s="217"/>
      <c r="L1892" s="217"/>
      <c r="M1892" s="217"/>
      <c r="N1892" s="217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BA1892" s="5"/>
      <c r="BB1892" s="5"/>
      <c r="BC1892" s="5"/>
      <c r="BD1892" s="5"/>
      <c r="BE1892" s="63"/>
      <c r="BF1892" s="63"/>
      <c r="BG1892" s="63"/>
      <c r="CA1892" s="317"/>
      <c r="CF1892" s="5"/>
      <c r="CG1892" s="53"/>
      <c r="CH1892" s="53"/>
      <c r="CI1892" s="53"/>
      <c r="CJ1892" s="53"/>
      <c r="CK1892" s="53"/>
      <c r="CL1892" s="53"/>
      <c r="CN1892" s="53"/>
      <c r="CO1892" s="53"/>
      <c r="CP1892" s="53"/>
      <c r="CQ1892" s="53"/>
      <c r="CR1892" s="53"/>
      <c r="CS1892" s="53"/>
      <c r="CT1892" s="5"/>
      <c r="CU1892" s="5"/>
      <c r="CV1892" s="5"/>
      <c r="CW1892" s="5"/>
      <c r="CX1892" s="5"/>
      <c r="CY1892" s="5"/>
    </row>
    <row r="1893" spans="1:103" ht="10.25" customHeight="1">
      <c r="A1893" s="216"/>
      <c r="B1893" s="217"/>
      <c r="C1893" s="218"/>
      <c r="D1893" s="219"/>
      <c r="E1893" s="217"/>
      <c r="F1893" s="217"/>
      <c r="G1893" s="217"/>
      <c r="H1893" s="220"/>
      <c r="I1893" s="217"/>
      <c r="J1893" s="217"/>
      <c r="K1893" s="217"/>
      <c r="L1893" s="217"/>
      <c r="M1893" s="217"/>
      <c r="N1893" s="217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BA1893" s="5"/>
      <c r="BB1893" s="5"/>
      <c r="BC1893" s="5"/>
      <c r="BD1893" s="5"/>
      <c r="BE1893" s="63"/>
      <c r="BF1893" s="63"/>
      <c r="BG1893" s="63"/>
      <c r="CA1893" s="317"/>
      <c r="CF1893" s="5"/>
      <c r="CG1893" s="53"/>
      <c r="CH1893" s="53"/>
      <c r="CI1893" s="53"/>
      <c r="CJ1893" s="53"/>
      <c r="CK1893" s="53"/>
      <c r="CL1893" s="53"/>
      <c r="CN1893" s="53"/>
      <c r="CO1893" s="53"/>
      <c r="CP1893" s="53"/>
      <c r="CQ1893" s="53"/>
      <c r="CR1893" s="53"/>
      <c r="CS1893" s="53"/>
      <c r="CT1893" s="5"/>
      <c r="CU1893" s="5"/>
      <c r="CV1893" s="5"/>
      <c r="CW1893" s="5"/>
      <c r="CX1893" s="5"/>
      <c r="CY1893" s="5"/>
    </row>
    <row r="1894" spans="1:103" ht="10.25" customHeight="1">
      <c r="A1894" s="216"/>
      <c r="B1894" s="217"/>
      <c r="C1894" s="218"/>
      <c r="D1894" s="219"/>
      <c r="E1894" s="217"/>
      <c r="F1894" s="217"/>
      <c r="G1894" s="217"/>
      <c r="H1894" s="220"/>
      <c r="I1894" s="217"/>
      <c r="J1894" s="217"/>
      <c r="K1894" s="217"/>
      <c r="L1894" s="217"/>
      <c r="M1894" s="217"/>
      <c r="N1894" s="217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BA1894" s="5"/>
      <c r="BB1894" s="5"/>
      <c r="BC1894" s="5"/>
      <c r="BD1894" s="5"/>
      <c r="BE1894" s="63"/>
      <c r="BF1894" s="63"/>
      <c r="BG1894" s="63"/>
      <c r="CA1894" s="317"/>
      <c r="CF1894" s="5"/>
      <c r="CG1894" s="53"/>
      <c r="CH1894" s="53"/>
      <c r="CI1894" s="53"/>
      <c r="CJ1894" s="53"/>
      <c r="CK1894" s="53"/>
      <c r="CL1894" s="53"/>
      <c r="CN1894" s="53"/>
      <c r="CO1894" s="53"/>
      <c r="CP1894" s="53"/>
      <c r="CQ1894" s="53"/>
      <c r="CR1894" s="53"/>
      <c r="CS1894" s="53"/>
      <c r="CT1894" s="5"/>
      <c r="CU1894" s="5"/>
      <c r="CV1894" s="5"/>
      <c r="CW1894" s="5"/>
      <c r="CX1894" s="5"/>
      <c r="CY1894" s="5"/>
    </row>
    <row r="1895" spans="1:103" ht="10.25" customHeight="1">
      <c r="A1895" s="216"/>
      <c r="B1895" s="217"/>
      <c r="C1895" s="218"/>
      <c r="D1895" s="219"/>
      <c r="E1895" s="217"/>
      <c r="F1895" s="217"/>
      <c r="G1895" s="217"/>
      <c r="H1895" s="220"/>
      <c r="I1895" s="217"/>
      <c r="J1895" s="217"/>
      <c r="K1895" s="217"/>
      <c r="L1895" s="217"/>
      <c r="M1895" s="217"/>
      <c r="N1895" s="217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BA1895" s="5"/>
      <c r="BB1895" s="5"/>
      <c r="BC1895" s="5"/>
      <c r="BD1895" s="5"/>
      <c r="BE1895" s="63"/>
      <c r="BF1895" s="63"/>
      <c r="BG1895" s="63"/>
      <c r="CA1895" s="317"/>
      <c r="CF1895" s="5"/>
      <c r="CG1895" s="53"/>
      <c r="CH1895" s="53"/>
      <c r="CI1895" s="53"/>
      <c r="CJ1895" s="53"/>
      <c r="CK1895" s="53"/>
      <c r="CL1895" s="53"/>
      <c r="CN1895" s="53"/>
      <c r="CO1895" s="53"/>
      <c r="CP1895" s="53"/>
      <c r="CQ1895" s="53"/>
      <c r="CR1895" s="53"/>
      <c r="CS1895" s="53"/>
      <c r="CT1895" s="5"/>
      <c r="CU1895" s="5"/>
      <c r="CV1895" s="5"/>
      <c r="CW1895" s="5"/>
      <c r="CX1895" s="5"/>
      <c r="CY1895" s="5"/>
    </row>
    <row r="1896" spans="1:103" ht="10.25" customHeight="1">
      <c r="A1896" s="216"/>
      <c r="B1896" s="217"/>
      <c r="C1896" s="218"/>
      <c r="D1896" s="219"/>
      <c r="E1896" s="217"/>
      <c r="F1896" s="217"/>
      <c r="G1896" s="217"/>
      <c r="H1896" s="220"/>
      <c r="I1896" s="217"/>
      <c r="J1896" s="217"/>
      <c r="K1896" s="217"/>
      <c r="L1896" s="217"/>
      <c r="M1896" s="217"/>
      <c r="N1896" s="217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BA1896" s="5"/>
      <c r="BB1896" s="5"/>
      <c r="BC1896" s="5"/>
      <c r="BD1896" s="5"/>
      <c r="BE1896" s="63"/>
      <c r="BF1896" s="63"/>
      <c r="BG1896" s="63"/>
      <c r="CA1896" s="317"/>
      <c r="CF1896" s="5"/>
      <c r="CG1896" s="53"/>
      <c r="CH1896" s="53"/>
      <c r="CI1896" s="53"/>
      <c r="CJ1896" s="53"/>
      <c r="CK1896" s="53"/>
      <c r="CL1896" s="53"/>
      <c r="CN1896" s="53"/>
      <c r="CO1896" s="53"/>
      <c r="CP1896" s="53"/>
      <c r="CQ1896" s="53"/>
      <c r="CR1896" s="53"/>
      <c r="CS1896" s="53"/>
      <c r="CT1896" s="5"/>
      <c r="CU1896" s="5"/>
      <c r="CV1896" s="5"/>
      <c r="CW1896" s="5"/>
      <c r="CX1896" s="5"/>
      <c r="CY1896" s="5"/>
    </row>
    <row r="1897" spans="1:103" ht="10.25" customHeight="1">
      <c r="A1897" s="216"/>
      <c r="B1897" s="217"/>
      <c r="C1897" s="218"/>
      <c r="D1897" s="219"/>
      <c r="E1897" s="217"/>
      <c r="F1897" s="217"/>
      <c r="G1897" s="217"/>
      <c r="H1897" s="220"/>
      <c r="I1897" s="217"/>
      <c r="J1897" s="217"/>
      <c r="K1897" s="217"/>
      <c r="L1897" s="217"/>
      <c r="M1897" s="217"/>
      <c r="N1897" s="217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BA1897" s="5"/>
      <c r="BB1897" s="5"/>
      <c r="BC1897" s="5"/>
      <c r="BD1897" s="5"/>
      <c r="BE1897" s="63"/>
      <c r="BF1897" s="63"/>
      <c r="BG1897" s="63"/>
      <c r="CA1897" s="317"/>
      <c r="CF1897" s="5"/>
      <c r="CG1897" s="53"/>
      <c r="CH1897" s="53"/>
      <c r="CI1897" s="53"/>
      <c r="CJ1897" s="53"/>
      <c r="CK1897" s="53"/>
      <c r="CL1897" s="53"/>
      <c r="CN1897" s="53"/>
      <c r="CO1897" s="53"/>
      <c r="CP1897" s="53"/>
      <c r="CQ1897" s="53"/>
      <c r="CR1897" s="53"/>
      <c r="CS1897" s="53"/>
      <c r="CT1897" s="5"/>
      <c r="CU1897" s="5"/>
      <c r="CV1897" s="5"/>
      <c r="CW1897" s="5"/>
      <c r="CX1897" s="5"/>
      <c r="CY1897" s="5"/>
    </row>
    <row r="1898" spans="1:103" ht="10.25" customHeight="1">
      <c r="A1898" s="216"/>
      <c r="B1898" s="217"/>
      <c r="C1898" s="218"/>
      <c r="D1898" s="219"/>
      <c r="E1898" s="217"/>
      <c r="F1898" s="217"/>
      <c r="G1898" s="217"/>
      <c r="H1898" s="220"/>
      <c r="I1898" s="217"/>
      <c r="J1898" s="217"/>
      <c r="K1898" s="217"/>
      <c r="L1898" s="217"/>
      <c r="M1898" s="217"/>
      <c r="N1898" s="217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BA1898" s="5"/>
      <c r="BB1898" s="5"/>
      <c r="BC1898" s="5"/>
      <c r="BD1898" s="5"/>
      <c r="BE1898" s="63"/>
      <c r="BF1898" s="63"/>
      <c r="BG1898" s="63"/>
      <c r="CA1898" s="317"/>
      <c r="CF1898" s="5"/>
      <c r="CG1898" s="53"/>
      <c r="CH1898" s="53"/>
      <c r="CI1898" s="53"/>
      <c r="CJ1898" s="53"/>
      <c r="CK1898" s="53"/>
      <c r="CL1898" s="53"/>
      <c r="CN1898" s="53"/>
      <c r="CO1898" s="53"/>
      <c r="CP1898" s="53"/>
      <c r="CQ1898" s="53"/>
      <c r="CR1898" s="53"/>
      <c r="CS1898" s="53"/>
      <c r="CT1898" s="5"/>
      <c r="CU1898" s="5"/>
      <c r="CV1898" s="5"/>
      <c r="CW1898" s="5"/>
      <c r="CX1898" s="5"/>
      <c r="CY1898" s="5"/>
    </row>
    <row r="1899" spans="1:103" ht="10.25" customHeight="1">
      <c r="A1899" s="216"/>
      <c r="B1899" s="217"/>
      <c r="C1899" s="218"/>
      <c r="D1899" s="219"/>
      <c r="E1899" s="217"/>
      <c r="F1899" s="217"/>
      <c r="G1899" s="217"/>
      <c r="H1899" s="220"/>
      <c r="I1899" s="217"/>
      <c r="J1899" s="217"/>
      <c r="K1899" s="217"/>
      <c r="L1899" s="217"/>
      <c r="M1899" s="217"/>
      <c r="N1899" s="217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BA1899" s="5"/>
      <c r="BB1899" s="5"/>
      <c r="BC1899" s="5"/>
      <c r="BD1899" s="5"/>
      <c r="BE1899" s="63"/>
      <c r="BF1899" s="63"/>
      <c r="BG1899" s="63"/>
      <c r="CA1899" s="317"/>
      <c r="CF1899" s="5"/>
      <c r="CG1899" s="53"/>
      <c r="CH1899" s="53"/>
      <c r="CI1899" s="53"/>
      <c r="CJ1899" s="53"/>
      <c r="CK1899" s="53"/>
      <c r="CL1899" s="53"/>
      <c r="CN1899" s="53"/>
      <c r="CO1899" s="53"/>
      <c r="CP1899" s="53"/>
      <c r="CQ1899" s="53"/>
      <c r="CR1899" s="53"/>
      <c r="CS1899" s="53"/>
      <c r="CT1899" s="5"/>
      <c r="CU1899" s="5"/>
      <c r="CV1899" s="5"/>
      <c r="CW1899" s="5"/>
      <c r="CX1899" s="5"/>
      <c r="CY1899" s="5"/>
    </row>
    <row r="1900" spans="1:103" ht="10.25" customHeight="1">
      <c r="A1900" s="216"/>
      <c r="B1900" s="217"/>
      <c r="C1900" s="218"/>
      <c r="D1900" s="219"/>
      <c r="E1900" s="217"/>
      <c r="F1900" s="217"/>
      <c r="G1900" s="217"/>
      <c r="H1900" s="220"/>
      <c r="I1900" s="217"/>
      <c r="J1900" s="217"/>
      <c r="K1900" s="217"/>
      <c r="L1900" s="217"/>
      <c r="M1900" s="217"/>
      <c r="N1900" s="217"/>
      <c r="O1900" s="44"/>
      <c r="P1900" s="44"/>
      <c r="Q1900" s="44"/>
      <c r="R1900" s="44"/>
      <c r="S1900" s="44"/>
      <c r="T1900" s="44"/>
      <c r="U1900" s="44"/>
      <c r="V1900" s="44"/>
      <c r="W1900" s="44"/>
      <c r="X1900" s="44"/>
      <c r="Y1900" s="44"/>
      <c r="Z1900" s="44"/>
      <c r="AA1900" s="44"/>
      <c r="AB1900" s="44"/>
      <c r="AC1900" s="44"/>
      <c r="AD1900" s="44"/>
      <c r="AE1900" s="44"/>
      <c r="AF1900" s="44"/>
      <c r="AG1900" s="44"/>
      <c r="AH1900" s="44"/>
      <c r="AI1900" s="44"/>
      <c r="AJ1900" s="44"/>
      <c r="AK1900" s="44"/>
      <c r="AL1900" s="44"/>
      <c r="AM1900" s="44"/>
      <c r="AN1900" s="44"/>
      <c r="AO1900" s="44"/>
      <c r="AP1900" s="44"/>
      <c r="AQ1900" s="44"/>
      <c r="BA1900" s="5"/>
      <c r="BB1900" s="5"/>
      <c r="BC1900" s="5"/>
      <c r="BD1900" s="5"/>
      <c r="BE1900" s="63"/>
      <c r="BF1900" s="63"/>
      <c r="BG1900" s="63"/>
      <c r="CA1900" s="317"/>
      <c r="CF1900" s="5"/>
      <c r="CG1900" s="53"/>
      <c r="CH1900" s="53"/>
      <c r="CI1900" s="53"/>
      <c r="CJ1900" s="53"/>
      <c r="CK1900" s="53"/>
      <c r="CL1900" s="53"/>
      <c r="CN1900" s="53"/>
      <c r="CO1900" s="53"/>
      <c r="CP1900" s="53"/>
      <c r="CQ1900" s="53"/>
      <c r="CR1900" s="53"/>
      <c r="CS1900" s="53"/>
      <c r="CT1900" s="5"/>
      <c r="CU1900" s="5"/>
      <c r="CV1900" s="5"/>
      <c r="CW1900" s="5"/>
      <c r="CX1900" s="5"/>
      <c r="CY1900" s="5"/>
    </row>
    <row r="1901" spans="1:103" ht="10.25" customHeight="1">
      <c r="A1901" s="216"/>
      <c r="B1901" s="217"/>
      <c r="C1901" s="218"/>
      <c r="D1901" s="219"/>
      <c r="E1901" s="217"/>
      <c r="F1901" s="217"/>
      <c r="G1901" s="217"/>
      <c r="H1901" s="220"/>
      <c r="I1901" s="217"/>
      <c r="J1901" s="217"/>
      <c r="K1901" s="217"/>
      <c r="L1901" s="217"/>
      <c r="M1901" s="217"/>
      <c r="N1901" s="217"/>
      <c r="O1901" s="44"/>
      <c r="P1901" s="44"/>
      <c r="Q1901" s="44"/>
      <c r="R1901" s="44"/>
      <c r="S1901" s="44"/>
      <c r="T1901" s="44"/>
      <c r="U1901" s="44"/>
      <c r="V1901" s="44"/>
      <c r="W1901" s="44"/>
      <c r="X1901" s="44"/>
      <c r="Y1901" s="44"/>
      <c r="Z1901" s="44"/>
      <c r="AA1901" s="44"/>
      <c r="AB1901" s="44"/>
      <c r="AC1901" s="44"/>
      <c r="AD1901" s="44"/>
      <c r="AE1901" s="44"/>
      <c r="AF1901" s="44"/>
      <c r="AG1901" s="44"/>
      <c r="AH1901" s="44"/>
      <c r="AI1901" s="44"/>
      <c r="AJ1901" s="44"/>
      <c r="AK1901" s="44"/>
      <c r="AL1901" s="44"/>
      <c r="AM1901" s="44"/>
      <c r="AN1901" s="44"/>
      <c r="AO1901" s="44"/>
      <c r="AP1901" s="44"/>
      <c r="AQ1901" s="44"/>
      <c r="BA1901" s="5"/>
      <c r="BB1901" s="5"/>
      <c r="BC1901" s="5"/>
      <c r="BD1901" s="5"/>
      <c r="BE1901" s="63"/>
      <c r="BF1901" s="63"/>
      <c r="BG1901" s="63"/>
      <c r="CA1901" s="317"/>
      <c r="CF1901" s="5"/>
      <c r="CG1901" s="53"/>
      <c r="CH1901" s="53"/>
      <c r="CI1901" s="53"/>
      <c r="CJ1901" s="53"/>
      <c r="CK1901" s="53"/>
      <c r="CL1901" s="53"/>
      <c r="CN1901" s="53"/>
      <c r="CO1901" s="53"/>
      <c r="CP1901" s="53"/>
      <c r="CQ1901" s="53"/>
      <c r="CR1901" s="53"/>
      <c r="CS1901" s="53"/>
      <c r="CT1901" s="5"/>
      <c r="CU1901" s="5"/>
      <c r="CV1901" s="5"/>
      <c r="CW1901" s="5"/>
      <c r="CX1901" s="5"/>
      <c r="CY1901" s="5"/>
    </row>
    <row r="1902" spans="1:103" ht="10.25" customHeight="1">
      <c r="A1902" s="216"/>
      <c r="B1902" s="217"/>
      <c r="C1902" s="218"/>
      <c r="D1902" s="219"/>
      <c r="E1902" s="217"/>
      <c r="F1902" s="217"/>
      <c r="G1902" s="217"/>
      <c r="H1902" s="220"/>
      <c r="I1902" s="217"/>
      <c r="J1902" s="217"/>
      <c r="K1902" s="217"/>
      <c r="L1902" s="217"/>
      <c r="M1902" s="217"/>
      <c r="N1902" s="217"/>
      <c r="O1902" s="44"/>
      <c r="P1902" s="44"/>
      <c r="Q1902" s="44"/>
      <c r="R1902" s="44"/>
      <c r="S1902" s="44"/>
      <c r="T1902" s="44"/>
      <c r="U1902" s="44"/>
      <c r="V1902" s="44"/>
      <c r="W1902" s="44"/>
      <c r="X1902" s="44"/>
      <c r="Y1902" s="44"/>
      <c r="Z1902" s="44"/>
      <c r="AA1902" s="44"/>
      <c r="AB1902" s="44"/>
      <c r="AC1902" s="44"/>
      <c r="AD1902" s="44"/>
      <c r="AE1902" s="44"/>
      <c r="AF1902" s="44"/>
      <c r="AG1902" s="44"/>
      <c r="AH1902" s="44"/>
      <c r="AI1902" s="44"/>
      <c r="AJ1902" s="44"/>
      <c r="AK1902" s="44"/>
      <c r="AL1902" s="44"/>
      <c r="AM1902" s="44"/>
      <c r="AN1902" s="44"/>
      <c r="AO1902" s="44"/>
      <c r="AP1902" s="44"/>
      <c r="AQ1902" s="44"/>
      <c r="BA1902" s="5"/>
      <c r="BB1902" s="5"/>
      <c r="BC1902" s="5"/>
      <c r="BD1902" s="5"/>
      <c r="BE1902" s="63"/>
      <c r="BF1902" s="63"/>
      <c r="BG1902" s="63"/>
      <c r="CA1902" s="317"/>
      <c r="CF1902" s="5"/>
      <c r="CG1902" s="53"/>
      <c r="CH1902" s="53"/>
      <c r="CI1902" s="53"/>
      <c r="CJ1902" s="53"/>
      <c r="CK1902" s="53"/>
      <c r="CL1902" s="53"/>
      <c r="CN1902" s="53"/>
      <c r="CO1902" s="53"/>
      <c r="CP1902" s="53"/>
      <c r="CQ1902" s="53"/>
      <c r="CR1902" s="53"/>
      <c r="CS1902" s="53"/>
      <c r="CT1902" s="5"/>
      <c r="CU1902" s="5"/>
      <c r="CV1902" s="5"/>
      <c r="CW1902" s="5"/>
      <c r="CX1902" s="5"/>
      <c r="CY1902" s="5"/>
    </row>
    <row r="1903" spans="1:103" ht="10.25" customHeight="1">
      <c r="A1903" s="216"/>
      <c r="B1903" s="217"/>
      <c r="C1903" s="218"/>
      <c r="D1903" s="219"/>
      <c r="E1903" s="217"/>
      <c r="F1903" s="217"/>
      <c r="G1903" s="217"/>
      <c r="H1903" s="220"/>
      <c r="I1903" s="217"/>
      <c r="J1903" s="217"/>
      <c r="K1903" s="217"/>
      <c r="L1903" s="217"/>
      <c r="M1903" s="217"/>
      <c r="N1903" s="217"/>
      <c r="O1903" s="44"/>
      <c r="P1903" s="44"/>
      <c r="Q1903" s="44"/>
      <c r="R1903" s="44"/>
      <c r="S1903" s="44"/>
      <c r="T1903" s="44"/>
      <c r="U1903" s="44"/>
      <c r="V1903" s="44"/>
      <c r="W1903" s="44"/>
      <c r="X1903" s="44"/>
      <c r="Y1903" s="44"/>
      <c r="Z1903" s="44"/>
      <c r="AA1903" s="44"/>
      <c r="AB1903" s="44"/>
      <c r="AC1903" s="44"/>
      <c r="AD1903" s="44"/>
      <c r="AE1903" s="44"/>
      <c r="AF1903" s="44"/>
      <c r="AG1903" s="44"/>
      <c r="AH1903" s="44"/>
      <c r="AI1903" s="44"/>
      <c r="AJ1903" s="44"/>
      <c r="AK1903" s="44"/>
      <c r="AL1903" s="44"/>
      <c r="AM1903" s="44"/>
      <c r="AN1903" s="44"/>
      <c r="AO1903" s="44"/>
      <c r="AP1903" s="44"/>
      <c r="AQ1903" s="44"/>
      <c r="BA1903" s="5"/>
      <c r="BB1903" s="5"/>
      <c r="BC1903" s="5"/>
      <c r="BD1903" s="5"/>
      <c r="BE1903" s="63"/>
      <c r="BF1903" s="63"/>
      <c r="BG1903" s="63"/>
      <c r="CA1903" s="317"/>
      <c r="CF1903" s="5"/>
      <c r="CG1903" s="53"/>
      <c r="CH1903" s="53"/>
      <c r="CI1903" s="53"/>
      <c r="CJ1903" s="53"/>
      <c r="CK1903" s="53"/>
      <c r="CL1903" s="53"/>
      <c r="CN1903" s="53"/>
      <c r="CO1903" s="53"/>
      <c r="CP1903" s="53"/>
      <c r="CQ1903" s="53"/>
      <c r="CR1903" s="53"/>
      <c r="CS1903" s="53"/>
      <c r="CT1903" s="5"/>
      <c r="CU1903" s="5"/>
      <c r="CV1903" s="5"/>
      <c r="CW1903" s="5"/>
      <c r="CX1903" s="5"/>
      <c r="CY1903" s="5"/>
    </row>
    <row r="1904" spans="1:103" ht="10.25" customHeight="1">
      <c r="A1904" s="216"/>
      <c r="B1904" s="217"/>
      <c r="C1904" s="218"/>
      <c r="D1904" s="219"/>
      <c r="E1904" s="217"/>
      <c r="F1904" s="217"/>
      <c r="G1904" s="217"/>
      <c r="H1904" s="220"/>
      <c r="I1904" s="217"/>
      <c r="J1904" s="217"/>
      <c r="K1904" s="217"/>
      <c r="L1904" s="217"/>
      <c r="M1904" s="217"/>
      <c r="N1904" s="217"/>
      <c r="O1904" s="44"/>
      <c r="P1904" s="44"/>
      <c r="Q1904" s="44"/>
      <c r="R1904" s="44"/>
      <c r="S1904" s="44"/>
      <c r="T1904" s="44"/>
      <c r="U1904" s="44"/>
      <c r="V1904" s="44"/>
      <c r="W1904" s="44"/>
      <c r="X1904" s="44"/>
      <c r="Y1904" s="44"/>
      <c r="Z1904" s="44"/>
      <c r="AA1904" s="44"/>
      <c r="AB1904" s="44"/>
      <c r="AC1904" s="44"/>
      <c r="AD1904" s="44"/>
      <c r="AE1904" s="44"/>
      <c r="AF1904" s="44"/>
      <c r="AG1904" s="44"/>
      <c r="AH1904" s="44"/>
      <c r="AI1904" s="44"/>
      <c r="AJ1904" s="44"/>
      <c r="AK1904" s="44"/>
      <c r="AL1904" s="44"/>
      <c r="AM1904" s="44"/>
      <c r="AN1904" s="44"/>
      <c r="AO1904" s="44"/>
      <c r="AP1904" s="44"/>
      <c r="AQ1904" s="44"/>
      <c r="BA1904" s="5"/>
      <c r="BB1904" s="5"/>
      <c r="BC1904" s="5"/>
      <c r="BD1904" s="5"/>
      <c r="BE1904" s="63"/>
      <c r="BF1904" s="63"/>
      <c r="BG1904" s="63"/>
      <c r="CA1904" s="256"/>
      <c r="CB1904" s="261"/>
      <c r="CC1904" s="261"/>
      <c r="CD1904" s="261"/>
      <c r="CE1904" s="261"/>
      <c r="CF1904" s="255"/>
      <c r="CG1904" s="53"/>
      <c r="CH1904" s="53"/>
      <c r="CI1904" s="53"/>
      <c r="CJ1904" s="53"/>
      <c r="CK1904" s="53"/>
      <c r="CL1904" s="53"/>
      <c r="CN1904" s="53"/>
      <c r="CO1904" s="53"/>
      <c r="CP1904" s="53"/>
      <c r="CQ1904" s="53"/>
      <c r="CR1904" s="53"/>
      <c r="CS1904" s="53"/>
      <c r="CT1904" s="261"/>
      <c r="CU1904" s="255"/>
      <c r="CV1904" s="261"/>
      <c r="CW1904" s="261"/>
      <c r="CX1904" s="261"/>
      <c r="CY1904" s="255"/>
    </row>
    <row r="1905" spans="1:103" ht="10.25" customHeight="1">
      <c r="A1905" s="216"/>
      <c r="B1905" s="217"/>
      <c r="C1905" s="218"/>
      <c r="D1905" s="219"/>
      <c r="E1905" s="217"/>
      <c r="F1905" s="217"/>
      <c r="G1905" s="217"/>
      <c r="H1905" s="220"/>
      <c r="I1905" s="217"/>
      <c r="J1905" s="217"/>
      <c r="K1905" s="217"/>
      <c r="L1905" s="217"/>
      <c r="M1905" s="217"/>
      <c r="N1905" s="217"/>
      <c r="O1905" s="44"/>
      <c r="P1905" s="44"/>
      <c r="Q1905" s="44"/>
      <c r="R1905" s="44"/>
      <c r="S1905" s="44"/>
      <c r="T1905" s="44"/>
      <c r="U1905" s="44"/>
      <c r="V1905" s="44"/>
      <c r="W1905" s="44"/>
      <c r="X1905" s="44"/>
      <c r="Y1905" s="44"/>
      <c r="Z1905" s="44"/>
      <c r="AA1905" s="44"/>
      <c r="AB1905" s="44"/>
      <c r="AC1905" s="44"/>
      <c r="AD1905" s="44"/>
      <c r="AE1905" s="44"/>
      <c r="AF1905" s="44"/>
      <c r="AG1905" s="44"/>
      <c r="AH1905" s="44"/>
      <c r="AI1905" s="44"/>
      <c r="AJ1905" s="44"/>
      <c r="AK1905" s="44"/>
      <c r="AL1905" s="44"/>
      <c r="AM1905" s="44"/>
      <c r="AN1905" s="44"/>
      <c r="AO1905" s="44"/>
      <c r="AP1905" s="44"/>
      <c r="AQ1905" s="44"/>
      <c r="BA1905" s="5"/>
      <c r="BB1905" s="5"/>
      <c r="BC1905" s="5"/>
      <c r="BD1905" s="5"/>
      <c r="BE1905" s="63"/>
      <c r="BF1905" s="63"/>
      <c r="BG1905" s="63"/>
      <c r="CA1905" s="256"/>
      <c r="CB1905" s="261"/>
      <c r="CC1905" s="261"/>
      <c r="CD1905" s="261"/>
      <c r="CE1905" s="261"/>
      <c r="CF1905" s="255"/>
      <c r="CG1905" s="53"/>
      <c r="CH1905" s="53"/>
      <c r="CI1905" s="53"/>
      <c r="CJ1905" s="53"/>
      <c r="CK1905" s="53"/>
      <c r="CL1905" s="53"/>
      <c r="CN1905" s="53"/>
      <c r="CO1905" s="53"/>
      <c r="CP1905" s="53"/>
      <c r="CQ1905" s="53"/>
      <c r="CR1905" s="53"/>
      <c r="CS1905" s="53"/>
      <c r="CT1905" s="261"/>
      <c r="CU1905" s="255"/>
      <c r="CV1905" s="261"/>
      <c r="CW1905" s="261"/>
      <c r="CX1905" s="261"/>
      <c r="CY1905" s="255"/>
    </row>
    <row r="1906" spans="1:103" ht="10.25" customHeight="1">
      <c r="A1906" s="216"/>
      <c r="B1906" s="217"/>
      <c r="C1906" s="218"/>
      <c r="D1906" s="219"/>
      <c r="E1906" s="217"/>
      <c r="F1906" s="217"/>
      <c r="G1906" s="217"/>
      <c r="H1906" s="220"/>
      <c r="I1906" s="217"/>
      <c r="J1906" s="217"/>
      <c r="K1906" s="217"/>
      <c r="L1906" s="217"/>
      <c r="M1906" s="217"/>
      <c r="N1906" s="217"/>
      <c r="O1906" s="44"/>
      <c r="P1906" s="44"/>
      <c r="Q1906" s="44"/>
      <c r="R1906" s="44"/>
      <c r="S1906" s="44"/>
      <c r="T1906" s="44"/>
      <c r="U1906" s="44"/>
      <c r="V1906" s="44"/>
      <c r="W1906" s="44"/>
      <c r="X1906" s="44"/>
      <c r="Y1906" s="44"/>
      <c r="Z1906" s="44"/>
      <c r="AA1906" s="44"/>
      <c r="AB1906" s="44"/>
      <c r="AC1906" s="44"/>
      <c r="AD1906" s="44"/>
      <c r="AE1906" s="44"/>
      <c r="AF1906" s="44"/>
      <c r="AG1906" s="44"/>
      <c r="AH1906" s="44"/>
      <c r="AI1906" s="44"/>
      <c r="AJ1906" s="44"/>
      <c r="AK1906" s="44"/>
      <c r="AL1906" s="44"/>
      <c r="AM1906" s="44"/>
      <c r="AN1906" s="44"/>
      <c r="AO1906" s="44"/>
      <c r="AP1906" s="44"/>
      <c r="AQ1906" s="44"/>
      <c r="BA1906" s="5"/>
      <c r="BB1906" s="5"/>
      <c r="BC1906" s="5"/>
      <c r="BD1906" s="5"/>
      <c r="BE1906" s="63"/>
      <c r="BF1906" s="63"/>
      <c r="BG1906" s="63"/>
      <c r="CA1906" s="256"/>
      <c r="CB1906" s="261"/>
      <c r="CC1906" s="261"/>
      <c r="CD1906" s="261"/>
      <c r="CE1906" s="261"/>
      <c r="CF1906" s="255"/>
      <c r="CG1906" s="53"/>
      <c r="CH1906" s="53"/>
      <c r="CI1906" s="53"/>
      <c r="CJ1906" s="53"/>
      <c r="CK1906" s="53"/>
      <c r="CL1906" s="53"/>
      <c r="CN1906" s="53"/>
      <c r="CO1906" s="53"/>
      <c r="CP1906" s="53"/>
      <c r="CQ1906" s="53"/>
      <c r="CR1906" s="53"/>
      <c r="CS1906" s="53"/>
      <c r="CT1906" s="261"/>
      <c r="CU1906" s="255"/>
      <c r="CV1906" s="261"/>
      <c r="CW1906" s="255"/>
      <c r="CX1906" s="261"/>
      <c r="CY1906" s="255"/>
    </row>
    <row r="1907" spans="1:103" ht="10.25" customHeight="1">
      <c r="A1907" s="216"/>
      <c r="B1907" s="217"/>
      <c r="C1907" s="218"/>
      <c r="D1907" s="219"/>
      <c r="E1907" s="217"/>
      <c r="F1907" s="217"/>
      <c r="G1907" s="217"/>
      <c r="H1907" s="220"/>
      <c r="I1907" s="217"/>
      <c r="J1907" s="217"/>
      <c r="K1907" s="217"/>
      <c r="L1907" s="217"/>
      <c r="M1907" s="217"/>
      <c r="N1907" s="217"/>
      <c r="O1907" s="44"/>
      <c r="P1907" s="44"/>
      <c r="Q1907" s="44"/>
      <c r="R1907" s="44"/>
      <c r="S1907" s="44"/>
      <c r="T1907" s="44"/>
      <c r="U1907" s="44"/>
      <c r="V1907" s="44"/>
      <c r="W1907" s="44"/>
      <c r="X1907" s="44"/>
      <c r="Y1907" s="44"/>
      <c r="Z1907" s="44"/>
      <c r="AA1907" s="44"/>
      <c r="AB1907" s="44"/>
      <c r="AC1907" s="44"/>
      <c r="AD1907" s="44"/>
      <c r="AE1907" s="44"/>
      <c r="AF1907" s="44"/>
      <c r="AG1907" s="44"/>
      <c r="AH1907" s="44"/>
      <c r="AI1907" s="44"/>
      <c r="AJ1907" s="44"/>
      <c r="AK1907" s="44"/>
      <c r="AL1907" s="44"/>
      <c r="AM1907" s="44"/>
      <c r="AN1907" s="44"/>
      <c r="AO1907" s="44"/>
      <c r="AP1907" s="44"/>
      <c r="AQ1907" s="44"/>
      <c r="BA1907" s="5"/>
      <c r="BB1907" s="5"/>
      <c r="BC1907" s="5"/>
      <c r="BD1907" s="5"/>
      <c r="BE1907" s="63"/>
      <c r="BF1907" s="63"/>
      <c r="BG1907" s="63"/>
      <c r="CA1907" s="256"/>
      <c r="CB1907" s="261"/>
      <c r="CC1907" s="261"/>
      <c r="CD1907" s="261"/>
      <c r="CE1907" s="261"/>
      <c r="CF1907" s="255"/>
      <c r="CG1907" s="53"/>
      <c r="CH1907" s="53"/>
      <c r="CI1907" s="53"/>
      <c r="CJ1907" s="53"/>
      <c r="CK1907" s="53"/>
      <c r="CL1907" s="53"/>
      <c r="CN1907" s="53"/>
      <c r="CO1907" s="53"/>
      <c r="CP1907" s="53"/>
      <c r="CQ1907" s="53"/>
      <c r="CR1907" s="53"/>
      <c r="CS1907" s="53"/>
      <c r="CT1907" s="261"/>
      <c r="CU1907" s="255"/>
      <c r="CV1907" s="255"/>
      <c r="CW1907" s="261"/>
      <c r="CX1907" s="261"/>
      <c r="CY1907" s="255"/>
    </row>
    <row r="1908" spans="1:103" ht="10.25" customHeight="1">
      <c r="A1908" s="216"/>
      <c r="B1908" s="217"/>
      <c r="C1908" s="218"/>
      <c r="D1908" s="219"/>
      <c r="E1908" s="217"/>
      <c r="F1908" s="217"/>
      <c r="G1908" s="217"/>
      <c r="H1908" s="220"/>
      <c r="I1908" s="217"/>
      <c r="J1908" s="217"/>
      <c r="K1908" s="217"/>
      <c r="L1908" s="217"/>
      <c r="M1908" s="217"/>
      <c r="N1908" s="217"/>
      <c r="O1908" s="44"/>
      <c r="P1908" s="44"/>
      <c r="Q1908" s="44"/>
      <c r="R1908" s="44"/>
      <c r="S1908" s="44"/>
      <c r="T1908" s="44"/>
      <c r="U1908" s="44"/>
      <c r="V1908" s="44"/>
      <c r="W1908" s="44"/>
      <c r="X1908" s="44"/>
      <c r="Y1908" s="44"/>
      <c r="Z1908" s="44"/>
      <c r="AA1908" s="44"/>
      <c r="AB1908" s="44"/>
      <c r="AC1908" s="44"/>
      <c r="AD1908" s="44"/>
      <c r="AE1908" s="44"/>
      <c r="AF1908" s="44"/>
      <c r="AG1908" s="44"/>
      <c r="AH1908" s="44"/>
      <c r="AI1908" s="44"/>
      <c r="AJ1908" s="44"/>
      <c r="AK1908" s="44"/>
      <c r="AL1908" s="44"/>
      <c r="AM1908" s="44"/>
      <c r="AN1908" s="44"/>
      <c r="AO1908" s="44"/>
      <c r="AP1908" s="44"/>
      <c r="AQ1908" s="44"/>
      <c r="BA1908" s="5"/>
      <c r="BB1908" s="5"/>
      <c r="BC1908" s="5"/>
      <c r="BD1908" s="5"/>
      <c r="BE1908" s="63"/>
      <c r="BF1908" s="63"/>
      <c r="BG1908" s="63"/>
      <c r="CA1908" s="256"/>
      <c r="CB1908" s="261"/>
      <c r="CC1908" s="261"/>
      <c r="CD1908" s="261"/>
      <c r="CE1908" s="261"/>
      <c r="CF1908" s="255"/>
      <c r="CG1908" s="53"/>
      <c r="CH1908" s="53"/>
      <c r="CI1908" s="53"/>
      <c r="CJ1908" s="53"/>
      <c r="CK1908" s="53"/>
      <c r="CL1908" s="53"/>
      <c r="CN1908" s="53"/>
      <c r="CO1908" s="53"/>
      <c r="CP1908" s="53"/>
      <c r="CQ1908" s="53"/>
      <c r="CR1908" s="53"/>
      <c r="CS1908" s="53"/>
      <c r="CT1908" s="261"/>
      <c r="CU1908" s="255"/>
      <c r="CV1908" s="261"/>
      <c r="CW1908" s="255"/>
      <c r="CX1908" s="261"/>
      <c r="CY1908" s="255"/>
    </row>
    <row r="1909" spans="1:103" ht="10.25" customHeight="1">
      <c r="A1909" s="216"/>
      <c r="B1909" s="217"/>
      <c r="C1909" s="218"/>
      <c r="D1909" s="219"/>
      <c r="E1909" s="217"/>
      <c r="F1909" s="217"/>
      <c r="G1909" s="217"/>
      <c r="H1909" s="220"/>
      <c r="I1909" s="217"/>
      <c r="J1909" s="217"/>
      <c r="K1909" s="217"/>
      <c r="L1909" s="217"/>
      <c r="M1909" s="217"/>
      <c r="N1909" s="217"/>
      <c r="O1909" s="44"/>
      <c r="P1909" s="44"/>
      <c r="Q1909" s="44"/>
      <c r="R1909" s="44"/>
      <c r="S1909" s="44"/>
      <c r="T1909" s="44"/>
      <c r="U1909" s="44"/>
      <c r="V1909" s="44"/>
      <c r="W1909" s="44"/>
      <c r="X1909" s="44"/>
      <c r="Y1909" s="44"/>
      <c r="Z1909" s="44"/>
      <c r="AA1909" s="44"/>
      <c r="AB1909" s="44"/>
      <c r="AC1909" s="44"/>
      <c r="AD1909" s="44"/>
      <c r="AE1909" s="44"/>
      <c r="AF1909" s="44"/>
      <c r="AG1909" s="44"/>
      <c r="AH1909" s="44"/>
      <c r="AI1909" s="44"/>
      <c r="AJ1909" s="44"/>
      <c r="AK1909" s="44"/>
      <c r="AL1909" s="44"/>
      <c r="AM1909" s="44"/>
      <c r="AN1909" s="44"/>
      <c r="AO1909" s="44"/>
      <c r="AP1909" s="44"/>
      <c r="AQ1909" s="44"/>
      <c r="BA1909" s="5"/>
      <c r="BB1909" s="5"/>
      <c r="BC1909" s="5"/>
      <c r="BD1909" s="5"/>
      <c r="BE1909" s="63"/>
      <c r="BF1909" s="63"/>
      <c r="BG1909" s="63"/>
      <c r="CA1909" s="256"/>
      <c r="CB1909" s="261"/>
      <c r="CC1909" s="261"/>
      <c r="CD1909" s="261"/>
      <c r="CE1909" s="255"/>
      <c r="CF1909" s="261"/>
      <c r="CG1909" s="53"/>
      <c r="CH1909" s="53"/>
      <c r="CI1909" s="53"/>
      <c r="CJ1909" s="53"/>
      <c r="CK1909" s="53"/>
      <c r="CL1909" s="53"/>
      <c r="CN1909" s="53"/>
      <c r="CO1909" s="53"/>
      <c r="CP1909" s="53"/>
      <c r="CQ1909" s="53"/>
      <c r="CR1909" s="53"/>
      <c r="CS1909" s="53"/>
      <c r="CT1909" s="255"/>
      <c r="CU1909" s="261"/>
      <c r="CV1909" s="255"/>
      <c r="CW1909" s="261"/>
      <c r="CX1909" s="261"/>
      <c r="CY1909" s="255"/>
    </row>
    <row r="1910" spans="1:103" ht="10.25" customHeight="1">
      <c r="A1910" s="216"/>
      <c r="B1910" s="217"/>
      <c r="C1910" s="218"/>
      <c r="D1910" s="219"/>
      <c r="E1910" s="217"/>
      <c r="F1910" s="217"/>
      <c r="G1910" s="217"/>
      <c r="H1910" s="220"/>
      <c r="I1910" s="217"/>
      <c r="J1910" s="217"/>
      <c r="K1910" s="217"/>
      <c r="L1910" s="217"/>
      <c r="M1910" s="217"/>
      <c r="N1910" s="217"/>
      <c r="O1910" s="44"/>
      <c r="P1910" s="44"/>
      <c r="Q1910" s="44"/>
      <c r="R1910" s="44"/>
      <c r="S1910" s="44"/>
      <c r="T1910" s="44"/>
      <c r="U1910" s="44"/>
      <c r="V1910" s="44"/>
      <c r="W1910" s="44"/>
      <c r="X1910" s="44"/>
      <c r="Y1910" s="44"/>
      <c r="Z1910" s="44"/>
      <c r="AA1910" s="44"/>
      <c r="AB1910" s="44"/>
      <c r="AC1910" s="44"/>
      <c r="AD1910" s="44"/>
      <c r="AE1910" s="44"/>
      <c r="AF1910" s="44"/>
      <c r="AG1910" s="44"/>
      <c r="AH1910" s="44"/>
      <c r="AI1910" s="44"/>
      <c r="AJ1910" s="44"/>
      <c r="AK1910" s="44"/>
      <c r="AL1910" s="44"/>
      <c r="AM1910" s="44"/>
      <c r="AN1910" s="44"/>
      <c r="AO1910" s="44"/>
      <c r="AP1910" s="44"/>
      <c r="AQ1910" s="44"/>
      <c r="BA1910" s="5"/>
      <c r="BB1910" s="5"/>
      <c r="BC1910" s="5"/>
      <c r="BD1910" s="5"/>
      <c r="BE1910" s="63"/>
      <c r="BF1910" s="63"/>
      <c r="BG1910" s="63"/>
      <c r="CA1910" s="256"/>
      <c r="CB1910" s="261"/>
      <c r="CC1910" s="261"/>
      <c r="CD1910" s="261"/>
      <c r="CE1910" s="255"/>
      <c r="CF1910" s="261"/>
      <c r="CG1910" s="53"/>
      <c r="CH1910" s="53"/>
      <c r="CI1910" s="53"/>
      <c r="CJ1910" s="53"/>
      <c r="CK1910" s="53"/>
      <c r="CL1910" s="53"/>
      <c r="CN1910" s="53"/>
      <c r="CO1910" s="53"/>
      <c r="CP1910" s="53"/>
      <c r="CQ1910" s="53"/>
      <c r="CR1910" s="53"/>
      <c r="CS1910" s="53"/>
      <c r="CT1910" s="255"/>
      <c r="CU1910" s="261"/>
      <c r="CV1910" s="261"/>
      <c r="CW1910" s="255"/>
      <c r="CX1910" s="261"/>
      <c r="CY1910" s="255"/>
    </row>
    <row r="1911" spans="1:103" ht="10.25" customHeight="1">
      <c r="A1911" s="216"/>
      <c r="B1911" s="217"/>
      <c r="C1911" s="218"/>
      <c r="D1911" s="219"/>
      <c r="E1911" s="217"/>
      <c r="F1911" s="217"/>
      <c r="G1911" s="217"/>
      <c r="H1911" s="220"/>
      <c r="I1911" s="217"/>
      <c r="J1911" s="217"/>
      <c r="K1911" s="217"/>
      <c r="L1911" s="217"/>
      <c r="M1911" s="217"/>
      <c r="N1911" s="217"/>
      <c r="O1911" s="44"/>
      <c r="P1911" s="44"/>
      <c r="Q1911" s="44"/>
      <c r="R1911" s="44"/>
      <c r="S1911" s="44"/>
      <c r="T1911" s="44"/>
      <c r="U1911" s="44"/>
      <c r="V1911" s="44"/>
      <c r="W1911" s="44"/>
      <c r="X1911" s="44"/>
      <c r="Y1911" s="44"/>
      <c r="Z1911" s="44"/>
      <c r="AA1911" s="44"/>
      <c r="AB1911" s="44"/>
      <c r="AC1911" s="44"/>
      <c r="AD1911" s="44"/>
      <c r="AE1911" s="44"/>
      <c r="AF1911" s="44"/>
      <c r="AG1911" s="44"/>
      <c r="AH1911" s="44"/>
      <c r="AI1911" s="44"/>
      <c r="AJ1911" s="44"/>
      <c r="AK1911" s="44"/>
      <c r="AL1911" s="44"/>
      <c r="AM1911" s="44"/>
      <c r="AN1911" s="44"/>
      <c r="AO1911" s="44"/>
      <c r="AP1911" s="44"/>
      <c r="AQ1911" s="44"/>
      <c r="BA1911" s="5"/>
      <c r="BB1911" s="5"/>
      <c r="BC1911" s="5"/>
      <c r="BD1911" s="5"/>
      <c r="BE1911" s="63"/>
      <c r="BF1911" s="63"/>
      <c r="BG1911" s="63"/>
      <c r="CA1911" s="256"/>
      <c r="CB1911" s="261"/>
      <c r="CC1911" s="261"/>
      <c r="CD1911" s="255"/>
      <c r="CE1911" s="261"/>
      <c r="CF1911" s="261"/>
      <c r="CG1911" s="53"/>
      <c r="CH1911" s="53"/>
      <c r="CI1911" s="53"/>
      <c r="CJ1911" s="53"/>
      <c r="CK1911" s="53"/>
      <c r="CL1911" s="53"/>
      <c r="CN1911" s="53"/>
      <c r="CO1911" s="53"/>
      <c r="CP1911" s="53"/>
      <c r="CQ1911" s="53"/>
      <c r="CR1911" s="53"/>
      <c r="CS1911" s="53"/>
      <c r="CT1911" s="261"/>
      <c r="CU1911" s="261"/>
      <c r="CV1911" s="255"/>
      <c r="CW1911" s="261"/>
      <c r="CX1911" s="261"/>
      <c r="CY1911" s="255"/>
    </row>
    <row r="1912" spans="1:103" ht="10.25" customHeight="1">
      <c r="A1912" s="216"/>
      <c r="B1912" s="217"/>
      <c r="C1912" s="218"/>
      <c r="D1912" s="219"/>
      <c r="E1912" s="217"/>
      <c r="F1912" s="217"/>
      <c r="G1912" s="217"/>
      <c r="H1912" s="220"/>
      <c r="I1912" s="217"/>
      <c r="J1912" s="217"/>
      <c r="K1912" s="217"/>
      <c r="L1912" s="217"/>
      <c r="M1912" s="217"/>
      <c r="N1912" s="217"/>
      <c r="O1912" s="44"/>
      <c r="P1912" s="44"/>
      <c r="Q1912" s="44"/>
      <c r="R1912" s="44"/>
      <c r="S1912" s="44"/>
      <c r="T1912" s="44"/>
      <c r="U1912" s="44"/>
      <c r="V1912" s="44"/>
      <c r="W1912" s="44"/>
      <c r="X1912" s="44"/>
      <c r="Y1912" s="44"/>
      <c r="Z1912" s="44"/>
      <c r="AA1912" s="44"/>
      <c r="AB1912" s="44"/>
      <c r="AC1912" s="44"/>
      <c r="AD1912" s="44"/>
      <c r="AE1912" s="44"/>
      <c r="AF1912" s="44"/>
      <c r="AG1912" s="44"/>
      <c r="AH1912" s="44"/>
      <c r="AI1912" s="44"/>
      <c r="AJ1912" s="44"/>
      <c r="AK1912" s="44"/>
      <c r="AL1912" s="44"/>
      <c r="AM1912" s="44"/>
      <c r="AN1912" s="44"/>
      <c r="AO1912" s="44"/>
      <c r="AP1912" s="44"/>
      <c r="AQ1912" s="44"/>
      <c r="BA1912" s="5"/>
      <c r="BB1912" s="5"/>
      <c r="BC1912" s="5"/>
      <c r="BD1912" s="5"/>
      <c r="BE1912" s="63"/>
      <c r="BF1912" s="63"/>
      <c r="BG1912" s="63"/>
      <c r="CA1912" s="256"/>
      <c r="CB1912" s="261"/>
      <c r="CC1912" s="261"/>
      <c r="CD1912" s="255"/>
      <c r="CE1912" s="261"/>
      <c r="CF1912" s="261"/>
      <c r="CG1912" s="53"/>
      <c r="CH1912" s="53"/>
      <c r="CI1912" s="53"/>
      <c r="CJ1912" s="53"/>
      <c r="CK1912" s="53"/>
      <c r="CL1912" s="53"/>
      <c r="CN1912" s="53"/>
      <c r="CO1912" s="53"/>
      <c r="CP1912" s="53"/>
      <c r="CQ1912" s="53"/>
      <c r="CR1912" s="53"/>
      <c r="CS1912" s="53"/>
      <c r="CT1912" s="261"/>
      <c r="CU1912" s="261"/>
      <c r="CV1912" s="261"/>
      <c r="CW1912" s="255"/>
      <c r="CX1912" s="261"/>
      <c r="CY1912" s="255"/>
    </row>
    <row r="1913" spans="1:103" ht="10.25" customHeight="1">
      <c r="A1913" s="216"/>
      <c r="B1913" s="217"/>
      <c r="C1913" s="218"/>
      <c r="D1913" s="219"/>
      <c r="E1913" s="217"/>
      <c r="F1913" s="217"/>
      <c r="G1913" s="217"/>
      <c r="H1913" s="220"/>
      <c r="I1913" s="217"/>
      <c r="J1913" s="217"/>
      <c r="K1913" s="217"/>
      <c r="L1913" s="217"/>
      <c r="M1913" s="217"/>
      <c r="N1913" s="217"/>
      <c r="O1913" s="44"/>
      <c r="P1913" s="44"/>
      <c r="Q1913" s="44"/>
      <c r="R1913" s="44"/>
      <c r="S1913" s="44"/>
      <c r="T1913" s="44"/>
      <c r="U1913" s="44"/>
      <c r="V1913" s="44"/>
      <c r="W1913" s="44"/>
      <c r="X1913" s="44"/>
      <c r="Y1913" s="44"/>
      <c r="Z1913" s="44"/>
      <c r="AA1913" s="44"/>
      <c r="AB1913" s="44"/>
      <c r="AC1913" s="44"/>
      <c r="AD1913" s="44"/>
      <c r="AE1913" s="44"/>
      <c r="AF1913" s="44"/>
      <c r="AG1913" s="44"/>
      <c r="AH1913" s="44"/>
      <c r="AI1913" s="44"/>
      <c r="AJ1913" s="44"/>
      <c r="AK1913" s="44"/>
      <c r="AL1913" s="44"/>
      <c r="AM1913" s="44"/>
      <c r="AN1913" s="44"/>
      <c r="AO1913" s="44"/>
      <c r="AP1913" s="44"/>
      <c r="AQ1913" s="44"/>
      <c r="BA1913" s="5"/>
      <c r="BB1913" s="5"/>
      <c r="BC1913" s="5"/>
      <c r="BD1913" s="5"/>
      <c r="BE1913" s="63"/>
      <c r="BF1913" s="63"/>
      <c r="BG1913" s="63"/>
      <c r="CA1913" s="256"/>
      <c r="CB1913" s="261"/>
      <c r="CC1913" s="261"/>
      <c r="CD1913" s="255"/>
      <c r="CE1913" s="261"/>
      <c r="CF1913" s="261"/>
      <c r="CG1913" s="53"/>
      <c r="CH1913" s="53"/>
      <c r="CI1913" s="53"/>
      <c r="CJ1913" s="53"/>
      <c r="CK1913" s="53"/>
      <c r="CL1913" s="53"/>
      <c r="CN1913" s="53"/>
      <c r="CO1913" s="53"/>
      <c r="CP1913" s="53"/>
      <c r="CQ1913" s="53"/>
      <c r="CR1913" s="53"/>
      <c r="CS1913" s="53"/>
      <c r="CT1913" s="261"/>
      <c r="CU1913" s="261"/>
      <c r="CV1913" s="261"/>
      <c r="CW1913" s="261"/>
      <c r="CX1913" s="261"/>
      <c r="CY1913" s="255"/>
    </row>
    <row r="1914" spans="1:103" ht="10.25" customHeight="1">
      <c r="A1914" s="216"/>
      <c r="B1914" s="217"/>
      <c r="C1914" s="218"/>
      <c r="D1914" s="219"/>
      <c r="E1914" s="217"/>
      <c r="F1914" s="217"/>
      <c r="G1914" s="217"/>
      <c r="H1914" s="220"/>
      <c r="I1914" s="217"/>
      <c r="J1914" s="217"/>
      <c r="K1914" s="217"/>
      <c r="L1914" s="217"/>
      <c r="M1914" s="217"/>
      <c r="N1914" s="217"/>
      <c r="O1914" s="44"/>
      <c r="P1914" s="44"/>
      <c r="Q1914" s="44"/>
      <c r="R1914" s="44"/>
      <c r="S1914" s="44"/>
      <c r="T1914" s="44"/>
      <c r="U1914" s="44"/>
      <c r="V1914" s="44"/>
      <c r="W1914" s="44"/>
      <c r="X1914" s="44"/>
      <c r="Y1914" s="44"/>
      <c r="Z1914" s="44"/>
      <c r="AA1914" s="44"/>
      <c r="AB1914" s="44"/>
      <c r="AC1914" s="44"/>
      <c r="AD1914" s="44"/>
      <c r="AE1914" s="44"/>
      <c r="AF1914" s="44"/>
      <c r="AG1914" s="44"/>
      <c r="AH1914" s="44"/>
      <c r="AI1914" s="44"/>
      <c r="AJ1914" s="44"/>
      <c r="AK1914" s="44"/>
      <c r="AL1914" s="44"/>
      <c r="AM1914" s="44"/>
      <c r="AN1914" s="44"/>
      <c r="AO1914" s="44"/>
      <c r="AP1914" s="44"/>
      <c r="AQ1914" s="44"/>
      <c r="BA1914" s="5"/>
      <c r="BB1914" s="5"/>
      <c r="BC1914" s="5"/>
      <c r="BD1914" s="5"/>
      <c r="BE1914" s="63"/>
      <c r="BF1914" s="63"/>
      <c r="BG1914" s="63"/>
      <c r="CA1914" s="256"/>
      <c r="CB1914" s="261"/>
      <c r="CC1914" s="261"/>
      <c r="CD1914" s="261"/>
      <c r="CE1914" s="261"/>
      <c r="CF1914" s="261"/>
      <c r="CG1914" s="53"/>
      <c r="CH1914" s="53"/>
      <c r="CI1914" s="53"/>
      <c r="CJ1914" s="53"/>
      <c r="CK1914" s="53"/>
      <c r="CL1914" s="53"/>
      <c r="CN1914" s="53"/>
      <c r="CO1914" s="53"/>
      <c r="CP1914" s="53"/>
      <c r="CQ1914" s="53"/>
      <c r="CR1914" s="53"/>
      <c r="CS1914" s="53"/>
      <c r="CT1914" s="261"/>
      <c r="CU1914" s="261"/>
      <c r="CV1914" s="255"/>
      <c r="CW1914" s="255"/>
      <c r="CX1914" s="261"/>
      <c r="CY1914" s="255"/>
    </row>
    <row r="1915" spans="1:103" ht="10.25" customHeight="1">
      <c r="A1915" s="216"/>
      <c r="B1915" s="217"/>
      <c r="C1915" s="218"/>
      <c r="D1915" s="219"/>
      <c r="E1915" s="217"/>
      <c r="F1915" s="217"/>
      <c r="G1915" s="217"/>
      <c r="H1915" s="220"/>
      <c r="I1915" s="217"/>
      <c r="J1915" s="217"/>
      <c r="K1915" s="217"/>
      <c r="L1915" s="217"/>
      <c r="M1915" s="217"/>
      <c r="N1915" s="217"/>
      <c r="O1915" s="44"/>
      <c r="P1915" s="44"/>
      <c r="Q1915" s="44"/>
      <c r="R1915" s="44"/>
      <c r="S1915" s="44"/>
      <c r="T1915" s="44"/>
      <c r="U1915" s="44"/>
      <c r="V1915" s="44"/>
      <c r="W1915" s="44"/>
      <c r="X1915" s="44"/>
      <c r="Y1915" s="44"/>
      <c r="Z1915" s="44"/>
      <c r="AA1915" s="44"/>
      <c r="AB1915" s="44"/>
      <c r="AC1915" s="44"/>
      <c r="AD1915" s="44"/>
      <c r="AE1915" s="44"/>
      <c r="AF1915" s="44"/>
      <c r="AG1915" s="44"/>
      <c r="AH1915" s="44"/>
      <c r="AI1915" s="44"/>
      <c r="AJ1915" s="44"/>
      <c r="AK1915" s="44"/>
      <c r="AL1915" s="44"/>
      <c r="AM1915" s="44"/>
      <c r="AN1915" s="44"/>
      <c r="AO1915" s="44"/>
      <c r="AP1915" s="44"/>
      <c r="AQ1915" s="44"/>
      <c r="BA1915" s="5"/>
      <c r="BB1915" s="5"/>
      <c r="BC1915" s="5"/>
      <c r="BD1915" s="5"/>
      <c r="BE1915" s="63"/>
      <c r="BF1915" s="63"/>
      <c r="BG1915" s="63"/>
      <c r="CA1915" s="256"/>
      <c r="CB1915" s="261"/>
      <c r="CC1915" s="261"/>
      <c r="CD1915" s="261"/>
      <c r="CE1915" s="261"/>
      <c r="CF1915" s="261"/>
      <c r="CG1915" s="53"/>
      <c r="CH1915" s="53"/>
      <c r="CI1915" s="53"/>
      <c r="CJ1915" s="53"/>
      <c r="CK1915" s="53"/>
      <c r="CL1915" s="53"/>
      <c r="CN1915" s="53"/>
      <c r="CO1915" s="53"/>
      <c r="CP1915" s="53"/>
      <c r="CQ1915" s="53"/>
      <c r="CR1915" s="53"/>
      <c r="CS1915" s="53"/>
      <c r="CT1915" s="261"/>
      <c r="CU1915" s="261"/>
      <c r="CV1915" s="261"/>
      <c r="CW1915" s="261"/>
      <c r="CX1915" s="261"/>
      <c r="CY1915" s="255"/>
    </row>
    <row r="1916" spans="1:103" ht="10.25" customHeight="1">
      <c r="A1916" s="216"/>
      <c r="B1916" s="217"/>
      <c r="C1916" s="218"/>
      <c r="D1916" s="219"/>
      <c r="E1916" s="217"/>
      <c r="F1916" s="217"/>
      <c r="G1916" s="217"/>
      <c r="H1916" s="220"/>
      <c r="I1916" s="217"/>
      <c r="J1916" s="217"/>
      <c r="K1916" s="217"/>
      <c r="L1916" s="217"/>
      <c r="M1916" s="217"/>
      <c r="N1916" s="217"/>
      <c r="O1916" s="44"/>
      <c r="P1916" s="44"/>
      <c r="Q1916" s="44"/>
      <c r="R1916" s="44"/>
      <c r="S1916" s="44"/>
      <c r="T1916" s="44"/>
      <c r="U1916" s="44"/>
      <c r="V1916" s="44"/>
      <c r="W1916" s="44"/>
      <c r="X1916" s="44"/>
      <c r="Y1916" s="44"/>
      <c r="Z1916" s="44"/>
      <c r="AA1916" s="44"/>
      <c r="AB1916" s="44"/>
      <c r="AC1916" s="44"/>
      <c r="AD1916" s="44"/>
      <c r="AE1916" s="44"/>
      <c r="AF1916" s="44"/>
      <c r="AG1916" s="44"/>
      <c r="AH1916" s="44"/>
      <c r="AI1916" s="44"/>
      <c r="AJ1916" s="44"/>
      <c r="AK1916" s="44"/>
      <c r="AL1916" s="44"/>
      <c r="AM1916" s="44"/>
      <c r="AN1916" s="44"/>
      <c r="AO1916" s="44"/>
      <c r="AP1916" s="44"/>
      <c r="AQ1916" s="44"/>
      <c r="BA1916" s="5"/>
      <c r="BB1916" s="5"/>
      <c r="BC1916" s="5"/>
      <c r="BD1916" s="5"/>
      <c r="BE1916" s="63"/>
      <c r="BF1916" s="63"/>
      <c r="BG1916" s="63"/>
      <c r="CA1916" s="256"/>
      <c r="CB1916" s="261"/>
      <c r="CC1916" s="261"/>
      <c r="CD1916" s="261"/>
      <c r="CE1916" s="261"/>
      <c r="CF1916" s="261"/>
      <c r="CG1916" s="53"/>
      <c r="CH1916" s="53"/>
      <c r="CI1916" s="53"/>
      <c r="CJ1916" s="53"/>
      <c r="CK1916" s="53"/>
      <c r="CL1916" s="53"/>
      <c r="CN1916" s="53"/>
      <c r="CO1916" s="53"/>
      <c r="CP1916" s="53"/>
      <c r="CQ1916" s="53"/>
      <c r="CR1916" s="53"/>
      <c r="CS1916" s="53"/>
      <c r="CT1916" s="261"/>
      <c r="CU1916" s="261"/>
      <c r="CV1916" s="255"/>
      <c r="CW1916" s="255"/>
      <c r="CX1916" s="261"/>
      <c r="CY1916" s="255"/>
    </row>
    <row r="1917" spans="1:103" ht="10.25" customHeight="1">
      <c r="A1917" s="216"/>
      <c r="B1917" s="217"/>
      <c r="C1917" s="218"/>
      <c r="D1917" s="219"/>
      <c r="E1917" s="217"/>
      <c r="F1917" s="217"/>
      <c r="G1917" s="217"/>
      <c r="H1917" s="220"/>
      <c r="I1917" s="217"/>
      <c r="J1917" s="217"/>
      <c r="K1917" s="217"/>
      <c r="L1917" s="217"/>
      <c r="M1917" s="217"/>
      <c r="N1917" s="217"/>
      <c r="O1917" s="44"/>
      <c r="P1917" s="44"/>
      <c r="Q1917" s="44"/>
      <c r="R1917" s="44"/>
      <c r="S1917" s="44"/>
      <c r="T1917" s="44"/>
      <c r="U1917" s="44"/>
      <c r="V1917" s="44"/>
      <c r="W1917" s="44"/>
      <c r="X1917" s="44"/>
      <c r="Y1917" s="44"/>
      <c r="Z1917" s="44"/>
      <c r="AA1917" s="44"/>
      <c r="AB1917" s="44"/>
      <c r="AC1917" s="44"/>
      <c r="AD1917" s="44"/>
      <c r="AE1917" s="44"/>
      <c r="AF1917" s="44"/>
      <c r="AG1917" s="44"/>
      <c r="AH1917" s="44"/>
      <c r="AI1917" s="44"/>
      <c r="AJ1917" s="44"/>
      <c r="AK1917" s="44"/>
      <c r="AL1917" s="44"/>
      <c r="AM1917" s="44"/>
      <c r="AN1917" s="44"/>
      <c r="AO1917" s="44"/>
      <c r="AP1917" s="44"/>
      <c r="AQ1917" s="44"/>
      <c r="BA1917" s="5"/>
      <c r="BB1917" s="5"/>
      <c r="BC1917" s="5"/>
      <c r="BD1917" s="5"/>
      <c r="BE1917" s="63"/>
      <c r="BF1917" s="63"/>
      <c r="BG1917" s="63"/>
      <c r="CA1917" s="256"/>
      <c r="CB1917" s="261"/>
      <c r="CC1917" s="261"/>
      <c r="CD1917" s="261"/>
      <c r="CE1917" s="261"/>
      <c r="CF1917" s="261"/>
      <c r="CG1917" s="53"/>
      <c r="CH1917" s="53"/>
      <c r="CI1917" s="53"/>
      <c r="CJ1917" s="53"/>
      <c r="CK1917" s="53"/>
      <c r="CL1917" s="53"/>
      <c r="CN1917" s="53"/>
      <c r="CO1917" s="53"/>
      <c r="CP1917" s="53"/>
      <c r="CQ1917" s="53"/>
      <c r="CR1917" s="53"/>
      <c r="CS1917" s="53"/>
      <c r="CT1917" s="261"/>
      <c r="CU1917" s="261"/>
      <c r="CV1917" s="261"/>
      <c r="CW1917" s="261"/>
      <c r="CX1917" s="255"/>
      <c r="CY1917" s="255"/>
    </row>
    <row r="1918" spans="1:103" ht="10.25" customHeight="1">
      <c r="A1918" s="216"/>
      <c r="B1918" s="217"/>
      <c r="C1918" s="218"/>
      <c r="D1918" s="219"/>
      <c r="E1918" s="217"/>
      <c r="F1918" s="217"/>
      <c r="G1918" s="217"/>
      <c r="H1918" s="220"/>
      <c r="I1918" s="217"/>
      <c r="J1918" s="217"/>
      <c r="K1918" s="217"/>
      <c r="L1918" s="217"/>
      <c r="M1918" s="217"/>
      <c r="N1918" s="217"/>
      <c r="O1918" s="44"/>
      <c r="P1918" s="44"/>
      <c r="Q1918" s="44"/>
      <c r="R1918" s="44"/>
      <c r="S1918" s="44"/>
      <c r="T1918" s="44"/>
      <c r="U1918" s="44"/>
      <c r="V1918" s="44"/>
      <c r="W1918" s="44"/>
      <c r="X1918" s="44"/>
      <c r="Y1918" s="44"/>
      <c r="Z1918" s="44"/>
      <c r="AA1918" s="44"/>
      <c r="AB1918" s="44"/>
      <c r="AC1918" s="44"/>
      <c r="AD1918" s="44"/>
      <c r="AE1918" s="44"/>
      <c r="AF1918" s="44"/>
      <c r="AG1918" s="44"/>
      <c r="AH1918" s="44"/>
      <c r="AI1918" s="44"/>
      <c r="AJ1918" s="44"/>
      <c r="AK1918" s="44"/>
      <c r="AL1918" s="44"/>
      <c r="AM1918" s="44"/>
      <c r="AN1918" s="44"/>
      <c r="AO1918" s="44"/>
      <c r="AP1918" s="44"/>
      <c r="AQ1918" s="44"/>
      <c r="BA1918" s="5"/>
      <c r="BB1918" s="5"/>
      <c r="BC1918" s="5"/>
      <c r="BD1918" s="5"/>
      <c r="BE1918" s="63"/>
      <c r="BF1918" s="63"/>
      <c r="BG1918" s="63"/>
      <c r="CA1918" s="256"/>
      <c r="CB1918" s="261"/>
      <c r="CC1918" s="261"/>
      <c r="CD1918" s="261"/>
      <c r="CE1918" s="261"/>
      <c r="CF1918" s="261"/>
      <c r="CG1918" s="53"/>
      <c r="CH1918" s="53"/>
      <c r="CI1918" s="53"/>
      <c r="CJ1918" s="53"/>
      <c r="CK1918" s="53"/>
      <c r="CL1918" s="53"/>
      <c r="CN1918" s="53"/>
      <c r="CO1918" s="53"/>
      <c r="CP1918" s="53"/>
      <c r="CQ1918" s="53"/>
      <c r="CR1918" s="53"/>
      <c r="CS1918" s="53"/>
      <c r="CT1918" s="261"/>
      <c r="CU1918" s="261"/>
      <c r="CV1918" s="255"/>
      <c r="CW1918" s="255"/>
      <c r="CX1918" s="261"/>
      <c r="CY1918" s="255"/>
    </row>
    <row r="1919" spans="1:103" ht="10.25" customHeight="1">
      <c r="A1919" s="216"/>
      <c r="B1919" s="217"/>
      <c r="C1919" s="218"/>
      <c r="D1919" s="219"/>
      <c r="E1919" s="217"/>
      <c r="F1919" s="217"/>
      <c r="G1919" s="217"/>
      <c r="H1919" s="220"/>
      <c r="I1919" s="217"/>
      <c r="J1919" s="217"/>
      <c r="K1919" s="217"/>
      <c r="L1919" s="217"/>
      <c r="M1919" s="217"/>
      <c r="N1919" s="217"/>
      <c r="O1919" s="44"/>
      <c r="P1919" s="44"/>
      <c r="Q1919" s="44"/>
      <c r="R1919" s="44"/>
      <c r="S1919" s="44"/>
      <c r="T1919" s="44"/>
      <c r="U1919" s="44"/>
      <c r="V1919" s="44"/>
      <c r="W1919" s="44"/>
      <c r="X1919" s="44"/>
      <c r="Y1919" s="44"/>
      <c r="Z1919" s="44"/>
      <c r="AA1919" s="44"/>
      <c r="AB1919" s="44"/>
      <c r="AC1919" s="44"/>
      <c r="AD1919" s="44"/>
      <c r="AE1919" s="44"/>
      <c r="AF1919" s="44"/>
      <c r="AG1919" s="44"/>
      <c r="AH1919" s="44"/>
      <c r="AI1919" s="44"/>
      <c r="AJ1919" s="44"/>
      <c r="AK1919" s="44"/>
      <c r="AL1919" s="44"/>
      <c r="AM1919" s="44"/>
      <c r="AN1919" s="44"/>
      <c r="AO1919" s="44"/>
      <c r="AP1919" s="44"/>
      <c r="AQ1919" s="44"/>
      <c r="BA1919" s="5"/>
      <c r="BB1919" s="5"/>
      <c r="BC1919" s="5"/>
      <c r="BD1919" s="5"/>
      <c r="BE1919" s="63"/>
      <c r="BF1919" s="63"/>
      <c r="BG1919" s="63"/>
      <c r="CA1919" s="256"/>
      <c r="CB1919" s="261"/>
      <c r="CC1919" s="261"/>
      <c r="CD1919" s="261"/>
      <c r="CE1919" s="261"/>
      <c r="CF1919" s="261"/>
      <c r="CG1919" s="53"/>
      <c r="CH1919" s="53"/>
      <c r="CI1919" s="53"/>
      <c r="CJ1919" s="53"/>
      <c r="CK1919" s="53"/>
      <c r="CL1919" s="53"/>
      <c r="CN1919" s="53"/>
      <c r="CO1919" s="53"/>
      <c r="CP1919" s="53"/>
      <c r="CQ1919" s="53"/>
      <c r="CR1919" s="53"/>
      <c r="CS1919" s="53"/>
      <c r="CT1919" s="261"/>
      <c r="CU1919" s="261"/>
      <c r="CV1919" s="261"/>
      <c r="CW1919" s="261"/>
      <c r="CX1919" s="261"/>
      <c r="CY1919" s="255"/>
    </row>
    <row r="1920" spans="1:103" ht="10.25" customHeight="1">
      <c r="A1920" s="216"/>
      <c r="B1920" s="217"/>
      <c r="C1920" s="218"/>
      <c r="D1920" s="219"/>
      <c r="E1920" s="217"/>
      <c r="F1920" s="217"/>
      <c r="G1920" s="217"/>
      <c r="H1920" s="220"/>
      <c r="I1920" s="217"/>
      <c r="J1920" s="217"/>
      <c r="K1920" s="217"/>
      <c r="L1920" s="217"/>
      <c r="M1920" s="217"/>
      <c r="N1920" s="217"/>
      <c r="O1920" s="44"/>
      <c r="P1920" s="44"/>
      <c r="Q1920" s="44"/>
      <c r="R1920" s="44"/>
      <c r="S1920" s="44"/>
      <c r="T1920" s="44"/>
      <c r="U1920" s="44"/>
      <c r="V1920" s="44"/>
      <c r="W1920" s="44"/>
      <c r="X1920" s="44"/>
      <c r="Y1920" s="44"/>
      <c r="Z1920" s="44"/>
      <c r="AA1920" s="44"/>
      <c r="AB1920" s="44"/>
      <c r="AC1920" s="44"/>
      <c r="AD1920" s="44"/>
      <c r="AE1920" s="44"/>
      <c r="AF1920" s="44"/>
      <c r="AG1920" s="44"/>
      <c r="AH1920" s="44"/>
      <c r="AI1920" s="44"/>
      <c r="AJ1920" s="44"/>
      <c r="AK1920" s="44"/>
      <c r="AL1920" s="44"/>
      <c r="AM1920" s="44"/>
      <c r="AN1920" s="44"/>
      <c r="AO1920" s="44"/>
      <c r="AP1920" s="44"/>
      <c r="AQ1920" s="44"/>
      <c r="BA1920" s="5"/>
      <c r="BB1920" s="5"/>
      <c r="BC1920" s="5"/>
      <c r="BD1920" s="5"/>
      <c r="BE1920" s="63"/>
      <c r="BF1920" s="63"/>
      <c r="BG1920" s="63"/>
      <c r="CA1920" s="256"/>
      <c r="CB1920" s="261"/>
      <c r="CC1920" s="261"/>
      <c r="CD1920" s="261"/>
      <c r="CE1920" s="261"/>
      <c r="CF1920" s="261"/>
      <c r="CG1920" s="53"/>
      <c r="CH1920" s="53"/>
      <c r="CI1920" s="53"/>
      <c r="CJ1920" s="53"/>
      <c r="CK1920" s="53"/>
      <c r="CL1920" s="53"/>
      <c r="CN1920" s="53"/>
      <c r="CO1920" s="53"/>
      <c r="CP1920" s="53"/>
      <c r="CQ1920" s="53"/>
      <c r="CR1920" s="53"/>
      <c r="CS1920" s="53"/>
      <c r="CT1920" s="261"/>
      <c r="CU1920" s="261"/>
      <c r="CV1920" s="261"/>
      <c r="CW1920" s="255"/>
      <c r="CX1920" s="261"/>
      <c r="CY1920" s="255"/>
    </row>
    <row r="1921" spans="1:103" ht="10.25" customHeight="1">
      <c r="A1921" s="216"/>
      <c r="B1921" s="217"/>
      <c r="C1921" s="218"/>
      <c r="D1921" s="219"/>
      <c r="E1921" s="217"/>
      <c r="F1921" s="217"/>
      <c r="G1921" s="217"/>
      <c r="H1921" s="220"/>
      <c r="I1921" s="217"/>
      <c r="J1921" s="217"/>
      <c r="K1921" s="217"/>
      <c r="L1921" s="217"/>
      <c r="M1921" s="217"/>
      <c r="N1921" s="217"/>
      <c r="O1921" s="44"/>
      <c r="P1921" s="44"/>
      <c r="Q1921" s="44"/>
      <c r="R1921" s="44"/>
      <c r="S1921" s="44"/>
      <c r="T1921" s="44"/>
      <c r="U1921" s="44"/>
      <c r="V1921" s="44"/>
      <c r="W1921" s="44"/>
      <c r="X1921" s="44"/>
      <c r="Y1921" s="44"/>
      <c r="Z1921" s="44"/>
      <c r="AA1921" s="44"/>
      <c r="AB1921" s="44"/>
      <c r="AC1921" s="44"/>
      <c r="AD1921" s="44"/>
      <c r="AE1921" s="44"/>
      <c r="AF1921" s="44"/>
      <c r="AG1921" s="44"/>
      <c r="AH1921" s="44"/>
      <c r="AI1921" s="44"/>
      <c r="AJ1921" s="44"/>
      <c r="AK1921" s="44"/>
      <c r="AL1921" s="44"/>
      <c r="AM1921" s="44"/>
      <c r="AN1921" s="44"/>
      <c r="AO1921" s="44"/>
      <c r="AP1921" s="44"/>
      <c r="AQ1921" s="44"/>
      <c r="BA1921" s="5"/>
      <c r="BB1921" s="5"/>
      <c r="BC1921" s="5"/>
      <c r="BD1921" s="5"/>
      <c r="BE1921" s="63"/>
      <c r="BF1921" s="63"/>
      <c r="BG1921" s="63"/>
      <c r="CA1921" s="256"/>
      <c r="CB1921" s="261"/>
      <c r="CC1921" s="261"/>
      <c r="CD1921" s="261"/>
      <c r="CE1921" s="261"/>
      <c r="CF1921" s="261"/>
      <c r="CG1921" s="53"/>
      <c r="CH1921" s="53"/>
      <c r="CI1921" s="53"/>
      <c r="CJ1921" s="53"/>
      <c r="CK1921" s="53"/>
      <c r="CL1921" s="53"/>
      <c r="CN1921" s="53"/>
      <c r="CO1921" s="53"/>
      <c r="CP1921" s="53"/>
      <c r="CQ1921" s="53"/>
      <c r="CR1921" s="53"/>
      <c r="CS1921" s="53"/>
      <c r="CT1921" s="261"/>
      <c r="CU1921" s="261"/>
      <c r="CV1921" s="261"/>
      <c r="CW1921" s="261"/>
      <c r="CX1921" s="261"/>
      <c r="CY1921" s="255"/>
    </row>
    <row r="1922" spans="1:103" ht="10.25" customHeight="1">
      <c r="A1922" s="216"/>
      <c r="B1922" s="217"/>
      <c r="C1922" s="218"/>
      <c r="D1922" s="219"/>
      <c r="E1922" s="217"/>
      <c r="F1922" s="217"/>
      <c r="G1922" s="217"/>
      <c r="H1922" s="220"/>
      <c r="I1922" s="217"/>
      <c r="J1922" s="217"/>
      <c r="K1922" s="217"/>
      <c r="L1922" s="217"/>
      <c r="M1922" s="217"/>
      <c r="N1922" s="217"/>
      <c r="O1922" s="44"/>
      <c r="P1922" s="44"/>
      <c r="Q1922" s="44"/>
      <c r="R1922" s="44"/>
      <c r="S1922" s="44"/>
      <c r="T1922" s="44"/>
      <c r="U1922" s="44"/>
      <c r="V1922" s="44"/>
      <c r="W1922" s="44"/>
      <c r="X1922" s="44"/>
      <c r="Y1922" s="44"/>
      <c r="Z1922" s="44"/>
      <c r="AA1922" s="44"/>
      <c r="AB1922" s="44"/>
      <c r="AC1922" s="44"/>
      <c r="AD1922" s="44"/>
      <c r="AE1922" s="44"/>
      <c r="AF1922" s="44"/>
      <c r="AG1922" s="44"/>
      <c r="AH1922" s="44"/>
      <c r="AI1922" s="44"/>
      <c r="AJ1922" s="44"/>
      <c r="AK1922" s="44"/>
      <c r="AL1922" s="44"/>
      <c r="AM1922" s="44"/>
      <c r="AN1922" s="44"/>
      <c r="AO1922" s="44"/>
      <c r="AP1922" s="44"/>
      <c r="AQ1922" s="44"/>
      <c r="BA1922" s="5"/>
      <c r="BB1922" s="5"/>
      <c r="BC1922" s="5"/>
      <c r="BD1922" s="5"/>
      <c r="BE1922" s="63"/>
      <c r="BF1922" s="63"/>
      <c r="BG1922" s="63"/>
      <c r="CA1922" s="256"/>
      <c r="CB1922" s="261"/>
      <c r="CC1922" s="261"/>
      <c r="CD1922" s="261"/>
      <c r="CE1922" s="261"/>
      <c r="CF1922" s="261"/>
      <c r="CG1922" s="53"/>
      <c r="CH1922" s="53"/>
      <c r="CI1922" s="53"/>
      <c r="CJ1922" s="53"/>
      <c r="CK1922" s="53"/>
      <c r="CL1922" s="53"/>
      <c r="CN1922" s="53"/>
      <c r="CO1922" s="53"/>
      <c r="CP1922" s="53"/>
      <c r="CQ1922" s="53"/>
      <c r="CR1922" s="53"/>
      <c r="CS1922" s="53"/>
      <c r="CT1922" s="261"/>
      <c r="CU1922" s="261"/>
      <c r="CV1922" s="255"/>
      <c r="CW1922" s="255"/>
      <c r="CX1922" s="261"/>
      <c r="CY1922" s="255"/>
    </row>
    <row r="1923" spans="1:103" ht="10.25" customHeight="1">
      <c r="A1923" s="216"/>
      <c r="B1923" s="217"/>
      <c r="C1923" s="218"/>
      <c r="D1923" s="219"/>
      <c r="E1923" s="217"/>
      <c r="F1923" s="217"/>
      <c r="G1923" s="217"/>
      <c r="H1923" s="220"/>
      <c r="I1923" s="217"/>
      <c r="J1923" s="217"/>
      <c r="K1923" s="217"/>
      <c r="L1923" s="217"/>
      <c r="M1923" s="217"/>
      <c r="N1923" s="217"/>
      <c r="O1923" s="44"/>
      <c r="P1923" s="44"/>
      <c r="Q1923" s="44"/>
      <c r="R1923" s="44"/>
      <c r="S1923" s="44"/>
      <c r="T1923" s="44"/>
      <c r="U1923" s="44"/>
      <c r="V1923" s="44"/>
      <c r="W1923" s="44"/>
      <c r="X1923" s="44"/>
      <c r="Y1923" s="44"/>
      <c r="Z1923" s="44"/>
      <c r="AA1923" s="44"/>
      <c r="AB1923" s="44"/>
      <c r="AC1923" s="44"/>
      <c r="AD1923" s="44"/>
      <c r="AE1923" s="44"/>
      <c r="AF1923" s="44"/>
      <c r="AG1923" s="44"/>
      <c r="AH1923" s="44"/>
      <c r="AI1923" s="44"/>
      <c r="AJ1923" s="44"/>
      <c r="AK1923" s="44"/>
      <c r="AL1923" s="44"/>
      <c r="AM1923" s="44"/>
      <c r="AN1923" s="44"/>
      <c r="AO1923" s="44"/>
      <c r="AP1923" s="44"/>
      <c r="AQ1923" s="44"/>
      <c r="BA1923" s="5"/>
      <c r="BB1923" s="5"/>
      <c r="BC1923" s="5"/>
      <c r="BD1923" s="5"/>
      <c r="BE1923" s="63"/>
      <c r="BF1923" s="63"/>
      <c r="BG1923" s="63"/>
      <c r="CA1923" s="256"/>
      <c r="CB1923" s="261"/>
      <c r="CC1923" s="261"/>
      <c r="CD1923" s="261"/>
      <c r="CE1923" s="261"/>
      <c r="CF1923" s="261"/>
      <c r="CG1923" s="53"/>
      <c r="CH1923" s="53"/>
      <c r="CI1923" s="53"/>
      <c r="CJ1923" s="53"/>
      <c r="CK1923" s="53"/>
      <c r="CL1923" s="53"/>
      <c r="CN1923" s="53"/>
      <c r="CO1923" s="53"/>
      <c r="CP1923" s="53"/>
      <c r="CQ1923" s="53"/>
      <c r="CR1923" s="53"/>
      <c r="CS1923" s="53"/>
      <c r="CT1923" s="261"/>
      <c r="CU1923" s="261"/>
      <c r="CV1923" s="261"/>
      <c r="CW1923" s="261"/>
      <c r="CX1923" s="261"/>
      <c r="CY1923" s="255"/>
    </row>
    <row r="1924" spans="1:103" ht="10.25" customHeight="1">
      <c r="A1924" s="216"/>
      <c r="B1924" s="217"/>
      <c r="C1924" s="218"/>
      <c r="D1924" s="219"/>
      <c r="E1924" s="217"/>
      <c r="F1924" s="217"/>
      <c r="G1924" s="217"/>
      <c r="H1924" s="220"/>
      <c r="I1924" s="217"/>
      <c r="J1924" s="217"/>
      <c r="K1924" s="217"/>
      <c r="L1924" s="217"/>
      <c r="M1924" s="217"/>
      <c r="N1924" s="217"/>
      <c r="O1924" s="44"/>
      <c r="P1924" s="44"/>
      <c r="Q1924" s="44"/>
      <c r="R1924" s="44"/>
      <c r="S1924" s="44"/>
      <c r="T1924" s="44"/>
      <c r="U1924" s="44"/>
      <c r="V1924" s="44"/>
      <c r="W1924" s="44"/>
      <c r="X1924" s="44"/>
      <c r="Y1924" s="44"/>
      <c r="Z1924" s="44"/>
      <c r="AA1924" s="44"/>
      <c r="AB1924" s="44"/>
      <c r="AC1924" s="44"/>
      <c r="AD1924" s="44"/>
      <c r="AE1924" s="44"/>
      <c r="AF1924" s="44"/>
      <c r="AG1924" s="44"/>
      <c r="AH1924" s="44"/>
      <c r="AI1924" s="44"/>
      <c r="AJ1924" s="44"/>
      <c r="AK1924" s="44"/>
      <c r="AL1924" s="44"/>
      <c r="AM1924" s="44"/>
      <c r="AN1924" s="44"/>
      <c r="AO1924" s="44"/>
      <c r="AP1924" s="44"/>
      <c r="AQ1924" s="44"/>
      <c r="BA1924" s="5"/>
      <c r="BB1924" s="5"/>
      <c r="BC1924" s="5"/>
      <c r="BD1924" s="5"/>
      <c r="BE1924" s="63"/>
      <c r="BF1924" s="63"/>
      <c r="BG1924" s="63"/>
      <c r="CA1924" s="256"/>
      <c r="CB1924" s="261"/>
      <c r="CC1924" s="261"/>
      <c r="CD1924" s="261"/>
      <c r="CE1924" s="261"/>
      <c r="CF1924" s="261"/>
      <c r="CG1924" s="53"/>
      <c r="CH1924" s="53"/>
      <c r="CI1924" s="53"/>
      <c r="CJ1924" s="53"/>
      <c r="CK1924" s="53"/>
      <c r="CL1924" s="53"/>
      <c r="CN1924" s="53"/>
      <c r="CO1924" s="53"/>
      <c r="CP1924" s="53"/>
      <c r="CQ1924" s="53"/>
      <c r="CR1924" s="53"/>
      <c r="CS1924" s="53"/>
      <c r="CT1924" s="261"/>
      <c r="CU1924" s="261"/>
      <c r="CV1924" s="255"/>
      <c r="CW1924" s="255"/>
      <c r="CX1924" s="255"/>
      <c r="CY1924" s="255"/>
    </row>
    <row r="1925" spans="1:103" ht="10.25" customHeight="1">
      <c r="A1925" s="216"/>
      <c r="B1925" s="217"/>
      <c r="C1925" s="218"/>
      <c r="D1925" s="219"/>
      <c r="E1925" s="217"/>
      <c r="F1925" s="217"/>
      <c r="G1925" s="217"/>
      <c r="H1925" s="220"/>
      <c r="I1925" s="217"/>
      <c r="J1925" s="217"/>
      <c r="K1925" s="217"/>
      <c r="L1925" s="217"/>
      <c r="M1925" s="217"/>
      <c r="N1925" s="217"/>
      <c r="O1925" s="44"/>
      <c r="P1925" s="44"/>
      <c r="Q1925" s="44"/>
      <c r="R1925" s="44"/>
      <c r="S1925" s="44"/>
      <c r="T1925" s="44"/>
      <c r="U1925" s="44"/>
      <c r="V1925" s="44"/>
      <c r="W1925" s="44"/>
      <c r="X1925" s="44"/>
      <c r="Y1925" s="44"/>
      <c r="Z1925" s="44"/>
      <c r="AA1925" s="44"/>
      <c r="AB1925" s="44"/>
      <c r="AC1925" s="44"/>
      <c r="AD1925" s="44"/>
      <c r="AE1925" s="44"/>
      <c r="AF1925" s="44"/>
      <c r="AG1925" s="44"/>
      <c r="AH1925" s="44"/>
      <c r="AI1925" s="44"/>
      <c r="AJ1925" s="44"/>
      <c r="AK1925" s="44"/>
      <c r="AL1925" s="44"/>
      <c r="AM1925" s="44"/>
      <c r="AN1925" s="44"/>
      <c r="AO1925" s="44"/>
      <c r="AP1925" s="44"/>
      <c r="AQ1925" s="44"/>
      <c r="BA1925" s="5"/>
      <c r="BB1925" s="5"/>
      <c r="BC1925" s="5"/>
      <c r="BD1925" s="5"/>
      <c r="BE1925" s="63"/>
      <c r="BF1925" s="63"/>
      <c r="BG1925" s="63"/>
      <c r="CA1925" s="256"/>
      <c r="CB1925" s="261"/>
      <c r="CC1925" s="261"/>
      <c r="CD1925" s="261"/>
      <c r="CE1925" s="261"/>
      <c r="CF1925" s="261"/>
      <c r="CG1925" s="53"/>
      <c r="CH1925" s="53"/>
      <c r="CI1925" s="53"/>
      <c r="CJ1925" s="53"/>
      <c r="CK1925" s="53"/>
      <c r="CL1925" s="53"/>
      <c r="CN1925" s="53"/>
      <c r="CO1925" s="53"/>
      <c r="CP1925" s="53"/>
      <c r="CQ1925" s="53"/>
      <c r="CR1925" s="53"/>
      <c r="CS1925" s="53"/>
      <c r="CT1925" s="261"/>
      <c r="CU1925" s="261"/>
      <c r="CV1925" s="261"/>
      <c r="CW1925" s="255"/>
      <c r="CX1925" s="261"/>
      <c r="CY1925" s="255"/>
    </row>
    <row r="1926" spans="1:103" ht="10.25" customHeight="1">
      <c r="A1926" s="216"/>
      <c r="B1926" s="217"/>
      <c r="C1926" s="218"/>
      <c r="D1926" s="219"/>
      <c r="E1926" s="217"/>
      <c r="F1926" s="217"/>
      <c r="G1926" s="217"/>
      <c r="H1926" s="220"/>
      <c r="I1926" s="217"/>
      <c r="J1926" s="217"/>
      <c r="K1926" s="217"/>
      <c r="L1926" s="217"/>
      <c r="M1926" s="217"/>
      <c r="N1926" s="217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BA1926" s="5"/>
      <c r="BB1926" s="5"/>
      <c r="BC1926" s="5"/>
      <c r="BD1926" s="5"/>
      <c r="BE1926" s="63"/>
      <c r="BF1926" s="63"/>
      <c r="BG1926" s="63"/>
      <c r="CA1926" s="256"/>
      <c r="CB1926" s="261"/>
      <c r="CC1926" s="261"/>
      <c r="CD1926" s="261"/>
      <c r="CE1926" s="261"/>
      <c r="CF1926" s="261"/>
      <c r="CG1926" s="53"/>
      <c r="CH1926" s="53"/>
      <c r="CI1926" s="53"/>
      <c r="CJ1926" s="53"/>
      <c r="CK1926" s="53"/>
      <c r="CL1926" s="53"/>
      <c r="CN1926" s="53"/>
      <c r="CO1926" s="53"/>
      <c r="CP1926" s="53"/>
      <c r="CQ1926" s="53"/>
      <c r="CR1926" s="53"/>
      <c r="CS1926" s="53"/>
      <c r="CT1926" s="261"/>
      <c r="CU1926" s="261"/>
      <c r="CV1926" s="255"/>
      <c r="CW1926" s="255"/>
      <c r="CX1926" s="261"/>
      <c r="CY1926" s="255"/>
    </row>
    <row r="1927" spans="1:103" ht="10.25" customHeight="1">
      <c r="A1927" s="216"/>
      <c r="B1927" s="217"/>
      <c r="C1927" s="218"/>
      <c r="D1927" s="219"/>
      <c r="E1927" s="217"/>
      <c r="F1927" s="217"/>
      <c r="G1927" s="217"/>
      <c r="H1927" s="220"/>
      <c r="I1927" s="217"/>
      <c r="J1927" s="217"/>
      <c r="K1927" s="217"/>
      <c r="L1927" s="217"/>
      <c r="M1927" s="217"/>
      <c r="N1927" s="217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BA1927" s="5"/>
      <c r="BB1927" s="5"/>
      <c r="BC1927" s="5"/>
      <c r="BD1927" s="5"/>
      <c r="BE1927" s="63"/>
      <c r="BF1927" s="63"/>
      <c r="BG1927" s="63"/>
      <c r="CA1927" s="256"/>
      <c r="CB1927" s="261"/>
      <c r="CC1927" s="261"/>
      <c r="CD1927" s="261"/>
      <c r="CE1927" s="261"/>
      <c r="CF1927" s="261"/>
      <c r="CG1927" s="53"/>
      <c r="CH1927" s="53"/>
      <c r="CI1927" s="53"/>
      <c r="CJ1927" s="53"/>
      <c r="CK1927" s="53"/>
      <c r="CL1927" s="53"/>
      <c r="CN1927" s="53"/>
      <c r="CO1927" s="53"/>
      <c r="CP1927" s="53"/>
      <c r="CQ1927" s="53"/>
      <c r="CR1927" s="53"/>
      <c r="CS1927" s="53"/>
      <c r="CT1927" s="261"/>
      <c r="CU1927" s="261"/>
      <c r="CV1927" s="261"/>
      <c r="CW1927" s="261"/>
      <c r="CX1927" s="261"/>
      <c r="CY1927" s="255"/>
    </row>
    <row r="1928" spans="1:103" ht="10.25" customHeight="1">
      <c r="A1928" s="216"/>
      <c r="B1928" s="217"/>
      <c r="C1928" s="218"/>
      <c r="D1928" s="219"/>
      <c r="E1928" s="217"/>
      <c r="F1928" s="217"/>
      <c r="G1928" s="217"/>
      <c r="H1928" s="220"/>
      <c r="I1928" s="217"/>
      <c r="J1928" s="217"/>
      <c r="K1928" s="217"/>
      <c r="L1928" s="217"/>
      <c r="M1928" s="217"/>
      <c r="N1928" s="217"/>
      <c r="O1928" s="44"/>
      <c r="P1928" s="44"/>
      <c r="Q1928" s="44"/>
      <c r="R1928" s="44"/>
      <c r="S1928" s="44"/>
      <c r="T1928" s="44"/>
      <c r="U1928" s="44"/>
      <c r="V1928" s="44"/>
      <c r="W1928" s="44"/>
      <c r="X1928" s="44"/>
      <c r="Y1928" s="44"/>
      <c r="Z1928" s="44"/>
      <c r="AA1928" s="44"/>
      <c r="AB1928" s="44"/>
      <c r="AC1928" s="44"/>
      <c r="AD1928" s="44"/>
      <c r="AE1928" s="44"/>
      <c r="AF1928" s="44"/>
      <c r="AG1928" s="44"/>
      <c r="AH1928" s="44"/>
      <c r="AI1928" s="44"/>
      <c r="AJ1928" s="44"/>
      <c r="AK1928" s="44"/>
      <c r="AL1928" s="44"/>
      <c r="AM1928" s="44"/>
      <c r="AN1928" s="44"/>
      <c r="AO1928" s="44"/>
      <c r="AP1928" s="44"/>
      <c r="AQ1928" s="44"/>
      <c r="BA1928" s="5"/>
      <c r="BB1928" s="5"/>
      <c r="BC1928" s="5"/>
      <c r="BD1928" s="5"/>
      <c r="BE1928" s="63"/>
      <c r="BF1928" s="63"/>
      <c r="BG1928" s="63"/>
      <c r="CA1928" s="256"/>
      <c r="CB1928" s="261"/>
      <c r="CC1928" s="261"/>
      <c r="CD1928" s="261"/>
      <c r="CE1928" s="261"/>
      <c r="CF1928" s="261"/>
      <c r="CG1928" s="53"/>
      <c r="CH1928" s="53"/>
      <c r="CI1928" s="53"/>
      <c r="CJ1928" s="53"/>
      <c r="CK1928" s="53"/>
      <c r="CL1928" s="53"/>
      <c r="CN1928" s="53"/>
      <c r="CO1928" s="53"/>
      <c r="CP1928" s="53"/>
      <c r="CQ1928" s="53"/>
      <c r="CR1928" s="53"/>
      <c r="CS1928" s="53"/>
      <c r="CT1928" s="261"/>
      <c r="CU1928" s="261"/>
      <c r="CV1928" s="255"/>
      <c r="CW1928" s="255"/>
      <c r="CX1928" s="261"/>
      <c r="CY1928" s="255"/>
    </row>
    <row r="1929" spans="1:103" ht="10.25" customHeight="1">
      <c r="A1929" s="216"/>
      <c r="B1929" s="217"/>
      <c r="C1929" s="218"/>
      <c r="D1929" s="219"/>
      <c r="E1929" s="217"/>
      <c r="F1929" s="217"/>
      <c r="G1929" s="217"/>
      <c r="H1929" s="220"/>
      <c r="I1929" s="217"/>
      <c r="J1929" s="217"/>
      <c r="K1929" s="217"/>
      <c r="L1929" s="217"/>
      <c r="M1929" s="217"/>
      <c r="N1929" s="217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44"/>
      <c r="AL1929" s="44"/>
      <c r="AM1929" s="44"/>
      <c r="AN1929" s="44"/>
      <c r="AO1929" s="44"/>
      <c r="AP1929" s="44"/>
      <c r="AQ1929" s="44"/>
      <c r="BA1929" s="5"/>
      <c r="BB1929" s="5"/>
      <c r="BC1929" s="5"/>
      <c r="BD1929" s="5"/>
      <c r="BE1929" s="63"/>
      <c r="BF1929" s="63"/>
      <c r="BG1929" s="63"/>
      <c r="CA1929" s="256"/>
      <c r="CB1929" s="261"/>
      <c r="CC1929" s="261"/>
      <c r="CD1929" s="261"/>
      <c r="CE1929" s="261"/>
      <c r="CF1929" s="255"/>
      <c r="CG1929" s="53"/>
      <c r="CH1929" s="53"/>
      <c r="CI1929" s="53"/>
      <c r="CJ1929" s="53"/>
      <c r="CK1929" s="53"/>
      <c r="CL1929" s="53"/>
      <c r="CN1929" s="53"/>
      <c r="CO1929" s="53"/>
      <c r="CP1929" s="53"/>
      <c r="CQ1929" s="53"/>
      <c r="CR1929" s="53"/>
      <c r="CS1929" s="53"/>
      <c r="CT1929" s="261"/>
      <c r="CU1929" s="255"/>
      <c r="CV1929" s="261"/>
      <c r="CW1929" s="261"/>
      <c r="CX1929" s="261"/>
      <c r="CY1929" s="255"/>
    </row>
    <row r="1930" spans="1:103" ht="10.25" customHeight="1">
      <c r="A1930" s="216"/>
      <c r="B1930" s="217"/>
      <c r="C1930" s="218"/>
      <c r="D1930" s="219"/>
      <c r="E1930" s="217"/>
      <c r="F1930" s="217"/>
      <c r="G1930" s="217"/>
      <c r="H1930" s="220"/>
      <c r="I1930" s="217"/>
      <c r="J1930" s="217"/>
      <c r="K1930" s="217"/>
      <c r="L1930" s="217"/>
      <c r="M1930" s="217"/>
      <c r="N1930" s="217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BA1930" s="5"/>
      <c r="BB1930" s="5"/>
      <c r="BC1930" s="5"/>
      <c r="BD1930" s="5"/>
      <c r="BE1930" s="63"/>
      <c r="BF1930" s="63"/>
      <c r="BG1930" s="63"/>
      <c r="CA1930" s="256"/>
      <c r="CB1930" s="261"/>
      <c r="CC1930" s="261"/>
      <c r="CD1930" s="261"/>
      <c r="CE1930" s="261"/>
      <c r="CF1930" s="255"/>
      <c r="CG1930" s="53"/>
      <c r="CH1930" s="53"/>
      <c r="CI1930" s="53"/>
      <c r="CJ1930" s="53"/>
      <c r="CK1930" s="53"/>
      <c r="CL1930" s="53"/>
      <c r="CN1930" s="53"/>
      <c r="CO1930" s="53"/>
      <c r="CP1930" s="53"/>
      <c r="CQ1930" s="53"/>
      <c r="CR1930" s="53"/>
      <c r="CS1930" s="53"/>
      <c r="CT1930" s="261"/>
      <c r="CU1930" s="255"/>
      <c r="CV1930" s="255"/>
      <c r="CW1930" s="255"/>
      <c r="CX1930" s="261"/>
      <c r="CY1930" s="255"/>
    </row>
    <row r="1931" spans="1:103" ht="10.25" customHeight="1">
      <c r="A1931" s="216"/>
      <c r="B1931" s="217"/>
      <c r="C1931" s="218"/>
      <c r="D1931" s="219"/>
      <c r="E1931" s="217"/>
      <c r="F1931" s="217"/>
      <c r="G1931" s="217"/>
      <c r="H1931" s="220"/>
      <c r="I1931" s="217"/>
      <c r="J1931" s="217"/>
      <c r="K1931" s="217"/>
      <c r="L1931" s="217"/>
      <c r="M1931" s="217"/>
      <c r="N1931" s="217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BA1931" s="5"/>
      <c r="BB1931" s="5"/>
      <c r="BC1931" s="5"/>
      <c r="BD1931" s="5"/>
      <c r="BE1931" s="63"/>
      <c r="BF1931" s="63"/>
      <c r="BG1931" s="63"/>
      <c r="CA1931" s="256"/>
      <c r="CB1931" s="261"/>
      <c r="CC1931" s="261"/>
      <c r="CD1931" s="261"/>
      <c r="CE1931" s="255"/>
      <c r="CF1931" s="261"/>
      <c r="CG1931" s="53"/>
      <c r="CH1931" s="53"/>
      <c r="CI1931" s="53"/>
      <c r="CJ1931" s="53"/>
      <c r="CK1931" s="53"/>
      <c r="CL1931" s="53"/>
      <c r="CN1931" s="53"/>
      <c r="CO1931" s="53"/>
      <c r="CP1931" s="53"/>
      <c r="CQ1931" s="53"/>
      <c r="CR1931" s="53"/>
      <c r="CS1931" s="53"/>
      <c r="CT1931" s="255"/>
      <c r="CU1931" s="261"/>
      <c r="CV1931" s="261"/>
      <c r="CW1931" s="261"/>
      <c r="CX1931" s="261"/>
      <c r="CY1931" s="255"/>
    </row>
    <row r="1932" spans="1:103" ht="10.25" customHeight="1">
      <c r="A1932" s="216"/>
      <c r="B1932" s="217"/>
      <c r="C1932" s="218"/>
      <c r="D1932" s="219"/>
      <c r="E1932" s="217"/>
      <c r="F1932" s="217"/>
      <c r="G1932" s="217"/>
      <c r="H1932" s="220"/>
      <c r="I1932" s="217"/>
      <c r="J1932" s="217"/>
      <c r="K1932" s="217"/>
      <c r="L1932" s="217"/>
      <c r="M1932" s="217"/>
      <c r="N1932" s="217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BA1932" s="5"/>
      <c r="BB1932" s="5"/>
      <c r="BC1932" s="5"/>
      <c r="BD1932" s="5"/>
      <c r="BE1932" s="63"/>
      <c r="BF1932" s="63"/>
      <c r="BG1932" s="63"/>
      <c r="CA1932" s="256"/>
      <c r="CB1932" s="261"/>
      <c r="CC1932" s="261"/>
      <c r="CD1932" s="261"/>
      <c r="CE1932" s="255"/>
      <c r="CF1932" s="261"/>
      <c r="CG1932" s="53"/>
      <c r="CH1932" s="53"/>
      <c r="CI1932" s="53"/>
      <c r="CJ1932" s="53"/>
      <c r="CK1932" s="53"/>
      <c r="CL1932" s="53"/>
      <c r="CN1932" s="53"/>
      <c r="CO1932" s="53"/>
      <c r="CP1932" s="53"/>
      <c r="CQ1932" s="53"/>
      <c r="CR1932" s="53"/>
      <c r="CS1932" s="53"/>
      <c r="CT1932" s="255"/>
      <c r="CU1932" s="261"/>
      <c r="CV1932" s="255"/>
      <c r="CW1932" s="255"/>
      <c r="CX1932" s="261"/>
      <c r="CY1932" s="255"/>
    </row>
    <row r="1933" spans="1:103" ht="10.25" customHeight="1">
      <c r="A1933" s="216"/>
      <c r="B1933" s="217"/>
      <c r="C1933" s="218"/>
      <c r="D1933" s="219"/>
      <c r="E1933" s="217"/>
      <c r="F1933" s="217"/>
      <c r="G1933" s="217"/>
      <c r="H1933" s="220"/>
      <c r="I1933" s="217"/>
      <c r="J1933" s="217"/>
      <c r="K1933" s="217"/>
      <c r="L1933" s="217"/>
      <c r="M1933" s="217"/>
      <c r="N1933" s="217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BA1933" s="5"/>
      <c r="BB1933" s="5"/>
      <c r="BC1933" s="5"/>
      <c r="BD1933" s="5"/>
      <c r="BE1933" s="63"/>
      <c r="BF1933" s="63"/>
      <c r="BG1933" s="63"/>
      <c r="CA1933" s="256"/>
      <c r="CB1933" s="261"/>
      <c r="CC1933" s="261"/>
      <c r="CD1933" s="261"/>
      <c r="CE1933" s="261"/>
      <c r="CF1933" s="261"/>
      <c r="CG1933" s="53"/>
      <c r="CH1933" s="53"/>
      <c r="CI1933" s="53"/>
      <c r="CJ1933" s="53"/>
      <c r="CK1933" s="53"/>
      <c r="CL1933" s="53"/>
      <c r="CN1933" s="53"/>
      <c r="CO1933" s="53"/>
      <c r="CP1933" s="53"/>
      <c r="CQ1933" s="53"/>
      <c r="CR1933" s="53"/>
      <c r="CS1933" s="53"/>
      <c r="CT1933" s="261"/>
      <c r="CU1933" s="261"/>
      <c r="CV1933" s="261"/>
      <c r="CW1933" s="261"/>
      <c r="CX1933" s="255"/>
      <c r="CY1933" s="255"/>
    </row>
    <row r="1934" spans="1:103" ht="10.25" customHeight="1">
      <c r="A1934" s="216"/>
      <c r="B1934" s="217"/>
      <c r="C1934" s="218"/>
      <c r="D1934" s="219"/>
      <c r="E1934" s="217"/>
      <c r="F1934" s="217"/>
      <c r="G1934" s="217"/>
      <c r="H1934" s="220"/>
      <c r="I1934" s="217"/>
      <c r="J1934" s="217"/>
      <c r="K1934" s="217"/>
      <c r="L1934" s="217"/>
      <c r="M1934" s="217"/>
      <c r="N1934" s="217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BA1934" s="5"/>
      <c r="BB1934" s="5"/>
      <c r="BC1934" s="5"/>
      <c r="BD1934" s="5"/>
      <c r="BE1934" s="63"/>
      <c r="BF1934" s="63"/>
      <c r="BG1934" s="63"/>
      <c r="CA1934" s="256"/>
      <c r="CB1934" s="261"/>
      <c r="CC1934" s="261"/>
      <c r="CD1934" s="261"/>
      <c r="CE1934" s="261"/>
      <c r="CF1934" s="261"/>
      <c r="CG1934" s="53"/>
      <c r="CH1934" s="53"/>
      <c r="CI1934" s="53"/>
      <c r="CJ1934" s="53"/>
      <c r="CK1934" s="53"/>
      <c r="CL1934" s="53"/>
      <c r="CN1934" s="53"/>
      <c r="CO1934" s="53"/>
      <c r="CP1934" s="53"/>
      <c r="CQ1934" s="53"/>
      <c r="CR1934" s="53"/>
      <c r="CS1934" s="53"/>
      <c r="CT1934" s="261"/>
      <c r="CU1934" s="261"/>
      <c r="CV1934" s="255"/>
      <c r="CW1934" s="255"/>
      <c r="CX1934" s="261"/>
      <c r="CY1934" s="255"/>
    </row>
    <row r="1935" spans="1:103" ht="10.25" customHeight="1">
      <c r="A1935" s="216"/>
      <c r="B1935" s="217"/>
      <c r="C1935" s="218"/>
      <c r="D1935" s="219"/>
      <c r="E1935" s="217"/>
      <c r="F1935" s="217"/>
      <c r="G1935" s="217"/>
      <c r="H1935" s="220"/>
      <c r="I1935" s="217"/>
      <c r="J1935" s="217"/>
      <c r="K1935" s="217"/>
      <c r="L1935" s="217"/>
      <c r="M1935" s="217"/>
      <c r="N1935" s="217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BA1935" s="5"/>
      <c r="BB1935" s="5"/>
      <c r="BC1935" s="5"/>
      <c r="BD1935" s="5"/>
      <c r="BE1935" s="63"/>
      <c r="BF1935" s="63"/>
      <c r="BG1935" s="63"/>
      <c r="CA1935" s="256"/>
      <c r="CB1935" s="261"/>
      <c r="CC1935" s="261"/>
      <c r="CD1935" s="261"/>
      <c r="CE1935" s="261"/>
      <c r="CF1935" s="261"/>
      <c r="CG1935" s="53"/>
      <c r="CH1935" s="53"/>
      <c r="CI1935" s="53"/>
      <c r="CJ1935" s="53"/>
      <c r="CK1935" s="53"/>
      <c r="CL1935" s="53"/>
      <c r="CN1935" s="53"/>
      <c r="CO1935" s="53"/>
      <c r="CP1935" s="53"/>
      <c r="CQ1935" s="53"/>
      <c r="CR1935" s="53"/>
      <c r="CS1935" s="53"/>
      <c r="CT1935" s="261"/>
      <c r="CU1935" s="261"/>
      <c r="CV1935" s="261"/>
      <c r="CW1935" s="255"/>
      <c r="CX1935" s="261"/>
      <c r="CY1935" s="255"/>
    </row>
    <row r="1936" spans="1:103" ht="10.25" customHeight="1">
      <c r="A1936" s="216"/>
      <c r="B1936" s="217"/>
      <c r="C1936" s="218"/>
      <c r="D1936" s="219"/>
      <c r="E1936" s="217"/>
      <c r="F1936" s="217"/>
      <c r="G1936" s="217"/>
      <c r="H1936" s="220"/>
      <c r="I1936" s="217"/>
      <c r="J1936" s="217"/>
      <c r="K1936" s="217"/>
      <c r="L1936" s="217"/>
      <c r="M1936" s="217"/>
      <c r="N1936" s="217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BA1936" s="5"/>
      <c r="BB1936" s="5"/>
      <c r="BC1936" s="5"/>
      <c r="BD1936" s="5"/>
      <c r="BE1936" s="63"/>
      <c r="BF1936" s="63"/>
      <c r="BG1936" s="63"/>
      <c r="CA1936" s="256"/>
      <c r="CB1936" s="261"/>
      <c r="CC1936" s="261"/>
      <c r="CD1936" s="261"/>
      <c r="CE1936" s="261"/>
      <c r="CF1936" s="261"/>
      <c r="CG1936" s="53"/>
      <c r="CH1936" s="53"/>
      <c r="CI1936" s="53"/>
      <c r="CJ1936" s="53"/>
      <c r="CK1936" s="53"/>
      <c r="CL1936" s="53"/>
      <c r="CN1936" s="53"/>
      <c r="CO1936" s="53"/>
      <c r="CP1936" s="53"/>
      <c r="CQ1936" s="53"/>
      <c r="CR1936" s="53"/>
      <c r="CS1936" s="53"/>
      <c r="CT1936" s="261"/>
      <c r="CU1936" s="261"/>
      <c r="CV1936" s="255"/>
      <c r="CW1936" s="255"/>
      <c r="CX1936" s="261"/>
      <c r="CY1936" s="255"/>
    </row>
    <row r="1937" spans="1:103" ht="10.25" customHeight="1">
      <c r="A1937" s="216"/>
      <c r="B1937" s="217"/>
      <c r="C1937" s="218"/>
      <c r="D1937" s="219"/>
      <c r="E1937" s="217"/>
      <c r="F1937" s="217"/>
      <c r="G1937" s="217"/>
      <c r="H1937" s="220"/>
      <c r="I1937" s="217"/>
      <c r="J1937" s="217"/>
      <c r="K1937" s="217"/>
      <c r="L1937" s="217"/>
      <c r="M1937" s="217"/>
      <c r="N1937" s="217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BA1937" s="5"/>
      <c r="BB1937" s="5"/>
      <c r="BC1937" s="5"/>
      <c r="BD1937" s="5"/>
      <c r="BE1937" s="63"/>
      <c r="BF1937" s="63"/>
      <c r="BG1937" s="63"/>
      <c r="CA1937" s="256"/>
      <c r="CB1937" s="261"/>
      <c r="CC1937" s="261"/>
      <c r="CD1937" s="261"/>
      <c r="CE1937" s="261"/>
      <c r="CF1937" s="261"/>
      <c r="CG1937" s="53"/>
      <c r="CH1937" s="53"/>
      <c r="CI1937" s="53"/>
      <c r="CJ1937" s="53"/>
      <c r="CK1937" s="53"/>
      <c r="CL1937" s="53"/>
      <c r="CN1937" s="53"/>
      <c r="CO1937" s="53"/>
      <c r="CP1937" s="53"/>
      <c r="CQ1937" s="53"/>
      <c r="CR1937" s="53"/>
      <c r="CS1937" s="53"/>
      <c r="CT1937" s="261"/>
      <c r="CU1937" s="261"/>
      <c r="CV1937" s="261"/>
      <c r="CW1937" s="261"/>
      <c r="CX1937" s="261"/>
      <c r="CY1937" s="255"/>
    </row>
    <row r="1938" spans="1:103" ht="10.25" customHeight="1">
      <c r="A1938" s="216"/>
      <c r="B1938" s="217"/>
      <c r="C1938" s="218"/>
      <c r="D1938" s="219"/>
      <c r="E1938" s="217"/>
      <c r="F1938" s="217"/>
      <c r="G1938" s="217"/>
      <c r="H1938" s="220"/>
      <c r="I1938" s="217"/>
      <c r="J1938" s="217"/>
      <c r="K1938" s="217"/>
      <c r="L1938" s="217"/>
      <c r="M1938" s="217"/>
      <c r="N1938" s="217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BA1938" s="5"/>
      <c r="BB1938" s="5"/>
      <c r="BC1938" s="5"/>
      <c r="BD1938" s="5"/>
      <c r="BE1938" s="63"/>
      <c r="BF1938" s="63"/>
      <c r="BG1938" s="63"/>
      <c r="CA1938" s="256"/>
      <c r="CB1938" s="261"/>
      <c r="CC1938" s="261"/>
      <c r="CD1938" s="255"/>
      <c r="CE1938" s="261"/>
      <c r="CF1938" s="261"/>
      <c r="CG1938" s="53"/>
      <c r="CH1938" s="53"/>
      <c r="CI1938" s="53"/>
      <c r="CJ1938" s="53"/>
      <c r="CK1938" s="53"/>
      <c r="CL1938" s="53"/>
      <c r="CN1938" s="53"/>
      <c r="CO1938" s="53"/>
      <c r="CP1938" s="53"/>
      <c r="CQ1938" s="53"/>
      <c r="CR1938" s="53"/>
      <c r="CS1938" s="53"/>
      <c r="CT1938" s="261"/>
      <c r="CU1938" s="261"/>
      <c r="CV1938" s="261"/>
      <c r="CW1938" s="261"/>
      <c r="CX1938" s="261"/>
      <c r="CY1938" s="255"/>
    </row>
    <row r="1939" spans="1:103" ht="10.25" customHeight="1">
      <c r="A1939" s="216"/>
      <c r="B1939" s="217"/>
      <c r="C1939" s="218"/>
      <c r="D1939" s="219"/>
      <c r="E1939" s="217"/>
      <c r="F1939" s="217"/>
      <c r="G1939" s="217"/>
      <c r="H1939" s="220"/>
      <c r="I1939" s="217"/>
      <c r="J1939" s="217"/>
      <c r="K1939" s="217"/>
      <c r="L1939" s="217"/>
      <c r="M1939" s="217"/>
      <c r="N1939" s="217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BA1939" s="5"/>
      <c r="BB1939" s="5"/>
      <c r="BC1939" s="5"/>
      <c r="BD1939" s="5"/>
      <c r="BE1939" s="63"/>
      <c r="BF1939" s="63"/>
      <c r="BG1939" s="63"/>
      <c r="CA1939" s="256"/>
      <c r="CB1939" s="261"/>
      <c r="CC1939" s="261"/>
      <c r="CD1939" s="255"/>
      <c r="CE1939" s="261"/>
      <c r="CF1939" s="261"/>
      <c r="CG1939" s="53"/>
      <c r="CH1939" s="53"/>
      <c r="CI1939" s="53"/>
      <c r="CJ1939" s="53"/>
      <c r="CK1939" s="53"/>
      <c r="CL1939" s="53"/>
      <c r="CN1939" s="53"/>
      <c r="CO1939" s="53"/>
      <c r="CP1939" s="53"/>
      <c r="CQ1939" s="53"/>
      <c r="CR1939" s="53"/>
      <c r="CS1939" s="53"/>
      <c r="CT1939" s="261"/>
      <c r="CU1939" s="261"/>
      <c r="CV1939" s="261"/>
      <c r="CW1939" s="261"/>
      <c r="CX1939" s="261"/>
      <c r="CY1939" s="255"/>
    </row>
    <row r="1940" spans="1:103" ht="10.25" customHeight="1">
      <c r="A1940" s="216"/>
      <c r="B1940" s="217"/>
      <c r="C1940" s="218"/>
      <c r="D1940" s="219"/>
      <c r="E1940" s="217"/>
      <c r="F1940" s="217"/>
      <c r="G1940" s="217"/>
      <c r="H1940" s="220"/>
      <c r="I1940" s="217"/>
      <c r="J1940" s="217"/>
      <c r="K1940" s="217"/>
      <c r="L1940" s="217"/>
      <c r="M1940" s="217"/>
      <c r="N1940" s="217"/>
      <c r="O1940" s="44"/>
      <c r="P1940" s="44"/>
      <c r="Q1940" s="44"/>
      <c r="R1940" s="44"/>
      <c r="S1940" s="44"/>
      <c r="T1940" s="44"/>
      <c r="U1940" s="44"/>
      <c r="V1940" s="44"/>
      <c r="W1940" s="44"/>
      <c r="X1940" s="44"/>
      <c r="Y1940" s="44"/>
      <c r="Z1940" s="44"/>
      <c r="AA1940" s="44"/>
      <c r="AB1940" s="44"/>
      <c r="AC1940" s="44"/>
      <c r="AD1940" s="44"/>
      <c r="AE1940" s="44"/>
      <c r="AF1940" s="44"/>
      <c r="AG1940" s="44"/>
      <c r="AH1940" s="44"/>
      <c r="AI1940" s="44"/>
      <c r="AJ1940" s="44"/>
      <c r="AK1940" s="44"/>
      <c r="AL1940" s="44"/>
      <c r="AM1940" s="44"/>
      <c r="AN1940" s="44"/>
      <c r="AO1940" s="44"/>
      <c r="AP1940" s="44"/>
      <c r="AQ1940" s="44"/>
      <c r="BA1940" s="5"/>
      <c r="BB1940" s="5"/>
      <c r="BC1940" s="5"/>
      <c r="BD1940" s="5"/>
      <c r="BE1940" s="63"/>
      <c r="BF1940" s="63"/>
      <c r="BG1940" s="63"/>
      <c r="CA1940" s="256"/>
      <c r="CB1940" s="261"/>
      <c r="CC1940" s="261"/>
      <c r="CD1940" s="255"/>
      <c r="CE1940" s="261"/>
      <c r="CF1940" s="261"/>
      <c r="CG1940" s="53"/>
      <c r="CH1940" s="53"/>
      <c r="CI1940" s="53"/>
      <c r="CJ1940" s="53"/>
      <c r="CK1940" s="53"/>
      <c r="CL1940" s="53"/>
      <c r="CN1940" s="53"/>
      <c r="CO1940" s="53"/>
      <c r="CP1940" s="53"/>
      <c r="CQ1940" s="53"/>
      <c r="CR1940" s="53"/>
      <c r="CS1940" s="53"/>
      <c r="CT1940" s="261"/>
      <c r="CU1940" s="261"/>
      <c r="CV1940" s="261"/>
      <c r="CW1940" s="261"/>
      <c r="CX1940" s="261"/>
      <c r="CY1940" s="255"/>
    </row>
    <row r="1941" spans="1:103" ht="10.25" customHeight="1">
      <c r="A1941" s="216"/>
      <c r="B1941" s="217"/>
      <c r="C1941" s="218"/>
      <c r="D1941" s="219"/>
      <c r="E1941" s="217"/>
      <c r="F1941" s="217"/>
      <c r="G1941" s="217"/>
      <c r="H1941" s="220"/>
      <c r="I1941" s="217"/>
      <c r="J1941" s="217"/>
      <c r="K1941" s="217"/>
      <c r="L1941" s="217"/>
      <c r="M1941" s="217"/>
      <c r="N1941" s="217"/>
      <c r="O1941" s="44"/>
      <c r="P1941" s="44"/>
      <c r="Q1941" s="44"/>
      <c r="R1941" s="44"/>
      <c r="S1941" s="44"/>
      <c r="T1941" s="44"/>
      <c r="U1941" s="44"/>
      <c r="V1941" s="44"/>
      <c r="W1941" s="44"/>
      <c r="X1941" s="44"/>
      <c r="Y1941" s="44"/>
      <c r="Z1941" s="44"/>
      <c r="AA1941" s="44"/>
      <c r="AB1941" s="44"/>
      <c r="AC1941" s="44"/>
      <c r="AD1941" s="44"/>
      <c r="AE1941" s="44"/>
      <c r="AF1941" s="44"/>
      <c r="AG1941" s="44"/>
      <c r="AH1941" s="44"/>
      <c r="AI1941" s="44"/>
      <c r="AJ1941" s="44"/>
      <c r="AK1941" s="44"/>
      <c r="AL1941" s="44"/>
      <c r="AM1941" s="44"/>
      <c r="AN1941" s="44"/>
      <c r="AO1941" s="44"/>
      <c r="AP1941" s="44"/>
      <c r="AQ1941" s="44"/>
      <c r="BA1941" s="5"/>
      <c r="BB1941" s="5"/>
      <c r="BC1941" s="5"/>
      <c r="BD1941" s="5"/>
      <c r="BE1941" s="63"/>
      <c r="BF1941" s="63"/>
      <c r="BG1941" s="63"/>
      <c r="CA1941" s="256"/>
      <c r="CB1941" s="261"/>
      <c r="CC1941" s="255"/>
      <c r="CD1941" s="261"/>
      <c r="CE1941" s="261"/>
      <c r="CF1941" s="261"/>
      <c r="CG1941" s="53"/>
      <c r="CH1941" s="53"/>
      <c r="CI1941" s="53"/>
      <c r="CJ1941" s="53"/>
      <c r="CK1941" s="53"/>
      <c r="CL1941" s="53"/>
      <c r="CN1941" s="53"/>
      <c r="CO1941" s="53"/>
      <c r="CP1941" s="53"/>
      <c r="CQ1941" s="53"/>
      <c r="CR1941" s="53"/>
      <c r="CS1941" s="53"/>
      <c r="CT1941" s="261"/>
      <c r="CU1941" s="261"/>
      <c r="CV1941" s="261"/>
      <c r="CW1941" s="261"/>
      <c r="CX1941" s="261"/>
      <c r="CY1941" s="255"/>
    </row>
    <row r="1942" spans="1:103" ht="10.25" customHeight="1">
      <c r="A1942" s="216"/>
      <c r="B1942" s="217"/>
      <c r="C1942" s="218"/>
      <c r="D1942" s="219"/>
      <c r="E1942" s="217"/>
      <c r="F1942" s="217"/>
      <c r="G1942" s="217"/>
      <c r="H1942" s="220"/>
      <c r="I1942" s="217"/>
      <c r="J1942" s="217"/>
      <c r="K1942" s="217"/>
      <c r="L1942" s="217"/>
      <c r="M1942" s="217"/>
      <c r="N1942" s="217"/>
      <c r="O1942" s="44"/>
      <c r="P1942" s="44"/>
      <c r="Q1942" s="44"/>
      <c r="R1942" s="44"/>
      <c r="S1942" s="44"/>
      <c r="T1942" s="44"/>
      <c r="U1942" s="44"/>
      <c r="V1942" s="44"/>
      <c r="W1942" s="44"/>
      <c r="X1942" s="44"/>
      <c r="Y1942" s="44"/>
      <c r="Z1942" s="44"/>
      <c r="AA1942" s="44"/>
      <c r="AB1942" s="44"/>
      <c r="AC1942" s="44"/>
      <c r="AD1942" s="44"/>
      <c r="AE1942" s="44"/>
      <c r="AF1942" s="44"/>
      <c r="AG1942" s="44"/>
      <c r="AH1942" s="44"/>
      <c r="AI1942" s="44"/>
      <c r="AJ1942" s="44"/>
      <c r="AK1942" s="44"/>
      <c r="AL1942" s="44"/>
      <c r="AM1942" s="44"/>
      <c r="AN1942" s="44"/>
      <c r="AO1942" s="44"/>
      <c r="AP1942" s="44"/>
      <c r="AQ1942" s="44"/>
      <c r="BA1942" s="5"/>
      <c r="BB1942" s="5"/>
      <c r="BC1942" s="5"/>
      <c r="BD1942" s="5"/>
      <c r="BE1942" s="63"/>
      <c r="BF1942" s="63"/>
      <c r="BG1942" s="63"/>
      <c r="CA1942" s="256"/>
      <c r="CB1942" s="261"/>
      <c r="CC1942" s="255"/>
      <c r="CD1942" s="261"/>
      <c r="CE1942" s="261"/>
      <c r="CF1942" s="261"/>
      <c r="CG1942" s="53"/>
      <c r="CH1942" s="53"/>
      <c r="CI1942" s="53"/>
      <c r="CJ1942" s="53"/>
      <c r="CK1942" s="53"/>
      <c r="CL1942" s="53"/>
      <c r="CN1942" s="53"/>
      <c r="CO1942" s="53"/>
      <c r="CP1942" s="53"/>
      <c r="CQ1942" s="53"/>
      <c r="CR1942" s="53"/>
      <c r="CS1942" s="53"/>
      <c r="CT1942" s="261"/>
      <c r="CU1942" s="261"/>
      <c r="CV1942" s="261"/>
      <c r="CW1942" s="261"/>
      <c r="CX1942" s="261"/>
      <c r="CY1942" s="255"/>
    </row>
    <row r="1943" spans="1:103" ht="10.25" customHeight="1">
      <c r="A1943" s="371"/>
      <c r="B1943" s="371"/>
      <c r="C1943" s="371"/>
      <c r="D1943" s="269"/>
      <c r="L1943" s="269"/>
      <c r="M1943" s="269"/>
      <c r="N1943" s="269"/>
      <c r="O1943" s="63"/>
      <c r="P1943" s="63"/>
      <c r="Q1943" s="63"/>
      <c r="R1943" s="63"/>
      <c r="S1943" s="63"/>
      <c r="T1943" s="63"/>
      <c r="U1943" s="63"/>
      <c r="V1943" s="63"/>
      <c r="W1943" s="63"/>
      <c r="X1943" s="63"/>
      <c r="Y1943" s="63"/>
      <c r="Z1943" s="63"/>
      <c r="AA1943" s="63"/>
      <c r="AB1943" s="63"/>
      <c r="AC1943" s="63"/>
      <c r="AD1943" s="63"/>
      <c r="AE1943" s="63"/>
      <c r="AF1943" s="63"/>
      <c r="AG1943" s="63"/>
      <c r="AH1943" s="63"/>
      <c r="AI1943" s="63"/>
      <c r="AJ1943" s="63"/>
      <c r="AK1943" s="63"/>
      <c r="AL1943" s="63"/>
      <c r="AM1943" s="63"/>
      <c r="AN1943" s="63"/>
      <c r="AO1943" s="63"/>
      <c r="AP1943" s="63"/>
      <c r="AQ1943" s="63"/>
      <c r="CA1943" s="256"/>
      <c r="CB1943" s="261"/>
      <c r="CC1943" s="255"/>
      <c r="CD1943" s="261"/>
      <c r="CE1943" s="261"/>
      <c r="CF1943" s="261"/>
      <c r="CG1943" s="261"/>
      <c r="CH1943" s="261"/>
      <c r="CI1943" s="261"/>
      <c r="CJ1943" s="261"/>
      <c r="CK1943" s="261"/>
      <c r="CL1943" s="255"/>
      <c r="CN1943" s="256"/>
      <c r="CO1943" s="256"/>
      <c r="CP1943" s="261"/>
      <c r="CQ1943" s="261"/>
      <c r="CR1943" s="255"/>
      <c r="CS1943" s="261"/>
      <c r="CT1943" s="261"/>
      <c r="CU1943" s="261"/>
      <c r="CV1943" s="261"/>
      <c r="CW1943" s="261"/>
      <c r="CX1943" s="261"/>
      <c r="CY1943" s="255"/>
    </row>
    <row r="1944" spans="1:103" ht="12.65" customHeight="1">
      <c r="A1944" s="270"/>
      <c r="C1944" s="271"/>
      <c r="D1944" s="372"/>
      <c r="E1944" s="372"/>
      <c r="F1944" s="272"/>
      <c r="G1944" s="272"/>
      <c r="H1944" s="273"/>
      <c r="L1944" s="269"/>
      <c r="M1944" s="269"/>
      <c r="N1944" s="269"/>
      <c r="O1944" s="63"/>
      <c r="P1944" s="63"/>
      <c r="Q1944" s="63"/>
      <c r="R1944" s="63"/>
      <c r="S1944" s="63"/>
      <c r="T1944" s="63"/>
      <c r="U1944" s="63"/>
      <c r="V1944" s="63"/>
      <c r="W1944" s="63"/>
      <c r="X1944" s="63"/>
      <c r="Y1944" s="63"/>
      <c r="Z1944" s="63"/>
      <c r="AA1944" s="63"/>
      <c r="AB1944" s="63"/>
      <c r="AC1944" s="63"/>
      <c r="AD1944" s="63"/>
      <c r="AE1944" s="63"/>
      <c r="AF1944" s="63"/>
      <c r="AG1944" s="63"/>
      <c r="AH1944" s="63"/>
      <c r="AI1944" s="63"/>
      <c r="AJ1944" s="63"/>
      <c r="AK1944" s="63"/>
      <c r="AL1944" s="63"/>
      <c r="AM1944" s="63"/>
      <c r="AN1944" s="63"/>
      <c r="AO1944" s="63"/>
      <c r="AP1944" s="63"/>
      <c r="AQ1944" s="63"/>
      <c r="CA1944" s="256"/>
      <c r="CB1944" s="261"/>
      <c r="CC1944" s="255"/>
      <c r="CD1944" s="261"/>
      <c r="CE1944" s="261"/>
      <c r="CF1944" s="261"/>
      <c r="CG1944" s="261"/>
      <c r="CH1944" s="261"/>
      <c r="CI1944" s="261"/>
      <c r="CJ1944" s="261"/>
      <c r="CK1944" s="255"/>
      <c r="CL1944" s="255"/>
      <c r="CN1944" s="256"/>
      <c r="CO1944" s="256"/>
      <c r="CP1944" s="261"/>
      <c r="CQ1944" s="261"/>
      <c r="CR1944" s="255"/>
      <c r="CS1944" s="261"/>
      <c r="CT1944" s="261"/>
      <c r="CU1944" s="261"/>
      <c r="CV1944" s="261"/>
      <c r="CW1944" s="261"/>
      <c r="CX1944" s="255"/>
      <c r="CY1944" s="255"/>
    </row>
    <row r="1945" spans="1:103" ht="10.25" customHeight="1">
      <c r="A1945" s="270"/>
      <c r="D1945" s="372"/>
      <c r="E1945" s="372"/>
      <c r="F1945" s="272"/>
      <c r="G1945" s="272"/>
      <c r="H1945" s="273"/>
      <c r="L1945" s="269"/>
      <c r="M1945" s="269"/>
      <c r="N1945" s="269"/>
      <c r="O1945" s="63"/>
      <c r="P1945" s="63"/>
      <c r="Q1945" s="63"/>
      <c r="R1945" s="63"/>
      <c r="S1945" s="63"/>
      <c r="T1945" s="63"/>
      <c r="U1945" s="63"/>
      <c r="V1945" s="63"/>
      <c r="W1945" s="63"/>
      <c r="X1945" s="63"/>
      <c r="Y1945" s="63"/>
      <c r="Z1945" s="63"/>
      <c r="AA1945" s="63"/>
      <c r="AB1945" s="63"/>
      <c r="AC1945" s="63"/>
      <c r="AD1945" s="63"/>
      <c r="AE1945" s="63"/>
      <c r="AF1945" s="63"/>
      <c r="AG1945" s="63"/>
      <c r="AH1945" s="63"/>
      <c r="AI1945" s="63"/>
      <c r="AJ1945" s="63"/>
      <c r="AK1945" s="63"/>
      <c r="AL1945" s="63"/>
      <c r="AM1945" s="63"/>
      <c r="AN1945" s="63"/>
      <c r="AO1945" s="63"/>
      <c r="AP1945" s="63"/>
      <c r="AQ1945" s="63"/>
      <c r="CA1945" s="256"/>
      <c r="CB1945" s="261"/>
      <c r="CC1945" s="255"/>
      <c r="CD1945" s="261"/>
      <c r="CE1945" s="261"/>
      <c r="CF1945" s="261"/>
      <c r="CG1945" s="261"/>
      <c r="CH1945" s="261"/>
      <c r="CI1945" s="261"/>
      <c r="CJ1945" s="261"/>
      <c r="CK1945" s="261"/>
      <c r="CL1945" s="255"/>
      <c r="CN1945" s="256"/>
      <c r="CO1945" s="256"/>
      <c r="CP1945" s="261"/>
      <c r="CQ1945" s="261"/>
      <c r="CR1945" s="255"/>
      <c r="CS1945" s="261"/>
      <c r="CT1945" s="261"/>
      <c r="CU1945" s="261"/>
      <c r="CV1945" s="261"/>
      <c r="CW1945" s="261"/>
      <c r="CX1945" s="261"/>
      <c r="CY1945" s="255"/>
    </row>
    <row r="1946" spans="1:103" ht="10.25" customHeight="1">
      <c r="C1946" s="270"/>
      <c r="D1946" s="274"/>
      <c r="E1946" s="214"/>
      <c r="F1946" s="272"/>
      <c r="G1946" s="272"/>
      <c r="H1946" s="272"/>
      <c r="I1946" s="273"/>
      <c r="J1946" s="273"/>
      <c r="K1946" s="273"/>
      <c r="L1946" s="275"/>
      <c r="M1946" s="269"/>
      <c r="N1946" s="269"/>
      <c r="O1946" s="63"/>
      <c r="P1946" s="63"/>
      <c r="Q1946" s="63"/>
      <c r="R1946" s="63"/>
      <c r="S1946" s="63"/>
      <c r="T1946" s="63"/>
      <c r="U1946" s="63"/>
      <c r="V1946" s="63"/>
      <c r="W1946" s="63"/>
      <c r="X1946" s="63"/>
      <c r="Y1946" s="63"/>
      <c r="Z1946" s="63"/>
      <c r="AA1946" s="63"/>
      <c r="AB1946" s="63"/>
      <c r="AC1946" s="63"/>
      <c r="AD1946" s="63"/>
      <c r="AE1946" s="63"/>
      <c r="AF1946" s="63"/>
      <c r="AG1946" s="63"/>
      <c r="AH1946" s="63"/>
      <c r="AI1946" s="63"/>
      <c r="AJ1946" s="63"/>
      <c r="AK1946" s="63"/>
      <c r="AL1946" s="63"/>
      <c r="AM1946" s="63"/>
      <c r="AN1946" s="63"/>
      <c r="AO1946" s="63"/>
      <c r="AP1946" s="63"/>
      <c r="AQ1946" s="63"/>
      <c r="CA1946" s="256"/>
      <c r="CB1946" s="261"/>
      <c r="CC1946" s="255"/>
      <c r="CD1946" s="261"/>
      <c r="CE1946" s="261"/>
      <c r="CF1946" s="261"/>
      <c r="CG1946" s="261"/>
      <c r="CH1946" s="261"/>
      <c r="CI1946" s="261"/>
      <c r="CJ1946" s="261"/>
      <c r="CK1946" s="261"/>
      <c r="CL1946" s="255"/>
      <c r="CN1946" s="256"/>
      <c r="CO1946" s="256"/>
      <c r="CP1946" s="261"/>
      <c r="CQ1946" s="261"/>
      <c r="CR1946" s="255"/>
      <c r="CS1946" s="261"/>
      <c r="CT1946" s="261"/>
      <c r="CU1946" s="261"/>
      <c r="CV1946" s="261"/>
      <c r="CW1946" s="261"/>
      <c r="CX1946" s="261"/>
      <c r="CY1946" s="255"/>
    </row>
    <row r="1947" spans="1:103" ht="10.25" customHeight="1">
      <c r="A1947" s="270"/>
      <c r="D1947" s="372"/>
      <c r="E1947" s="372"/>
      <c r="F1947" s="272"/>
      <c r="G1947" s="272"/>
      <c r="H1947" s="272"/>
      <c r="I1947" s="273"/>
      <c r="J1947" s="273"/>
      <c r="K1947" s="273"/>
      <c r="L1947" s="275"/>
      <c r="M1947" s="269"/>
      <c r="N1947" s="269"/>
      <c r="O1947" s="63"/>
      <c r="P1947" s="63"/>
      <c r="Q1947" s="63"/>
      <c r="R1947" s="63"/>
      <c r="S1947" s="63"/>
      <c r="T1947" s="63"/>
      <c r="U1947" s="63"/>
      <c r="V1947" s="63"/>
      <c r="W1947" s="63"/>
      <c r="X1947" s="63"/>
      <c r="Y1947" s="63"/>
      <c r="Z1947" s="63"/>
      <c r="AA1947" s="63"/>
      <c r="AB1947" s="63"/>
      <c r="AC1947" s="63"/>
      <c r="AD1947" s="63"/>
      <c r="AE1947" s="63"/>
      <c r="AF1947" s="63"/>
      <c r="AG1947" s="63"/>
      <c r="AH1947" s="63"/>
      <c r="AI1947" s="63"/>
      <c r="AJ1947" s="63"/>
      <c r="AK1947" s="63"/>
      <c r="AL1947" s="63"/>
      <c r="AM1947" s="63"/>
      <c r="AN1947" s="63"/>
      <c r="AO1947" s="63"/>
      <c r="AP1947" s="63"/>
      <c r="AQ1947" s="63"/>
      <c r="CA1947" s="256"/>
      <c r="CB1947" s="261"/>
      <c r="CC1947" s="255"/>
      <c r="CD1947" s="261"/>
      <c r="CE1947" s="261"/>
      <c r="CF1947" s="261"/>
      <c r="CG1947" s="261"/>
      <c r="CH1947" s="261"/>
      <c r="CI1947" s="255"/>
      <c r="CJ1947" s="255"/>
      <c r="CK1947" s="261"/>
      <c r="CL1947" s="255"/>
      <c r="CN1947" s="256"/>
      <c r="CO1947" s="256"/>
      <c r="CP1947" s="261"/>
      <c r="CQ1947" s="261"/>
      <c r="CR1947" s="255"/>
      <c r="CS1947" s="261"/>
      <c r="CT1947" s="261"/>
      <c r="CU1947" s="261"/>
      <c r="CV1947" s="261"/>
      <c r="CW1947" s="255"/>
      <c r="CX1947" s="261"/>
      <c r="CY1947" s="255"/>
    </row>
    <row r="1948" spans="1:103" ht="10.25" customHeight="1">
      <c r="A1948" s="270"/>
      <c r="D1948" s="372"/>
      <c r="E1948" s="372"/>
      <c r="F1948" s="272"/>
      <c r="G1948" s="272"/>
      <c r="H1948" s="272"/>
      <c r="I1948" s="273"/>
      <c r="J1948" s="273"/>
      <c r="K1948" s="273"/>
      <c r="L1948" s="275"/>
      <c r="M1948" s="269"/>
      <c r="N1948" s="269"/>
      <c r="O1948" s="63"/>
      <c r="P1948" s="63"/>
      <c r="Q1948" s="63"/>
      <c r="R1948" s="63"/>
      <c r="S1948" s="63"/>
      <c r="T1948" s="63"/>
      <c r="U1948" s="63"/>
      <c r="V1948" s="63"/>
      <c r="W1948" s="63"/>
      <c r="X1948" s="63"/>
      <c r="Y1948" s="63"/>
      <c r="Z1948" s="63"/>
      <c r="AA1948" s="63"/>
      <c r="AB1948" s="63"/>
      <c r="AC1948" s="63"/>
      <c r="AD1948" s="63"/>
      <c r="AE1948" s="63"/>
      <c r="AF1948" s="63"/>
      <c r="AG1948" s="63"/>
      <c r="AH1948" s="63"/>
      <c r="AI1948" s="63"/>
      <c r="AJ1948" s="63"/>
      <c r="AK1948" s="63"/>
      <c r="AL1948" s="63"/>
      <c r="AM1948" s="63"/>
      <c r="AN1948" s="63"/>
      <c r="AO1948" s="63"/>
      <c r="AP1948" s="63"/>
      <c r="AQ1948" s="63"/>
      <c r="CA1948" s="256"/>
      <c r="CB1948" s="261"/>
      <c r="CC1948" s="255"/>
      <c r="CD1948" s="261"/>
      <c r="CE1948" s="261"/>
      <c r="CF1948" s="261"/>
      <c r="CG1948" s="255"/>
      <c r="CH1948" s="255"/>
      <c r="CI1948" s="261"/>
      <c r="CJ1948" s="261"/>
      <c r="CK1948" s="261"/>
      <c r="CL1948" s="255"/>
      <c r="CN1948" s="256"/>
      <c r="CO1948" s="256"/>
      <c r="CP1948" s="261"/>
      <c r="CQ1948" s="261"/>
      <c r="CR1948" s="255"/>
      <c r="CS1948" s="261"/>
      <c r="CT1948" s="261"/>
      <c r="CU1948" s="261"/>
      <c r="CV1948" s="255"/>
      <c r="CW1948" s="261"/>
      <c r="CX1948" s="261"/>
      <c r="CY1948" s="255"/>
    </row>
    <row r="1949" spans="1:103" ht="10.25" customHeight="1">
      <c r="A1949" s="270"/>
      <c r="D1949" s="372"/>
      <c r="E1949" s="372"/>
      <c r="F1949" s="272"/>
      <c r="G1949" s="272"/>
      <c r="H1949" s="272"/>
      <c r="I1949" s="273"/>
      <c r="J1949" s="273"/>
      <c r="K1949" s="273"/>
      <c r="L1949" s="275"/>
      <c r="M1949" s="269"/>
      <c r="N1949" s="269"/>
      <c r="O1949" s="63"/>
      <c r="P1949" s="63"/>
      <c r="Q1949" s="63"/>
      <c r="R1949" s="63"/>
      <c r="S1949" s="63"/>
      <c r="T1949" s="63"/>
      <c r="U1949" s="63"/>
      <c r="V1949" s="63"/>
      <c r="W1949" s="63"/>
      <c r="X1949" s="63"/>
      <c r="Y1949" s="63"/>
      <c r="Z1949" s="63"/>
      <c r="AA1949" s="63"/>
      <c r="AB1949" s="63"/>
      <c r="AC1949" s="63"/>
      <c r="AD1949" s="63"/>
      <c r="AE1949" s="63"/>
      <c r="AF1949" s="63"/>
      <c r="AG1949" s="63"/>
      <c r="AH1949" s="63"/>
      <c r="AI1949" s="63"/>
      <c r="AJ1949" s="63"/>
      <c r="AK1949" s="63"/>
      <c r="AL1949" s="63"/>
      <c r="AM1949" s="63"/>
      <c r="AN1949" s="63"/>
      <c r="AO1949" s="63"/>
      <c r="AP1949" s="63"/>
      <c r="AQ1949" s="63"/>
      <c r="CA1949" s="256"/>
      <c r="CB1949" s="261"/>
      <c r="CC1949" s="255"/>
      <c r="CD1949" s="261"/>
      <c r="CE1949" s="261"/>
      <c r="CF1949" s="261"/>
      <c r="CG1949" s="255"/>
      <c r="CH1949" s="255"/>
      <c r="CI1949" s="261"/>
      <c r="CJ1949" s="261"/>
      <c r="CK1949" s="261"/>
      <c r="CL1949" s="255"/>
      <c r="CN1949" s="256"/>
      <c r="CO1949" s="256"/>
      <c r="CP1949" s="261"/>
      <c r="CQ1949" s="261"/>
      <c r="CR1949" s="255"/>
      <c r="CS1949" s="261"/>
      <c r="CT1949" s="261"/>
      <c r="CU1949" s="261"/>
      <c r="CV1949" s="255"/>
      <c r="CW1949" s="261"/>
      <c r="CX1949" s="261"/>
      <c r="CY1949" s="255"/>
    </row>
    <row r="1950" spans="1:103" ht="10.25" customHeight="1">
      <c r="A1950" s="270"/>
      <c r="D1950" s="372"/>
      <c r="E1950" s="372"/>
      <c r="F1950" s="272"/>
      <c r="G1950" s="272"/>
      <c r="H1950" s="272"/>
      <c r="I1950" s="375"/>
      <c r="J1950" s="375"/>
      <c r="K1950" s="375"/>
      <c r="L1950" s="375"/>
      <c r="M1950" s="269"/>
      <c r="N1950" s="269"/>
      <c r="O1950" s="63"/>
      <c r="P1950" s="63"/>
      <c r="Q1950" s="63"/>
      <c r="R1950" s="63"/>
      <c r="S1950" s="63"/>
      <c r="T1950" s="63"/>
      <c r="U1950" s="63"/>
      <c r="V1950" s="63"/>
      <c r="W1950" s="63"/>
      <c r="X1950" s="63"/>
      <c r="Y1950" s="63"/>
      <c r="Z1950" s="63"/>
      <c r="AA1950" s="63"/>
      <c r="AB1950" s="63"/>
      <c r="AC1950" s="63"/>
      <c r="AD1950" s="63"/>
      <c r="AE1950" s="63"/>
      <c r="AF1950" s="63"/>
      <c r="AG1950" s="63"/>
      <c r="AH1950" s="63"/>
      <c r="AI1950" s="63"/>
      <c r="AJ1950" s="63"/>
      <c r="AK1950" s="63"/>
      <c r="AL1950" s="63"/>
      <c r="AM1950" s="63"/>
      <c r="AN1950" s="63"/>
      <c r="AO1950" s="63"/>
      <c r="AP1950" s="63"/>
      <c r="AQ1950" s="63"/>
      <c r="CA1950" s="256"/>
      <c r="CB1950" s="261"/>
      <c r="CC1950" s="255"/>
      <c r="CD1950" s="261"/>
      <c r="CE1950" s="261"/>
      <c r="CF1950" s="261"/>
      <c r="CG1950" s="261"/>
      <c r="CH1950" s="261"/>
      <c r="CI1950" s="261"/>
      <c r="CJ1950" s="261"/>
      <c r="CK1950" s="261"/>
      <c r="CL1950" s="255"/>
      <c r="CN1950" s="256"/>
      <c r="CO1950" s="256"/>
      <c r="CP1950" s="261"/>
      <c r="CQ1950" s="261"/>
      <c r="CR1950" s="255"/>
      <c r="CS1950" s="261"/>
      <c r="CT1950" s="261"/>
      <c r="CU1950" s="261"/>
      <c r="CV1950" s="261"/>
      <c r="CW1950" s="261"/>
      <c r="CX1950" s="261"/>
      <c r="CY1950" s="255"/>
    </row>
    <row r="1951" spans="1:103" ht="10.25" customHeight="1">
      <c r="A1951" s="270"/>
      <c r="D1951" s="372"/>
      <c r="E1951" s="372"/>
      <c r="H1951" s="209"/>
      <c r="I1951" s="213"/>
      <c r="J1951" s="213"/>
      <c r="K1951" s="213"/>
      <c r="L1951" s="213"/>
      <c r="M1951" s="213"/>
      <c r="N1951" s="213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  <c r="AG1951" s="5"/>
      <c r="AH1951" s="5"/>
      <c r="AI1951" s="5"/>
      <c r="AJ1951" s="5"/>
      <c r="AK1951" s="5"/>
      <c r="AL1951" s="5"/>
      <c r="AM1951" s="5"/>
      <c r="AN1951" s="5"/>
      <c r="AO1951" s="5"/>
      <c r="AP1951" s="5"/>
      <c r="AQ1951" s="5"/>
      <c r="CA1951" s="256"/>
      <c r="CB1951" s="261"/>
      <c r="CC1951" s="255"/>
      <c r="CD1951" s="261"/>
      <c r="CE1951" s="261"/>
      <c r="CF1951" s="261"/>
      <c r="CG1951" s="261"/>
      <c r="CH1951" s="261"/>
      <c r="CI1951" s="261"/>
      <c r="CJ1951" s="261"/>
      <c r="CK1951" s="261"/>
      <c r="CL1951" s="255"/>
      <c r="CN1951" s="256"/>
      <c r="CO1951" s="256"/>
      <c r="CP1951" s="261"/>
      <c r="CQ1951" s="261"/>
      <c r="CR1951" s="255"/>
      <c r="CS1951" s="261"/>
      <c r="CT1951" s="261"/>
      <c r="CU1951" s="261"/>
      <c r="CV1951" s="261"/>
      <c r="CW1951" s="261"/>
      <c r="CX1951" s="261"/>
      <c r="CY1951" s="255"/>
    </row>
    <row r="1952" spans="1:103" ht="10.25" customHeight="1">
      <c r="A1952" s="270"/>
      <c r="C1952" s="269"/>
      <c r="D1952" s="275"/>
      <c r="E1952" s="275"/>
      <c r="F1952" s="209"/>
      <c r="G1952" s="209"/>
      <c r="H1952" s="209"/>
      <c r="I1952" s="209"/>
      <c r="J1952" s="209"/>
      <c r="K1952" s="209"/>
      <c r="L1952" s="376"/>
      <c r="M1952" s="376"/>
      <c r="N1952" s="279"/>
      <c r="O1952" s="51"/>
      <c r="P1952" s="51"/>
      <c r="Q1952" s="51"/>
      <c r="R1952" s="51"/>
      <c r="S1952" s="51"/>
      <c r="T1952" s="51"/>
      <c r="U1952" s="51"/>
      <c r="V1952" s="51"/>
      <c r="W1952" s="51"/>
      <c r="X1952" s="51"/>
      <c r="Y1952" s="51"/>
      <c r="Z1952" s="51"/>
      <c r="AA1952" s="51"/>
      <c r="AB1952" s="51"/>
      <c r="AC1952" s="51"/>
      <c r="AD1952" s="51"/>
      <c r="AE1952" s="51"/>
      <c r="AF1952" s="51"/>
      <c r="AG1952" s="51"/>
      <c r="AH1952" s="51"/>
      <c r="AI1952" s="51"/>
      <c r="AJ1952" s="51"/>
      <c r="AK1952" s="51"/>
      <c r="AL1952" s="51"/>
      <c r="AM1952" s="51"/>
      <c r="AN1952" s="51"/>
      <c r="AO1952" s="51"/>
      <c r="AP1952" s="51"/>
      <c r="AQ1952" s="51"/>
      <c r="CA1952" s="256"/>
      <c r="CB1952" s="261"/>
      <c r="CC1952" s="255"/>
      <c r="CD1952" s="261"/>
      <c r="CE1952" s="261"/>
      <c r="CF1952" s="261"/>
      <c r="CG1952" s="261"/>
      <c r="CH1952" s="261"/>
      <c r="CI1952" s="261"/>
      <c r="CJ1952" s="261"/>
      <c r="CK1952" s="261"/>
      <c r="CL1952" s="255"/>
      <c r="CN1952" s="256"/>
      <c r="CO1952" s="256"/>
      <c r="CP1952" s="261"/>
      <c r="CQ1952" s="261"/>
      <c r="CR1952" s="255"/>
      <c r="CS1952" s="261"/>
      <c r="CT1952" s="261"/>
      <c r="CU1952" s="261"/>
      <c r="CV1952" s="261"/>
      <c r="CW1952" s="261"/>
      <c r="CX1952" s="261"/>
      <c r="CY1952" s="255"/>
    </row>
    <row r="1953" spans="1:103" ht="10.25" customHeight="1">
      <c r="A1953" s="270"/>
      <c r="C1953" s="269"/>
      <c r="D1953" s="269"/>
      <c r="F1953" s="209"/>
      <c r="G1953" s="209"/>
      <c r="H1953" s="276"/>
      <c r="I1953" s="276"/>
      <c r="J1953" s="276"/>
      <c r="K1953" s="276"/>
      <c r="L1953" s="374"/>
      <c r="M1953" s="374"/>
      <c r="N1953" s="213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/>
      <c r="AO1953" s="5"/>
      <c r="AP1953" s="5"/>
      <c r="AQ1953" s="5"/>
      <c r="CA1953" s="256"/>
      <c r="CB1953" s="261"/>
      <c r="CC1953" s="255"/>
      <c r="CD1953" s="261"/>
      <c r="CE1953" s="261"/>
      <c r="CF1953" s="261"/>
      <c r="CG1953" s="261"/>
      <c r="CH1953" s="261"/>
      <c r="CI1953" s="261"/>
      <c r="CJ1953" s="261"/>
      <c r="CK1953" s="261"/>
      <c r="CL1953" s="255"/>
      <c r="CN1953" s="256"/>
      <c r="CO1953" s="256"/>
      <c r="CP1953" s="261"/>
      <c r="CQ1953" s="261"/>
      <c r="CR1953" s="255"/>
      <c r="CS1953" s="261"/>
      <c r="CT1953" s="261"/>
      <c r="CU1953" s="261"/>
      <c r="CV1953" s="261"/>
      <c r="CW1953" s="261"/>
      <c r="CX1953" s="261"/>
      <c r="CY1953" s="255"/>
    </row>
    <row r="1954" spans="1:103" ht="10.25" customHeight="1">
      <c r="A1954" s="270"/>
      <c r="D1954" s="269"/>
      <c r="F1954" s="208"/>
      <c r="G1954" s="208"/>
      <c r="H1954" s="277"/>
      <c r="I1954" s="277"/>
      <c r="J1954" s="277"/>
      <c r="K1954" s="277"/>
      <c r="L1954" s="372"/>
      <c r="M1954" s="372"/>
      <c r="N1954" s="214"/>
      <c r="O1954" s="41"/>
      <c r="P1954" s="41"/>
      <c r="Q1954" s="41"/>
      <c r="R1954" s="41"/>
      <c r="S1954" s="41"/>
      <c r="T1954" s="41"/>
      <c r="U1954" s="41"/>
      <c r="V1954" s="41"/>
      <c r="W1954" s="41"/>
      <c r="X1954" s="41"/>
      <c r="Y1954" s="41"/>
      <c r="Z1954" s="41"/>
      <c r="AA1954" s="41"/>
      <c r="AB1954" s="41"/>
      <c r="AC1954" s="41"/>
      <c r="AD1954" s="41"/>
      <c r="AE1954" s="41"/>
      <c r="AF1954" s="41"/>
      <c r="AG1954" s="41"/>
      <c r="AH1954" s="41"/>
      <c r="AI1954" s="41"/>
      <c r="AJ1954" s="41"/>
      <c r="AK1954" s="41"/>
      <c r="AL1954" s="41"/>
      <c r="AM1954" s="41"/>
      <c r="AN1954" s="41"/>
      <c r="AO1954" s="41"/>
      <c r="AP1954" s="41"/>
      <c r="AQ1954" s="41"/>
      <c r="CA1954" s="256"/>
      <c r="CB1954" s="261"/>
      <c r="CC1954" s="255"/>
      <c r="CD1954" s="261"/>
      <c r="CE1954" s="261"/>
      <c r="CF1954" s="261"/>
      <c r="CG1954" s="261"/>
      <c r="CH1954" s="261"/>
      <c r="CI1954" s="261"/>
      <c r="CJ1954" s="261"/>
      <c r="CK1954" s="261"/>
      <c r="CL1954" s="255"/>
      <c r="CN1954" s="256"/>
      <c r="CO1954" s="256"/>
      <c r="CP1954" s="261"/>
      <c r="CQ1954" s="261"/>
      <c r="CR1954" s="255"/>
      <c r="CS1954" s="261"/>
      <c r="CT1954" s="261"/>
      <c r="CU1954" s="261"/>
      <c r="CV1954" s="261"/>
      <c r="CW1954" s="261"/>
      <c r="CX1954" s="261"/>
      <c r="CY1954" s="255"/>
    </row>
    <row r="1955" spans="1:103" ht="10.25" customHeight="1">
      <c r="CA1955" s="256"/>
      <c r="CB1955" s="261"/>
      <c r="CC1955" s="255"/>
      <c r="CD1955" s="261"/>
      <c r="CE1955" s="261"/>
      <c r="CF1955" s="255"/>
      <c r="CG1955" s="261"/>
      <c r="CH1955" s="261"/>
      <c r="CI1955" s="261"/>
      <c r="CJ1955" s="261"/>
      <c r="CK1955" s="261"/>
      <c r="CL1955" s="255"/>
      <c r="CN1955" s="256"/>
      <c r="CO1955" s="256"/>
      <c r="CP1955" s="261"/>
      <c r="CQ1955" s="261"/>
      <c r="CR1955" s="255"/>
      <c r="CS1955" s="261"/>
      <c r="CT1955" s="261"/>
      <c r="CU1955" s="255"/>
      <c r="CV1955" s="261"/>
      <c r="CW1955" s="261"/>
      <c r="CX1955" s="261"/>
      <c r="CY1955" s="255"/>
    </row>
    <row r="1956" spans="1:103" ht="10.25" customHeight="1">
      <c r="C1956" s="278"/>
      <c r="CA1956" s="256"/>
      <c r="CB1956" s="261"/>
      <c r="CC1956" s="255"/>
      <c r="CD1956" s="261"/>
      <c r="CE1956" s="261"/>
      <c r="CF1956" s="255"/>
      <c r="CG1956" s="261"/>
      <c r="CH1956" s="261"/>
      <c r="CI1956" s="261"/>
      <c r="CJ1956" s="261"/>
      <c r="CK1956" s="261"/>
      <c r="CL1956" s="255"/>
      <c r="CN1956" s="256"/>
      <c r="CO1956" s="256"/>
      <c r="CP1956" s="261"/>
      <c r="CQ1956" s="261"/>
      <c r="CR1956" s="255"/>
      <c r="CS1956" s="261"/>
      <c r="CT1956" s="261"/>
      <c r="CU1956" s="255"/>
      <c r="CV1956" s="261"/>
      <c r="CW1956" s="261"/>
      <c r="CX1956" s="261"/>
      <c r="CY1956" s="255"/>
    </row>
    <row r="1957" spans="1:103" ht="10.25" customHeight="1">
      <c r="C1957" s="278"/>
      <c r="F1957" s="377"/>
      <c r="G1957" s="377"/>
      <c r="H1957" s="377"/>
      <c r="I1957" s="377"/>
      <c r="J1957" s="377"/>
      <c r="K1957" s="377"/>
      <c r="L1957" s="377"/>
      <c r="M1957" s="377"/>
      <c r="N1957" s="269"/>
      <c r="O1957" s="63"/>
      <c r="P1957" s="63"/>
      <c r="Q1957" s="63"/>
      <c r="R1957" s="63"/>
      <c r="S1957" s="63"/>
      <c r="T1957" s="63"/>
      <c r="U1957" s="63"/>
      <c r="V1957" s="63"/>
      <c r="W1957" s="63"/>
      <c r="X1957" s="63"/>
      <c r="Y1957" s="63"/>
      <c r="Z1957" s="63"/>
      <c r="AA1957" s="63"/>
      <c r="AB1957" s="63"/>
      <c r="AC1957" s="63"/>
      <c r="AD1957" s="63"/>
      <c r="AE1957" s="63"/>
      <c r="AF1957" s="63"/>
      <c r="AG1957" s="63"/>
      <c r="AH1957" s="63"/>
      <c r="AI1957" s="63"/>
      <c r="AJ1957" s="63"/>
      <c r="AK1957" s="63"/>
      <c r="AL1957" s="63"/>
      <c r="AM1957" s="63"/>
      <c r="AN1957" s="63"/>
      <c r="AO1957" s="63"/>
      <c r="AP1957" s="63"/>
      <c r="AQ1957" s="63"/>
      <c r="CA1957" s="256"/>
      <c r="CB1957" s="261"/>
      <c r="CC1957" s="255"/>
      <c r="CD1957" s="261"/>
      <c r="CE1957" s="261"/>
      <c r="CF1957" s="255"/>
      <c r="CG1957" s="261"/>
      <c r="CH1957" s="261"/>
      <c r="CI1957" s="261"/>
      <c r="CJ1957" s="261"/>
      <c r="CK1957" s="261"/>
      <c r="CL1957" s="255"/>
      <c r="CN1957" s="256"/>
      <c r="CO1957" s="256"/>
      <c r="CP1957" s="261"/>
      <c r="CQ1957" s="261"/>
      <c r="CR1957" s="255"/>
      <c r="CS1957" s="261"/>
      <c r="CT1957" s="261"/>
      <c r="CU1957" s="255"/>
      <c r="CV1957" s="261"/>
      <c r="CW1957" s="261"/>
      <c r="CX1957" s="261"/>
      <c r="CY1957" s="255"/>
    </row>
    <row r="1958" spans="1:103" ht="10.4" customHeight="1">
      <c r="C1958" s="278"/>
      <c r="F1958" s="377"/>
      <c r="G1958" s="377"/>
      <c r="H1958" s="377"/>
      <c r="I1958" s="377"/>
      <c r="J1958" s="377"/>
      <c r="K1958" s="377"/>
      <c r="L1958" s="377"/>
      <c r="M1958" s="377"/>
      <c r="N1958" s="269"/>
      <c r="O1958" s="63"/>
      <c r="P1958" s="63"/>
      <c r="Q1958" s="63"/>
      <c r="R1958" s="63"/>
      <c r="S1958" s="63"/>
      <c r="T1958" s="63"/>
      <c r="U1958" s="63"/>
      <c r="V1958" s="63"/>
      <c r="W1958" s="63"/>
      <c r="X1958" s="63"/>
      <c r="Y1958" s="63"/>
      <c r="Z1958" s="63"/>
      <c r="AA1958" s="63"/>
      <c r="AB1958" s="63"/>
      <c r="AC1958" s="63"/>
      <c r="AD1958" s="63"/>
      <c r="AE1958" s="63"/>
      <c r="AF1958" s="63"/>
      <c r="AG1958" s="63"/>
      <c r="AH1958" s="63"/>
      <c r="AI1958" s="63"/>
      <c r="AJ1958" s="63"/>
      <c r="AK1958" s="63"/>
      <c r="AL1958" s="63"/>
      <c r="AM1958" s="63"/>
      <c r="AN1958" s="63"/>
      <c r="AO1958" s="63"/>
      <c r="AP1958" s="63"/>
      <c r="AQ1958" s="63"/>
      <c r="AS1958" s="236"/>
      <c r="BE1958" s="63"/>
      <c r="BF1958" s="63"/>
      <c r="BG1958" s="63"/>
      <c r="BK1958" s="317"/>
      <c r="BL1958" s="5"/>
      <c r="BM1958" s="5"/>
      <c r="BN1958" s="5"/>
      <c r="BO1958" s="5"/>
      <c r="BP1958" s="5"/>
      <c r="BQ1958" s="5"/>
      <c r="BR1958" s="5"/>
      <c r="BS1958" s="5"/>
      <c r="BT1958" s="5"/>
      <c r="BV1958" s="317"/>
      <c r="CF1958" s="5"/>
      <c r="CG1958" s="5"/>
      <c r="CH1958" s="5"/>
      <c r="CI1958" s="5"/>
      <c r="CJ1958" s="5"/>
      <c r="CK1958" s="5"/>
      <c r="CL1958" s="5"/>
    </row>
    <row r="1959" spans="1:103" ht="10.25" customHeight="1">
      <c r="A1959" s="377"/>
      <c r="B1959" s="377"/>
      <c r="C1959" s="377"/>
      <c r="D1959" s="377"/>
      <c r="E1959" s="377"/>
      <c r="F1959" s="377"/>
      <c r="G1959" s="377"/>
      <c r="H1959" s="377"/>
      <c r="I1959" s="377"/>
      <c r="J1959" s="377"/>
      <c r="K1959" s="377"/>
      <c r="L1959" s="377"/>
      <c r="M1959" s="377"/>
      <c r="N1959" s="269"/>
      <c r="O1959" s="63"/>
      <c r="P1959" s="63"/>
      <c r="Q1959" s="63"/>
      <c r="R1959" s="63"/>
      <c r="S1959" s="63"/>
      <c r="T1959" s="63"/>
      <c r="U1959" s="63"/>
      <c r="V1959" s="63"/>
      <c r="W1959" s="63"/>
      <c r="X1959" s="63"/>
      <c r="Y1959" s="63"/>
      <c r="Z1959" s="63"/>
      <c r="AA1959" s="63"/>
      <c r="AB1959" s="63"/>
      <c r="AC1959" s="63"/>
      <c r="AD1959" s="63"/>
      <c r="AE1959" s="63"/>
      <c r="AF1959" s="63"/>
      <c r="AG1959" s="63"/>
      <c r="AH1959" s="63"/>
      <c r="AI1959" s="63"/>
      <c r="AJ1959" s="63"/>
      <c r="AK1959" s="63"/>
      <c r="AL1959" s="63"/>
      <c r="AM1959" s="63"/>
      <c r="AN1959" s="63"/>
      <c r="AO1959" s="63"/>
      <c r="AP1959" s="63"/>
      <c r="AQ1959" s="63"/>
      <c r="BE1959" s="63"/>
      <c r="BF1959" s="63"/>
      <c r="BG1959" s="63"/>
      <c r="BK1959" s="317"/>
      <c r="BL1959" s="5"/>
      <c r="BM1959" s="5"/>
      <c r="BN1959" s="5"/>
      <c r="BO1959" s="5"/>
      <c r="BP1959" s="5"/>
      <c r="BQ1959" s="5"/>
      <c r="BR1959" s="5"/>
      <c r="BS1959" s="5"/>
      <c r="BT1959" s="5"/>
      <c r="BV1959" s="317"/>
      <c r="CF1959" s="5"/>
      <c r="CG1959" s="5"/>
      <c r="CH1959" s="5"/>
      <c r="CI1959" s="5"/>
      <c r="CJ1959" s="5"/>
      <c r="CK1959" s="5"/>
      <c r="CL1959" s="5"/>
    </row>
    <row r="1960" spans="1:103" ht="10.25" customHeight="1">
      <c r="A1960" s="376"/>
      <c r="B1960" s="376"/>
      <c r="C1960" s="376"/>
      <c r="D1960" s="376"/>
      <c r="E1960" s="376"/>
      <c r="F1960" s="376"/>
      <c r="G1960" s="376"/>
      <c r="H1960" s="376"/>
      <c r="I1960" s="376"/>
      <c r="J1960" s="376"/>
      <c r="K1960" s="376"/>
      <c r="L1960" s="376"/>
      <c r="M1960" s="376"/>
      <c r="N1960" s="279"/>
      <c r="O1960" s="51"/>
      <c r="P1960" s="51"/>
      <c r="Q1960" s="51"/>
      <c r="R1960" s="51"/>
      <c r="S1960" s="51"/>
      <c r="T1960" s="51"/>
      <c r="U1960" s="51"/>
      <c r="V1960" s="51"/>
      <c r="W1960" s="51"/>
      <c r="X1960" s="51"/>
      <c r="Y1960" s="51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1"/>
      <c r="AN1960" s="51"/>
      <c r="AO1960" s="51"/>
      <c r="AP1960" s="51"/>
      <c r="AQ1960" s="51"/>
      <c r="BE1960" s="63"/>
      <c r="BF1960" s="63"/>
      <c r="BG1960" s="63"/>
      <c r="BK1960" s="317"/>
      <c r="BL1960" s="5"/>
      <c r="BM1960" s="5"/>
      <c r="BN1960" s="5"/>
      <c r="BO1960" s="5"/>
      <c r="BP1960" s="5"/>
      <c r="BQ1960" s="5"/>
      <c r="BR1960" s="5"/>
      <c r="BS1960" s="5"/>
      <c r="BT1960" s="5"/>
      <c r="BV1960" s="317"/>
      <c r="CF1960" s="5"/>
      <c r="CG1960" s="5"/>
      <c r="CH1960" s="5"/>
      <c r="CI1960" s="5"/>
      <c r="CJ1960" s="5"/>
      <c r="CK1960" s="5"/>
      <c r="CL1960" s="5"/>
    </row>
    <row r="1961" spans="1:103" ht="10.25" customHeight="1">
      <c r="A1961" s="374"/>
      <c r="B1961" s="374"/>
      <c r="C1961" s="374"/>
      <c r="D1961" s="374"/>
      <c r="E1961" s="374"/>
      <c r="F1961" s="374"/>
      <c r="G1961" s="374"/>
      <c r="H1961" s="374"/>
      <c r="I1961" s="374"/>
      <c r="J1961" s="374"/>
      <c r="K1961" s="374"/>
      <c r="L1961" s="374"/>
      <c r="M1961" s="374"/>
      <c r="N1961" s="213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  <c r="AL1961" s="5"/>
      <c r="AM1961" s="5"/>
      <c r="AN1961" s="5"/>
      <c r="AO1961" s="5"/>
      <c r="AP1961" s="5"/>
      <c r="AQ1961" s="5"/>
      <c r="BE1961" s="63"/>
      <c r="BF1961" s="63"/>
      <c r="BG1961" s="63"/>
      <c r="BK1961" s="317"/>
      <c r="BL1961" s="5"/>
      <c r="BM1961" s="5"/>
      <c r="BN1961" s="5"/>
      <c r="BO1961" s="5"/>
      <c r="BP1961" s="5"/>
      <c r="BQ1961" s="5"/>
      <c r="BR1961" s="5"/>
      <c r="BS1961" s="5"/>
      <c r="BT1961" s="5"/>
      <c r="BV1961" s="317"/>
      <c r="CF1961" s="5"/>
      <c r="CG1961" s="5"/>
      <c r="CH1961" s="5"/>
      <c r="CI1961" s="5"/>
      <c r="CJ1961" s="5"/>
      <c r="CK1961" s="5"/>
      <c r="CL1961" s="5"/>
    </row>
    <row r="1962" spans="1:103" ht="6" customHeight="1">
      <c r="A1962" s="208"/>
      <c r="B1962" s="209"/>
      <c r="C1962" s="209"/>
      <c r="D1962" s="209"/>
      <c r="E1962" s="209"/>
      <c r="F1962" s="280"/>
      <c r="G1962" s="280"/>
      <c r="H1962" s="280"/>
      <c r="I1962" s="280"/>
      <c r="J1962" s="280"/>
      <c r="K1962" s="280"/>
      <c r="L1962" s="280"/>
      <c r="M1962" s="280"/>
      <c r="N1962" s="280"/>
      <c r="O1962" s="42"/>
      <c r="P1962" s="42"/>
      <c r="Q1962" s="42"/>
      <c r="R1962" s="42"/>
      <c r="S1962" s="42"/>
      <c r="T1962" s="42"/>
      <c r="U1962" s="42"/>
      <c r="V1962" s="42"/>
      <c r="W1962" s="42"/>
      <c r="X1962" s="42"/>
      <c r="Y1962" s="42"/>
      <c r="Z1962" s="42"/>
      <c r="AA1962" s="42"/>
      <c r="AB1962" s="42"/>
      <c r="AC1962" s="42"/>
      <c r="AD1962" s="42"/>
      <c r="AE1962" s="42"/>
      <c r="AF1962" s="42"/>
      <c r="AG1962" s="42"/>
      <c r="AH1962" s="42"/>
      <c r="AI1962" s="42"/>
      <c r="AJ1962" s="42"/>
      <c r="AK1962" s="42"/>
      <c r="AL1962" s="42"/>
      <c r="AM1962" s="42"/>
      <c r="AN1962" s="42"/>
      <c r="AO1962" s="42"/>
      <c r="AP1962" s="42"/>
      <c r="AQ1962" s="42"/>
      <c r="BK1962" s="317"/>
      <c r="BL1962" s="5"/>
      <c r="BM1962" s="5"/>
      <c r="BN1962" s="5"/>
      <c r="BO1962" s="5"/>
      <c r="BP1962" s="5"/>
      <c r="BQ1962" s="5"/>
      <c r="BR1962" s="5"/>
      <c r="BS1962" s="5"/>
      <c r="BT1962" s="5"/>
      <c r="BV1962" s="317"/>
      <c r="CF1962" s="5"/>
      <c r="CG1962" s="5"/>
      <c r="CH1962" s="5"/>
      <c r="CI1962" s="5"/>
      <c r="CJ1962" s="5"/>
      <c r="CK1962" s="5"/>
      <c r="CL1962" s="5"/>
    </row>
    <row r="1963" spans="1:103" ht="10.25" customHeight="1">
      <c r="A1963" s="208"/>
      <c r="B1963" s="209"/>
      <c r="C1963" s="209"/>
      <c r="D1963" s="210"/>
      <c r="E1963" s="211"/>
      <c r="F1963" s="369"/>
      <c r="G1963" s="369"/>
      <c r="H1963" s="369"/>
      <c r="I1963" s="369"/>
      <c r="J1963" s="369"/>
      <c r="K1963" s="369"/>
      <c r="L1963" s="369"/>
      <c r="M1963" s="230"/>
      <c r="N1963" s="230"/>
      <c r="O1963" s="235"/>
      <c r="P1963" s="235"/>
      <c r="Q1963" s="235"/>
      <c r="R1963" s="235"/>
      <c r="S1963" s="235"/>
      <c r="T1963" s="235"/>
      <c r="U1963" s="235"/>
      <c r="V1963" s="235"/>
      <c r="W1963" s="235"/>
      <c r="X1963" s="235"/>
      <c r="Y1963" s="235"/>
      <c r="Z1963" s="235"/>
      <c r="AA1963" s="235"/>
      <c r="AB1963" s="235"/>
      <c r="AC1963" s="235"/>
      <c r="AD1963" s="235"/>
      <c r="AE1963" s="235"/>
      <c r="AF1963" s="235"/>
      <c r="AG1963" s="235"/>
      <c r="AH1963" s="235"/>
      <c r="AI1963" s="235"/>
      <c r="AJ1963" s="235"/>
      <c r="AK1963" s="235"/>
      <c r="AL1963" s="235"/>
      <c r="AM1963" s="235"/>
      <c r="AN1963" s="235"/>
      <c r="AO1963" s="235"/>
      <c r="AP1963" s="235"/>
      <c r="AQ1963" s="235"/>
      <c r="BK1963" s="317"/>
      <c r="BL1963" s="5"/>
      <c r="BM1963" s="5"/>
      <c r="BN1963" s="5"/>
      <c r="BO1963" s="5"/>
      <c r="BP1963" s="5"/>
      <c r="BQ1963" s="5"/>
      <c r="BR1963" s="5"/>
      <c r="BS1963" s="5"/>
      <c r="BT1963" s="5"/>
      <c r="BV1963" s="317"/>
      <c r="CF1963" s="5"/>
      <c r="CG1963" s="5"/>
      <c r="CH1963" s="5"/>
      <c r="CI1963" s="5"/>
      <c r="CJ1963" s="5"/>
      <c r="CK1963" s="5"/>
      <c r="CL1963" s="5"/>
    </row>
    <row r="1964" spans="1:103" ht="2" customHeight="1">
      <c r="A1964" s="209"/>
      <c r="B1964" s="209"/>
      <c r="C1964" s="212"/>
      <c r="D1964" s="213"/>
      <c r="E1964" s="209"/>
      <c r="F1964" s="209"/>
      <c r="G1964" s="209"/>
      <c r="H1964" s="209"/>
      <c r="I1964" s="209"/>
      <c r="J1964" s="209"/>
      <c r="K1964" s="209"/>
      <c r="L1964" s="209"/>
      <c r="M1964" s="209"/>
      <c r="N1964" s="209"/>
      <c r="O1964" s="46"/>
      <c r="P1964" s="46"/>
      <c r="Q1964" s="46"/>
      <c r="R1964" s="46"/>
      <c r="S1964" s="46"/>
      <c r="T1964" s="46"/>
      <c r="U1964" s="46"/>
      <c r="V1964" s="46"/>
      <c r="W1964" s="46"/>
      <c r="X1964" s="46"/>
      <c r="Y1964" s="46"/>
      <c r="Z1964" s="46"/>
      <c r="AA1964" s="46"/>
      <c r="AB1964" s="46"/>
      <c r="AC1964" s="46"/>
      <c r="AD1964" s="46"/>
      <c r="AE1964" s="46"/>
      <c r="AF1964" s="46"/>
      <c r="AG1964" s="46"/>
      <c r="AH1964" s="46"/>
      <c r="AI1964" s="46"/>
      <c r="AJ1964" s="46"/>
      <c r="AK1964" s="46"/>
      <c r="AL1964" s="46"/>
      <c r="AM1964" s="46"/>
      <c r="AN1964" s="46"/>
      <c r="AO1964" s="46"/>
      <c r="AP1964" s="46"/>
      <c r="AQ1964" s="46"/>
      <c r="BK1964" s="317"/>
      <c r="BL1964" s="5"/>
      <c r="BM1964" s="5"/>
      <c r="BN1964" s="5"/>
      <c r="BO1964" s="5"/>
      <c r="BP1964" s="5"/>
      <c r="BQ1964" s="5"/>
      <c r="BR1964" s="5"/>
      <c r="BS1964" s="5"/>
      <c r="BT1964" s="5"/>
      <c r="BV1964" s="317"/>
      <c r="CF1964" s="5"/>
      <c r="CG1964" s="5"/>
      <c r="CH1964" s="5"/>
      <c r="CI1964" s="5"/>
      <c r="CJ1964" s="5"/>
      <c r="CK1964" s="5"/>
      <c r="CL1964" s="5"/>
    </row>
    <row r="1965" spans="1:103" ht="26.4" customHeight="1">
      <c r="A1965" s="374"/>
      <c r="B1965" s="374"/>
      <c r="C1965" s="374"/>
      <c r="D1965" s="372"/>
      <c r="E1965" s="373"/>
      <c r="F1965" s="370"/>
      <c r="G1965" s="215"/>
      <c r="H1965" s="373"/>
      <c r="I1965" s="370"/>
      <c r="J1965" s="370"/>
      <c r="K1965" s="370"/>
      <c r="L1965" s="373"/>
      <c r="M1965" s="374"/>
      <c r="N1965" s="213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5"/>
      <c r="AQ1965" s="5"/>
      <c r="BK1965" s="317"/>
      <c r="BL1965" s="5"/>
      <c r="BM1965" s="5"/>
      <c r="BN1965" s="5"/>
      <c r="BO1965" s="5"/>
      <c r="BP1965" s="5"/>
      <c r="BQ1965" s="5"/>
      <c r="BR1965" s="5"/>
      <c r="BS1965" s="5"/>
      <c r="BT1965" s="5"/>
      <c r="BV1965" s="317"/>
      <c r="CF1965" s="5"/>
      <c r="CG1965" s="5"/>
      <c r="CH1965" s="5"/>
      <c r="CI1965" s="5"/>
      <c r="CJ1965" s="5"/>
      <c r="CK1965" s="5"/>
      <c r="CL1965" s="5"/>
    </row>
    <row r="1966" spans="1:103" ht="9.65" customHeight="1">
      <c r="A1966" s="374"/>
      <c r="B1966" s="374"/>
      <c r="C1966" s="374"/>
      <c r="D1966" s="372"/>
      <c r="E1966" s="373"/>
      <c r="F1966" s="370"/>
      <c r="G1966" s="215"/>
      <c r="H1966" s="373"/>
      <c r="I1966" s="233"/>
      <c r="J1966" s="233"/>
      <c r="K1966" s="233"/>
      <c r="L1966" s="373"/>
      <c r="M1966" s="374"/>
      <c r="N1966" s="213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  <c r="AO1966" s="5"/>
      <c r="AP1966" s="5"/>
      <c r="AQ1966" s="5"/>
      <c r="BK1966" s="317"/>
      <c r="BL1966" s="5"/>
      <c r="BM1966" s="5"/>
      <c r="BN1966" s="5"/>
      <c r="BO1966" s="5"/>
      <c r="BP1966" s="5"/>
      <c r="BQ1966" s="5"/>
      <c r="BR1966" s="5"/>
      <c r="BS1966" s="5"/>
      <c r="BT1966" s="5"/>
      <c r="BV1966" s="317"/>
      <c r="CF1966" s="5"/>
      <c r="CG1966" s="5"/>
      <c r="CH1966" s="5"/>
      <c r="CI1966" s="5"/>
      <c r="CJ1966" s="5"/>
      <c r="CK1966" s="5"/>
      <c r="CL1966" s="5"/>
    </row>
    <row r="1967" spans="1:103" ht="10.25" customHeight="1">
      <c r="A1967" s="216"/>
      <c r="B1967" s="217"/>
      <c r="C1967" s="218"/>
      <c r="D1967" s="219"/>
      <c r="E1967" s="217"/>
      <c r="F1967" s="217"/>
      <c r="G1967" s="217"/>
      <c r="H1967" s="220"/>
      <c r="I1967" s="217"/>
      <c r="J1967" s="217"/>
      <c r="K1967" s="217"/>
      <c r="L1967" s="217"/>
      <c r="M1967" s="217"/>
      <c r="N1967" s="217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BA1967" s="5"/>
      <c r="BB1967" s="5"/>
      <c r="BC1967" s="5"/>
      <c r="BD1967" s="5"/>
      <c r="BE1967" s="63"/>
      <c r="BF1967" s="63"/>
      <c r="BG1967" s="63"/>
      <c r="BK1967" s="317"/>
      <c r="BL1967" s="5"/>
      <c r="BM1967" s="5"/>
      <c r="BN1967" s="5"/>
      <c r="BO1967" s="5"/>
      <c r="BP1967" s="5"/>
      <c r="BQ1967" s="5"/>
      <c r="BR1967" s="5"/>
      <c r="BS1967" s="5"/>
      <c r="BT1967" s="5"/>
      <c r="BV1967" s="317"/>
      <c r="CF1967" s="5"/>
      <c r="CG1967" s="53"/>
      <c r="CH1967" s="53"/>
      <c r="CI1967" s="53"/>
      <c r="CJ1967" s="53"/>
      <c r="CK1967" s="53"/>
      <c r="CL1967" s="53"/>
      <c r="CN1967" s="53"/>
      <c r="CO1967" s="53"/>
      <c r="CP1967" s="53"/>
      <c r="CQ1967" s="53"/>
      <c r="CR1967" s="53"/>
      <c r="CS1967" s="53"/>
    </row>
    <row r="1968" spans="1:103" ht="10.25" customHeight="1">
      <c r="A1968" s="216"/>
      <c r="B1968" s="217"/>
      <c r="C1968" s="218"/>
      <c r="D1968" s="219"/>
      <c r="E1968" s="217"/>
      <c r="F1968" s="217"/>
      <c r="G1968" s="217"/>
      <c r="H1968" s="220"/>
      <c r="I1968" s="217"/>
      <c r="J1968" s="217"/>
      <c r="K1968" s="217"/>
      <c r="L1968" s="217"/>
      <c r="M1968" s="217"/>
      <c r="N1968" s="217"/>
      <c r="O1968" s="44"/>
      <c r="P1968" s="44"/>
      <c r="Q1968" s="44"/>
      <c r="R1968" s="44"/>
      <c r="S1968" s="44"/>
      <c r="T1968" s="44"/>
      <c r="U1968" s="44"/>
      <c r="V1968" s="44"/>
      <c r="W1968" s="44"/>
      <c r="X1968" s="44"/>
      <c r="Y1968" s="44"/>
      <c r="Z1968" s="44"/>
      <c r="AA1968" s="44"/>
      <c r="AB1968" s="44"/>
      <c r="AC1968" s="44"/>
      <c r="AD1968" s="44"/>
      <c r="AE1968" s="44"/>
      <c r="AF1968" s="44"/>
      <c r="AG1968" s="44"/>
      <c r="AH1968" s="44"/>
      <c r="AI1968" s="44"/>
      <c r="AJ1968" s="44"/>
      <c r="AK1968" s="44"/>
      <c r="AL1968" s="44"/>
      <c r="AM1968" s="44"/>
      <c r="AN1968" s="44"/>
      <c r="AO1968" s="44"/>
      <c r="AP1968" s="44"/>
      <c r="AQ1968" s="44"/>
      <c r="BA1968" s="5"/>
      <c r="BB1968" s="5"/>
      <c r="BC1968" s="5"/>
      <c r="BD1968" s="5"/>
      <c r="BE1968" s="63"/>
      <c r="BF1968" s="63"/>
      <c r="BG1968" s="63"/>
      <c r="BK1968" s="317"/>
      <c r="BL1968" s="5"/>
      <c r="BM1968" s="5"/>
      <c r="BN1968" s="5"/>
      <c r="BO1968" s="5"/>
      <c r="BP1968" s="5"/>
      <c r="BQ1968" s="5"/>
      <c r="BR1968" s="5"/>
      <c r="BS1968" s="5"/>
      <c r="BT1968" s="5"/>
      <c r="BV1968" s="317"/>
      <c r="CF1968" s="5"/>
      <c r="CG1968" s="53"/>
      <c r="CH1968" s="53"/>
      <c r="CI1968" s="53"/>
      <c r="CJ1968" s="53"/>
      <c r="CK1968" s="53"/>
      <c r="CL1968" s="53"/>
      <c r="CN1968" s="53"/>
      <c r="CO1968" s="53"/>
      <c r="CP1968" s="53"/>
      <c r="CQ1968" s="53"/>
      <c r="CR1968" s="53"/>
      <c r="CS1968" s="53"/>
    </row>
    <row r="1969" spans="1:103" ht="10.25" customHeight="1">
      <c r="A1969" s="216"/>
      <c r="B1969" s="217"/>
      <c r="C1969" s="218"/>
      <c r="D1969" s="219"/>
      <c r="E1969" s="217"/>
      <c r="F1969" s="217"/>
      <c r="G1969" s="217"/>
      <c r="H1969" s="220"/>
      <c r="I1969" s="217"/>
      <c r="J1969" s="217"/>
      <c r="K1969" s="217"/>
      <c r="L1969" s="217"/>
      <c r="M1969" s="217"/>
      <c r="N1969" s="217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44"/>
      <c r="AL1969" s="44"/>
      <c r="AM1969" s="44"/>
      <c r="AN1969" s="44"/>
      <c r="AO1969" s="44"/>
      <c r="AP1969" s="44"/>
      <c r="AQ1969" s="44"/>
      <c r="BA1969" s="5"/>
      <c r="BB1969" s="5"/>
      <c r="BC1969" s="5"/>
      <c r="BD1969" s="5"/>
      <c r="BE1969" s="63"/>
      <c r="BF1969" s="63"/>
      <c r="BG1969" s="63"/>
      <c r="BK1969" s="317"/>
      <c r="BL1969" s="5"/>
      <c r="BM1969" s="5"/>
      <c r="BN1969" s="5"/>
      <c r="BO1969" s="5"/>
      <c r="BP1969" s="5"/>
      <c r="BQ1969" s="5"/>
      <c r="BR1969" s="5"/>
      <c r="BS1969" s="5"/>
      <c r="BT1969" s="5"/>
      <c r="BV1969" s="317"/>
      <c r="CF1969" s="5"/>
      <c r="CG1969" s="53"/>
      <c r="CH1969" s="53"/>
      <c r="CI1969" s="53"/>
      <c r="CJ1969" s="53"/>
      <c r="CK1969" s="53"/>
      <c r="CL1969" s="53"/>
      <c r="CN1969" s="53"/>
      <c r="CO1969" s="53"/>
      <c r="CP1969" s="53"/>
      <c r="CQ1969" s="53"/>
      <c r="CR1969" s="53"/>
      <c r="CS1969" s="53"/>
    </row>
    <row r="1970" spans="1:103" ht="10.25" customHeight="1">
      <c r="A1970" s="216"/>
      <c r="B1970" s="217"/>
      <c r="C1970" s="218"/>
      <c r="D1970" s="219"/>
      <c r="E1970" s="217"/>
      <c r="F1970" s="217"/>
      <c r="G1970" s="217"/>
      <c r="H1970" s="220"/>
      <c r="I1970" s="217"/>
      <c r="J1970" s="217"/>
      <c r="K1970" s="217"/>
      <c r="L1970" s="217"/>
      <c r="M1970" s="217"/>
      <c r="N1970" s="217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BA1970" s="5"/>
      <c r="BB1970" s="5"/>
      <c r="BC1970" s="5"/>
      <c r="BD1970" s="5"/>
      <c r="BE1970" s="63"/>
      <c r="BF1970" s="63"/>
      <c r="BG1970" s="63"/>
      <c r="BK1970" s="317"/>
      <c r="BL1970" s="5"/>
      <c r="BM1970" s="5"/>
      <c r="BN1970" s="5"/>
      <c r="BO1970" s="5"/>
      <c r="BP1970" s="5"/>
      <c r="BQ1970" s="5"/>
      <c r="BR1970" s="5"/>
      <c r="BS1970" s="5"/>
      <c r="BT1970" s="5"/>
      <c r="BV1970" s="317"/>
      <c r="CF1970" s="5"/>
      <c r="CG1970" s="53"/>
      <c r="CH1970" s="53"/>
      <c r="CI1970" s="53"/>
      <c r="CJ1970" s="53"/>
      <c r="CK1970" s="53"/>
      <c r="CL1970" s="53"/>
      <c r="CN1970" s="53"/>
      <c r="CO1970" s="53"/>
      <c r="CP1970" s="53"/>
      <c r="CQ1970" s="53"/>
      <c r="CR1970" s="53"/>
      <c r="CS1970" s="53"/>
    </row>
    <row r="1971" spans="1:103" ht="10.25" customHeight="1">
      <c r="A1971" s="216"/>
      <c r="B1971" s="217"/>
      <c r="C1971" s="218"/>
      <c r="D1971" s="219"/>
      <c r="E1971" s="217"/>
      <c r="F1971" s="217"/>
      <c r="G1971" s="217"/>
      <c r="H1971" s="220"/>
      <c r="I1971" s="217"/>
      <c r="J1971" s="217"/>
      <c r="K1971" s="217"/>
      <c r="L1971" s="217"/>
      <c r="M1971" s="217"/>
      <c r="N1971" s="217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BA1971" s="5"/>
      <c r="BB1971" s="5"/>
      <c r="BC1971" s="5"/>
      <c r="BD1971" s="5"/>
      <c r="BE1971" s="63"/>
      <c r="BF1971" s="63"/>
      <c r="BG1971" s="63"/>
      <c r="BK1971" s="317"/>
      <c r="BL1971" s="5"/>
      <c r="BM1971" s="5"/>
      <c r="BN1971" s="5"/>
      <c r="BO1971" s="5"/>
      <c r="BP1971" s="5"/>
      <c r="BQ1971" s="5"/>
      <c r="BR1971" s="5"/>
      <c r="BS1971" s="5"/>
      <c r="BT1971" s="5"/>
      <c r="BV1971" s="317"/>
      <c r="CF1971" s="5"/>
      <c r="CG1971" s="53"/>
      <c r="CH1971" s="53"/>
      <c r="CI1971" s="53"/>
      <c r="CJ1971" s="53"/>
      <c r="CK1971" s="53"/>
      <c r="CL1971" s="53"/>
      <c r="CN1971" s="53"/>
      <c r="CO1971" s="53"/>
      <c r="CP1971" s="53"/>
      <c r="CQ1971" s="53"/>
      <c r="CR1971" s="53"/>
      <c r="CS1971" s="53"/>
    </row>
    <row r="1972" spans="1:103" ht="10.25" customHeight="1">
      <c r="A1972" s="216"/>
      <c r="B1972" s="217"/>
      <c r="C1972" s="218"/>
      <c r="D1972" s="219"/>
      <c r="E1972" s="217"/>
      <c r="F1972" s="217"/>
      <c r="G1972" s="217"/>
      <c r="H1972" s="220"/>
      <c r="I1972" s="217"/>
      <c r="J1972" s="217"/>
      <c r="K1972" s="217"/>
      <c r="L1972" s="217"/>
      <c r="M1972" s="217"/>
      <c r="N1972" s="217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BA1972" s="5"/>
      <c r="BB1972" s="5"/>
      <c r="BC1972" s="5"/>
      <c r="BD1972" s="5"/>
      <c r="BE1972" s="63"/>
      <c r="BF1972" s="63"/>
      <c r="BG1972" s="63"/>
      <c r="BK1972" s="317"/>
      <c r="BL1972" s="5"/>
      <c r="BM1972" s="5"/>
      <c r="BN1972" s="5"/>
      <c r="BO1972" s="5"/>
      <c r="BP1972" s="5"/>
      <c r="BQ1972" s="5"/>
      <c r="BR1972" s="5"/>
      <c r="BS1972" s="5"/>
      <c r="BT1972" s="5"/>
      <c r="BV1972" s="317"/>
      <c r="CF1972" s="5"/>
      <c r="CG1972" s="53"/>
      <c r="CH1972" s="53"/>
      <c r="CI1972" s="53"/>
      <c r="CJ1972" s="53"/>
      <c r="CK1972" s="53"/>
      <c r="CL1972" s="53"/>
      <c r="CN1972" s="53"/>
      <c r="CO1972" s="53"/>
      <c r="CP1972" s="53"/>
      <c r="CQ1972" s="53"/>
      <c r="CR1972" s="53"/>
      <c r="CS1972" s="53"/>
    </row>
    <row r="1973" spans="1:103" ht="10.25" customHeight="1">
      <c r="A1973" s="216"/>
      <c r="B1973" s="217"/>
      <c r="C1973" s="218"/>
      <c r="D1973" s="219"/>
      <c r="E1973" s="217"/>
      <c r="F1973" s="217"/>
      <c r="G1973" s="217"/>
      <c r="H1973" s="220"/>
      <c r="I1973" s="217"/>
      <c r="J1973" s="217"/>
      <c r="K1973" s="217"/>
      <c r="L1973" s="217"/>
      <c r="M1973" s="217"/>
      <c r="N1973" s="217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BA1973" s="5"/>
      <c r="BB1973" s="5"/>
      <c r="BC1973" s="5"/>
      <c r="BD1973" s="5"/>
      <c r="BE1973" s="63"/>
      <c r="BF1973" s="63"/>
      <c r="BG1973" s="63"/>
      <c r="BK1973" s="317"/>
      <c r="BL1973" s="5"/>
      <c r="BM1973" s="5"/>
      <c r="BN1973" s="5"/>
      <c r="BO1973" s="5"/>
      <c r="BP1973" s="5"/>
      <c r="BQ1973" s="5"/>
      <c r="BR1973" s="5"/>
      <c r="BS1973" s="5"/>
      <c r="BT1973" s="5"/>
      <c r="BV1973" s="317"/>
      <c r="CF1973" s="5"/>
      <c r="CG1973" s="53"/>
      <c r="CH1973" s="53"/>
      <c r="CI1973" s="53"/>
      <c r="CJ1973" s="53"/>
      <c r="CK1973" s="53"/>
      <c r="CL1973" s="53"/>
      <c r="CN1973" s="53"/>
      <c r="CO1973" s="53"/>
      <c r="CP1973" s="53"/>
      <c r="CQ1973" s="53"/>
      <c r="CR1973" s="53"/>
      <c r="CS1973" s="53"/>
    </row>
    <row r="1974" spans="1:103" ht="10.25" customHeight="1">
      <c r="A1974" s="216"/>
      <c r="B1974" s="217"/>
      <c r="C1974" s="218"/>
      <c r="D1974" s="219"/>
      <c r="E1974" s="217"/>
      <c r="F1974" s="217"/>
      <c r="G1974" s="217"/>
      <c r="H1974" s="220"/>
      <c r="I1974" s="217"/>
      <c r="J1974" s="217"/>
      <c r="K1974" s="217"/>
      <c r="L1974" s="217"/>
      <c r="M1974" s="217"/>
      <c r="N1974" s="217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W1974" s="63"/>
      <c r="AX1974" s="63"/>
      <c r="AY1974" s="63"/>
      <c r="AZ1974" s="63"/>
      <c r="BA1974" s="5"/>
      <c r="BB1974" s="5"/>
      <c r="BC1974" s="5"/>
      <c r="BD1974" s="5"/>
      <c r="BE1974" s="63"/>
      <c r="BF1974" s="63"/>
      <c r="BG1974" s="63"/>
      <c r="BV1974" s="317"/>
      <c r="CF1974" s="5"/>
      <c r="CG1974" s="53"/>
      <c r="CH1974" s="53"/>
      <c r="CI1974" s="53"/>
      <c r="CJ1974" s="53"/>
      <c r="CK1974" s="53"/>
      <c r="CL1974" s="53"/>
      <c r="CN1974" s="53"/>
      <c r="CO1974" s="53"/>
      <c r="CP1974" s="53"/>
      <c r="CQ1974" s="53"/>
      <c r="CR1974" s="53"/>
      <c r="CS1974" s="53"/>
    </row>
    <row r="1975" spans="1:103" ht="10.25" customHeight="1">
      <c r="A1975" s="216"/>
      <c r="B1975" s="217"/>
      <c r="C1975" s="218"/>
      <c r="D1975" s="219"/>
      <c r="E1975" s="217"/>
      <c r="F1975" s="217"/>
      <c r="G1975" s="217"/>
      <c r="H1975" s="220"/>
      <c r="I1975" s="217"/>
      <c r="J1975" s="217"/>
      <c r="K1975" s="217"/>
      <c r="L1975" s="217"/>
      <c r="M1975" s="217"/>
      <c r="N1975" s="217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W1975" s="63"/>
      <c r="AX1975" s="63"/>
      <c r="AY1975" s="63"/>
      <c r="AZ1975" s="63"/>
      <c r="BA1975" s="5"/>
      <c r="BB1975" s="5"/>
      <c r="BC1975" s="5"/>
      <c r="BD1975" s="5"/>
      <c r="BE1975" s="63"/>
      <c r="BF1975" s="63"/>
      <c r="BG1975" s="63"/>
      <c r="BV1975" s="317"/>
      <c r="CF1975" s="5"/>
      <c r="CG1975" s="53"/>
      <c r="CH1975" s="53"/>
      <c r="CI1975" s="53"/>
      <c r="CJ1975" s="53"/>
      <c r="CK1975" s="53"/>
      <c r="CL1975" s="53"/>
      <c r="CN1975" s="53"/>
      <c r="CO1975" s="53"/>
      <c r="CP1975" s="53"/>
      <c r="CQ1975" s="53"/>
      <c r="CR1975" s="53"/>
      <c r="CS1975" s="53"/>
    </row>
    <row r="1976" spans="1:103" ht="10.25" customHeight="1">
      <c r="A1976" s="216"/>
      <c r="B1976" s="217"/>
      <c r="C1976" s="218"/>
      <c r="D1976" s="219"/>
      <c r="E1976" s="217"/>
      <c r="F1976" s="217"/>
      <c r="G1976" s="217"/>
      <c r="H1976" s="220"/>
      <c r="I1976" s="217"/>
      <c r="J1976" s="217"/>
      <c r="K1976" s="217"/>
      <c r="L1976" s="217"/>
      <c r="M1976" s="217"/>
      <c r="N1976" s="217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W1976" s="63"/>
      <c r="AX1976" s="63"/>
      <c r="AY1976" s="63"/>
      <c r="AZ1976" s="63"/>
      <c r="BA1976" s="5"/>
      <c r="BB1976" s="5"/>
      <c r="BC1976" s="5"/>
      <c r="BD1976" s="5"/>
      <c r="BE1976" s="63"/>
      <c r="BF1976" s="63"/>
      <c r="BG1976" s="63"/>
      <c r="BV1976" s="317"/>
      <c r="CF1976" s="5"/>
      <c r="CG1976" s="53"/>
      <c r="CH1976" s="53"/>
      <c r="CI1976" s="53"/>
      <c r="CJ1976" s="53"/>
      <c r="CK1976" s="53"/>
      <c r="CL1976" s="53"/>
      <c r="CN1976" s="53"/>
      <c r="CO1976" s="53"/>
      <c r="CP1976" s="53"/>
      <c r="CQ1976" s="53"/>
      <c r="CR1976" s="53"/>
      <c r="CS1976" s="53"/>
      <c r="CT1976" s="5"/>
      <c r="CU1976" s="5"/>
      <c r="CV1976" s="5"/>
      <c r="CW1976" s="5"/>
      <c r="CX1976" s="5"/>
      <c r="CY1976" s="5"/>
    </row>
    <row r="1977" spans="1:103" ht="10.25" customHeight="1">
      <c r="A1977" s="216"/>
      <c r="B1977" s="217"/>
      <c r="C1977" s="218"/>
      <c r="D1977" s="219"/>
      <c r="E1977" s="217"/>
      <c r="F1977" s="217"/>
      <c r="G1977" s="217"/>
      <c r="H1977" s="220"/>
      <c r="I1977" s="217"/>
      <c r="J1977" s="217"/>
      <c r="K1977" s="217"/>
      <c r="L1977" s="217"/>
      <c r="M1977" s="217"/>
      <c r="N1977" s="217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W1977" s="63"/>
      <c r="AX1977" s="63"/>
      <c r="AY1977" s="63"/>
      <c r="AZ1977" s="63"/>
      <c r="BA1977" s="5"/>
      <c r="BB1977" s="5"/>
      <c r="BC1977" s="5"/>
      <c r="BD1977" s="5"/>
      <c r="BE1977" s="63"/>
      <c r="BF1977" s="63"/>
      <c r="BG1977" s="63"/>
      <c r="BV1977" s="317"/>
      <c r="CF1977" s="5"/>
      <c r="CG1977" s="53"/>
      <c r="CH1977" s="53"/>
      <c r="CI1977" s="53"/>
      <c r="CJ1977" s="53"/>
      <c r="CK1977" s="53"/>
      <c r="CL1977" s="53"/>
      <c r="CN1977" s="53"/>
      <c r="CO1977" s="53"/>
      <c r="CP1977" s="53"/>
      <c r="CQ1977" s="53"/>
      <c r="CR1977" s="53"/>
      <c r="CS1977" s="53"/>
      <c r="CT1977" s="5"/>
      <c r="CU1977" s="5"/>
      <c r="CV1977" s="5"/>
      <c r="CW1977" s="5"/>
      <c r="CX1977" s="5"/>
      <c r="CY1977" s="5"/>
    </row>
    <row r="1978" spans="1:103" ht="10.25" customHeight="1">
      <c r="A1978" s="216"/>
      <c r="B1978" s="217"/>
      <c r="C1978" s="218"/>
      <c r="D1978" s="219"/>
      <c r="E1978" s="217"/>
      <c r="F1978" s="217"/>
      <c r="G1978" s="217"/>
      <c r="H1978" s="220"/>
      <c r="I1978" s="217"/>
      <c r="J1978" s="217"/>
      <c r="K1978" s="217"/>
      <c r="L1978" s="217"/>
      <c r="M1978" s="217"/>
      <c r="N1978" s="217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W1978" s="63"/>
      <c r="AX1978" s="63"/>
      <c r="AY1978" s="63"/>
      <c r="AZ1978" s="63"/>
      <c r="BA1978" s="5"/>
      <c r="BB1978" s="5"/>
      <c r="BC1978" s="5"/>
      <c r="BD1978" s="5"/>
      <c r="BE1978" s="63"/>
      <c r="BF1978" s="63"/>
      <c r="BG1978" s="63"/>
      <c r="BV1978" s="317"/>
      <c r="CF1978" s="5"/>
      <c r="CG1978" s="53"/>
      <c r="CH1978" s="53"/>
      <c r="CI1978" s="53"/>
      <c r="CJ1978" s="53"/>
      <c r="CK1978" s="53"/>
      <c r="CL1978" s="53"/>
      <c r="CN1978" s="53"/>
      <c r="CO1978" s="53"/>
      <c r="CP1978" s="53"/>
      <c r="CQ1978" s="53"/>
      <c r="CR1978" s="53"/>
      <c r="CS1978" s="53"/>
      <c r="CT1978" s="5"/>
      <c r="CU1978" s="5"/>
      <c r="CV1978" s="5"/>
      <c r="CW1978" s="5"/>
      <c r="CX1978" s="5"/>
      <c r="CY1978" s="5"/>
    </row>
    <row r="1979" spans="1:103" ht="10.25" customHeight="1">
      <c r="A1979" s="216"/>
      <c r="B1979" s="217"/>
      <c r="C1979" s="218"/>
      <c r="D1979" s="219"/>
      <c r="E1979" s="217"/>
      <c r="F1979" s="217"/>
      <c r="G1979" s="217"/>
      <c r="H1979" s="220"/>
      <c r="I1979" s="217"/>
      <c r="J1979" s="217"/>
      <c r="K1979" s="217"/>
      <c r="L1979" s="217"/>
      <c r="M1979" s="217"/>
      <c r="N1979" s="217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BA1979" s="5"/>
      <c r="BB1979" s="5"/>
      <c r="BC1979" s="5"/>
      <c r="BD1979" s="5"/>
      <c r="BE1979" s="63"/>
      <c r="BF1979" s="63"/>
      <c r="BG1979" s="63"/>
      <c r="BV1979" s="317"/>
      <c r="CF1979" s="5"/>
      <c r="CG1979" s="53"/>
      <c r="CH1979" s="53"/>
      <c r="CI1979" s="53"/>
      <c r="CJ1979" s="53"/>
      <c r="CK1979" s="53"/>
      <c r="CL1979" s="53"/>
      <c r="CN1979" s="53"/>
      <c r="CO1979" s="53"/>
      <c r="CP1979" s="53"/>
      <c r="CQ1979" s="53"/>
      <c r="CR1979" s="53"/>
      <c r="CS1979" s="53"/>
      <c r="CT1979" s="5"/>
      <c r="CU1979" s="5"/>
      <c r="CV1979" s="5"/>
      <c r="CW1979" s="5"/>
      <c r="CX1979" s="5"/>
      <c r="CY1979" s="5"/>
    </row>
    <row r="1980" spans="1:103" ht="10.25" customHeight="1">
      <c r="A1980" s="216"/>
      <c r="B1980" s="217"/>
      <c r="C1980" s="218"/>
      <c r="D1980" s="219"/>
      <c r="E1980" s="217"/>
      <c r="F1980" s="217"/>
      <c r="G1980" s="217"/>
      <c r="H1980" s="220"/>
      <c r="I1980" s="217"/>
      <c r="J1980" s="217"/>
      <c r="K1980" s="217"/>
      <c r="L1980" s="217"/>
      <c r="M1980" s="217"/>
      <c r="N1980" s="217"/>
      <c r="O1980" s="44"/>
      <c r="P1980" s="44"/>
      <c r="Q1980" s="44"/>
      <c r="R1980" s="44"/>
      <c r="S1980" s="44"/>
      <c r="T1980" s="44"/>
      <c r="U1980" s="44"/>
      <c r="V1980" s="44"/>
      <c r="W1980" s="44"/>
      <c r="X1980" s="44"/>
      <c r="Y1980" s="44"/>
      <c r="Z1980" s="44"/>
      <c r="AA1980" s="44"/>
      <c r="AB1980" s="44"/>
      <c r="AC1980" s="44"/>
      <c r="AD1980" s="44"/>
      <c r="AE1980" s="44"/>
      <c r="AF1980" s="44"/>
      <c r="AG1980" s="44"/>
      <c r="AH1980" s="44"/>
      <c r="AI1980" s="44"/>
      <c r="AJ1980" s="44"/>
      <c r="AK1980" s="44"/>
      <c r="AL1980" s="44"/>
      <c r="AM1980" s="44"/>
      <c r="AN1980" s="44"/>
      <c r="AO1980" s="44"/>
      <c r="AP1980" s="44"/>
      <c r="AQ1980" s="44"/>
      <c r="BA1980" s="5"/>
      <c r="BB1980" s="5"/>
      <c r="BC1980" s="5"/>
      <c r="BD1980" s="5"/>
      <c r="BE1980" s="63"/>
      <c r="BF1980" s="63"/>
      <c r="BG1980" s="63"/>
      <c r="BV1980" s="317"/>
      <c r="CF1980" s="5"/>
      <c r="CG1980" s="53"/>
      <c r="CH1980" s="53"/>
      <c r="CI1980" s="53"/>
      <c r="CJ1980" s="53"/>
      <c r="CK1980" s="53"/>
      <c r="CL1980" s="53"/>
      <c r="CN1980" s="53"/>
      <c r="CO1980" s="53"/>
      <c r="CP1980" s="53"/>
      <c r="CQ1980" s="53"/>
      <c r="CR1980" s="53"/>
      <c r="CS1980" s="53"/>
      <c r="CT1980" s="5"/>
      <c r="CU1980" s="5"/>
      <c r="CV1980" s="5"/>
      <c r="CW1980" s="5"/>
      <c r="CX1980" s="5"/>
      <c r="CY1980" s="5"/>
    </row>
    <row r="1981" spans="1:103" ht="10.25" customHeight="1">
      <c r="A1981" s="216"/>
      <c r="B1981" s="217"/>
      <c r="C1981" s="218"/>
      <c r="D1981" s="219"/>
      <c r="E1981" s="217"/>
      <c r="F1981" s="217"/>
      <c r="G1981" s="217"/>
      <c r="H1981" s="220"/>
      <c r="I1981" s="217"/>
      <c r="J1981" s="217"/>
      <c r="K1981" s="217"/>
      <c r="L1981" s="217"/>
      <c r="M1981" s="217"/>
      <c r="N1981" s="217"/>
      <c r="O1981" s="44"/>
      <c r="P1981" s="44"/>
      <c r="Q1981" s="44"/>
      <c r="R1981" s="44"/>
      <c r="S1981" s="44"/>
      <c r="T1981" s="44"/>
      <c r="U1981" s="44"/>
      <c r="V1981" s="44"/>
      <c r="W1981" s="44"/>
      <c r="X1981" s="44"/>
      <c r="Y1981" s="44"/>
      <c r="Z1981" s="44"/>
      <c r="AA1981" s="44"/>
      <c r="AB1981" s="44"/>
      <c r="AC1981" s="44"/>
      <c r="AD1981" s="44"/>
      <c r="AE1981" s="44"/>
      <c r="AF1981" s="44"/>
      <c r="AG1981" s="44"/>
      <c r="AH1981" s="44"/>
      <c r="AI1981" s="44"/>
      <c r="AJ1981" s="44"/>
      <c r="AK1981" s="44"/>
      <c r="AL1981" s="44"/>
      <c r="AM1981" s="44"/>
      <c r="AN1981" s="44"/>
      <c r="AO1981" s="44"/>
      <c r="AP1981" s="44"/>
      <c r="AQ1981" s="44"/>
      <c r="BA1981" s="5"/>
      <c r="BB1981" s="5"/>
      <c r="BC1981" s="5"/>
      <c r="BD1981" s="5"/>
      <c r="BE1981" s="63"/>
      <c r="BF1981" s="63"/>
      <c r="BG1981" s="63"/>
      <c r="CA1981" s="317"/>
      <c r="CF1981" s="5"/>
      <c r="CG1981" s="53"/>
      <c r="CH1981" s="53"/>
      <c r="CI1981" s="53"/>
      <c r="CJ1981" s="53"/>
      <c r="CK1981" s="53"/>
      <c r="CL1981" s="53"/>
      <c r="CN1981" s="53"/>
      <c r="CO1981" s="53"/>
      <c r="CP1981" s="53"/>
      <c r="CQ1981" s="53"/>
      <c r="CR1981" s="53"/>
      <c r="CS1981" s="53"/>
      <c r="CT1981" s="5"/>
      <c r="CU1981" s="5"/>
      <c r="CV1981" s="5"/>
      <c r="CW1981" s="5"/>
      <c r="CX1981" s="5"/>
      <c r="CY1981" s="5"/>
    </row>
    <row r="1982" spans="1:103" ht="10.25" customHeight="1">
      <c r="A1982" s="216"/>
      <c r="B1982" s="217"/>
      <c r="C1982" s="218"/>
      <c r="D1982" s="219"/>
      <c r="E1982" s="217"/>
      <c r="F1982" s="217"/>
      <c r="G1982" s="217"/>
      <c r="H1982" s="220"/>
      <c r="I1982" s="217"/>
      <c r="J1982" s="217"/>
      <c r="K1982" s="217"/>
      <c r="L1982" s="217"/>
      <c r="M1982" s="217"/>
      <c r="N1982" s="217"/>
      <c r="O1982" s="44"/>
      <c r="P1982" s="44"/>
      <c r="Q1982" s="44"/>
      <c r="R1982" s="44"/>
      <c r="S1982" s="44"/>
      <c r="T1982" s="44"/>
      <c r="U1982" s="44"/>
      <c r="V1982" s="44"/>
      <c r="W1982" s="44"/>
      <c r="X1982" s="44"/>
      <c r="Y1982" s="44"/>
      <c r="Z1982" s="44"/>
      <c r="AA1982" s="44"/>
      <c r="AB1982" s="44"/>
      <c r="AC1982" s="44"/>
      <c r="AD1982" s="44"/>
      <c r="AE1982" s="44"/>
      <c r="AF1982" s="44"/>
      <c r="AG1982" s="44"/>
      <c r="AH1982" s="44"/>
      <c r="AI1982" s="44"/>
      <c r="AJ1982" s="44"/>
      <c r="AK1982" s="44"/>
      <c r="AL1982" s="44"/>
      <c r="AM1982" s="44"/>
      <c r="AN1982" s="44"/>
      <c r="AO1982" s="44"/>
      <c r="AP1982" s="44"/>
      <c r="AQ1982" s="44"/>
      <c r="BA1982" s="5"/>
      <c r="BB1982" s="5"/>
      <c r="BC1982" s="5"/>
      <c r="BD1982" s="5"/>
      <c r="BE1982" s="63"/>
      <c r="BF1982" s="63"/>
      <c r="BG1982" s="63"/>
      <c r="CA1982" s="317"/>
      <c r="CF1982" s="5"/>
      <c r="CG1982" s="53"/>
      <c r="CH1982" s="53"/>
      <c r="CI1982" s="53"/>
      <c r="CJ1982" s="53"/>
      <c r="CK1982" s="53"/>
      <c r="CL1982" s="53"/>
      <c r="CN1982" s="53"/>
      <c r="CO1982" s="53"/>
      <c r="CP1982" s="53"/>
      <c r="CQ1982" s="53"/>
      <c r="CR1982" s="53"/>
      <c r="CS1982" s="53"/>
      <c r="CT1982" s="5"/>
      <c r="CU1982" s="5"/>
      <c r="CV1982" s="5"/>
      <c r="CW1982" s="5"/>
      <c r="CX1982" s="5"/>
      <c r="CY1982" s="5"/>
    </row>
    <row r="1983" spans="1:103" ht="10.25" customHeight="1">
      <c r="A1983" s="216"/>
      <c r="B1983" s="217"/>
      <c r="C1983" s="218"/>
      <c r="D1983" s="219"/>
      <c r="E1983" s="217"/>
      <c r="F1983" s="217"/>
      <c r="G1983" s="217"/>
      <c r="H1983" s="220"/>
      <c r="I1983" s="217"/>
      <c r="J1983" s="217"/>
      <c r="K1983" s="217"/>
      <c r="L1983" s="217"/>
      <c r="M1983" s="217"/>
      <c r="N1983" s="217"/>
      <c r="O1983" s="44"/>
      <c r="P1983" s="44"/>
      <c r="Q1983" s="44"/>
      <c r="R1983" s="44"/>
      <c r="S1983" s="44"/>
      <c r="T1983" s="44"/>
      <c r="U1983" s="44"/>
      <c r="V1983" s="44"/>
      <c r="W1983" s="44"/>
      <c r="X1983" s="44"/>
      <c r="Y1983" s="44"/>
      <c r="Z1983" s="44"/>
      <c r="AA1983" s="44"/>
      <c r="AB1983" s="44"/>
      <c r="AC1983" s="44"/>
      <c r="AD1983" s="44"/>
      <c r="AE1983" s="44"/>
      <c r="AF1983" s="44"/>
      <c r="AG1983" s="44"/>
      <c r="AH1983" s="44"/>
      <c r="AI1983" s="44"/>
      <c r="AJ1983" s="44"/>
      <c r="AK1983" s="44"/>
      <c r="AL1983" s="44"/>
      <c r="AM1983" s="44"/>
      <c r="AN1983" s="44"/>
      <c r="AO1983" s="44"/>
      <c r="AP1983" s="44"/>
      <c r="AQ1983" s="44"/>
      <c r="BA1983" s="5"/>
      <c r="BB1983" s="5"/>
      <c r="BC1983" s="5"/>
      <c r="BD1983" s="5"/>
      <c r="BE1983" s="63"/>
      <c r="BF1983" s="63"/>
      <c r="BG1983" s="63"/>
      <c r="CA1983" s="317"/>
      <c r="CF1983" s="5"/>
      <c r="CG1983" s="53"/>
      <c r="CH1983" s="53"/>
      <c r="CI1983" s="53"/>
      <c r="CJ1983" s="53"/>
      <c r="CK1983" s="53"/>
      <c r="CL1983" s="53"/>
      <c r="CN1983" s="53"/>
      <c r="CO1983" s="53"/>
      <c r="CP1983" s="53"/>
      <c r="CQ1983" s="53"/>
      <c r="CR1983" s="53"/>
      <c r="CS1983" s="53"/>
      <c r="CT1983" s="5"/>
      <c r="CU1983" s="5"/>
      <c r="CV1983" s="5"/>
      <c r="CW1983" s="5"/>
      <c r="CX1983" s="5"/>
      <c r="CY1983" s="5"/>
    </row>
    <row r="1984" spans="1:103" ht="10.25" customHeight="1">
      <c r="A1984" s="216"/>
      <c r="B1984" s="217"/>
      <c r="C1984" s="218"/>
      <c r="D1984" s="219"/>
      <c r="E1984" s="217"/>
      <c r="F1984" s="217"/>
      <c r="G1984" s="217"/>
      <c r="H1984" s="220"/>
      <c r="I1984" s="217"/>
      <c r="J1984" s="217"/>
      <c r="K1984" s="217"/>
      <c r="L1984" s="217"/>
      <c r="M1984" s="217"/>
      <c r="N1984" s="217"/>
      <c r="O1984" s="44"/>
      <c r="P1984" s="44"/>
      <c r="Q1984" s="44"/>
      <c r="R1984" s="44"/>
      <c r="S1984" s="44"/>
      <c r="T1984" s="44"/>
      <c r="U1984" s="44"/>
      <c r="V1984" s="44"/>
      <c r="W1984" s="44"/>
      <c r="X1984" s="44"/>
      <c r="Y1984" s="44"/>
      <c r="Z1984" s="44"/>
      <c r="AA1984" s="44"/>
      <c r="AB1984" s="44"/>
      <c r="AC1984" s="44"/>
      <c r="AD1984" s="44"/>
      <c r="AE1984" s="44"/>
      <c r="AF1984" s="44"/>
      <c r="AG1984" s="44"/>
      <c r="AH1984" s="44"/>
      <c r="AI1984" s="44"/>
      <c r="AJ1984" s="44"/>
      <c r="AK1984" s="44"/>
      <c r="AL1984" s="44"/>
      <c r="AM1984" s="44"/>
      <c r="AN1984" s="44"/>
      <c r="AO1984" s="44"/>
      <c r="AP1984" s="44"/>
      <c r="AQ1984" s="44"/>
      <c r="BA1984" s="5"/>
      <c r="BB1984" s="5"/>
      <c r="BC1984" s="5"/>
      <c r="BD1984" s="5"/>
      <c r="BE1984" s="63"/>
      <c r="BF1984" s="63"/>
      <c r="BG1984" s="63"/>
      <c r="CA1984" s="317"/>
      <c r="CF1984" s="5"/>
      <c r="CG1984" s="53"/>
      <c r="CH1984" s="53"/>
      <c r="CI1984" s="53"/>
      <c r="CJ1984" s="53"/>
      <c r="CK1984" s="53"/>
      <c r="CL1984" s="53"/>
      <c r="CN1984" s="53"/>
      <c r="CO1984" s="53"/>
      <c r="CP1984" s="53"/>
      <c r="CQ1984" s="53"/>
      <c r="CR1984" s="53"/>
      <c r="CS1984" s="53"/>
      <c r="CT1984" s="5"/>
      <c r="CU1984" s="5"/>
      <c r="CV1984" s="5"/>
      <c r="CW1984" s="5"/>
      <c r="CX1984" s="5"/>
      <c r="CY1984" s="5"/>
    </row>
    <row r="1985" spans="1:103" ht="10.25" customHeight="1">
      <c r="A1985" s="216"/>
      <c r="B1985" s="217"/>
      <c r="C1985" s="218"/>
      <c r="D1985" s="219"/>
      <c r="E1985" s="217"/>
      <c r="F1985" s="217"/>
      <c r="G1985" s="217"/>
      <c r="H1985" s="220"/>
      <c r="I1985" s="217"/>
      <c r="J1985" s="217"/>
      <c r="K1985" s="217"/>
      <c r="L1985" s="217"/>
      <c r="M1985" s="217"/>
      <c r="N1985" s="217"/>
      <c r="O1985" s="44"/>
      <c r="P1985" s="44"/>
      <c r="Q1985" s="44"/>
      <c r="R1985" s="44"/>
      <c r="S1985" s="44"/>
      <c r="T1985" s="44"/>
      <c r="U1985" s="44"/>
      <c r="V1985" s="44"/>
      <c r="W1985" s="44"/>
      <c r="X1985" s="44"/>
      <c r="Y1985" s="44"/>
      <c r="Z1985" s="44"/>
      <c r="AA1985" s="44"/>
      <c r="AB1985" s="44"/>
      <c r="AC1985" s="44"/>
      <c r="AD1985" s="44"/>
      <c r="AE1985" s="44"/>
      <c r="AF1985" s="44"/>
      <c r="AG1985" s="44"/>
      <c r="AH1985" s="44"/>
      <c r="AI1985" s="44"/>
      <c r="AJ1985" s="44"/>
      <c r="AK1985" s="44"/>
      <c r="AL1985" s="44"/>
      <c r="AM1985" s="44"/>
      <c r="AN1985" s="44"/>
      <c r="AO1985" s="44"/>
      <c r="AP1985" s="44"/>
      <c r="AQ1985" s="44"/>
      <c r="BA1985" s="5"/>
      <c r="BB1985" s="5"/>
      <c r="BC1985" s="5"/>
      <c r="BD1985" s="5"/>
      <c r="BE1985" s="63"/>
      <c r="BF1985" s="63"/>
      <c r="BG1985" s="63"/>
      <c r="CA1985" s="317"/>
      <c r="CF1985" s="5"/>
      <c r="CG1985" s="53"/>
      <c r="CH1985" s="53"/>
      <c r="CI1985" s="53"/>
      <c r="CJ1985" s="53"/>
      <c r="CK1985" s="53"/>
      <c r="CL1985" s="53"/>
      <c r="CN1985" s="53"/>
      <c r="CO1985" s="53"/>
      <c r="CP1985" s="53"/>
      <c r="CQ1985" s="53"/>
      <c r="CR1985" s="53"/>
      <c r="CS1985" s="53"/>
      <c r="CT1985" s="5"/>
      <c r="CU1985" s="5"/>
      <c r="CV1985" s="5"/>
      <c r="CW1985" s="5"/>
      <c r="CX1985" s="5"/>
      <c r="CY1985" s="5"/>
    </row>
    <row r="1986" spans="1:103" ht="10.25" customHeight="1">
      <c r="A1986" s="216"/>
      <c r="B1986" s="217"/>
      <c r="C1986" s="218"/>
      <c r="D1986" s="219"/>
      <c r="E1986" s="217"/>
      <c r="F1986" s="217"/>
      <c r="G1986" s="217"/>
      <c r="H1986" s="220"/>
      <c r="I1986" s="217"/>
      <c r="J1986" s="217"/>
      <c r="K1986" s="217"/>
      <c r="L1986" s="217"/>
      <c r="M1986" s="217"/>
      <c r="N1986" s="217"/>
      <c r="O1986" s="44"/>
      <c r="P1986" s="44"/>
      <c r="Q1986" s="44"/>
      <c r="R1986" s="44"/>
      <c r="S1986" s="44"/>
      <c r="T1986" s="44"/>
      <c r="U1986" s="44"/>
      <c r="V1986" s="44"/>
      <c r="W1986" s="44"/>
      <c r="X1986" s="44"/>
      <c r="Y1986" s="44"/>
      <c r="Z1986" s="44"/>
      <c r="AA1986" s="44"/>
      <c r="AB1986" s="44"/>
      <c r="AC1986" s="44"/>
      <c r="AD1986" s="44"/>
      <c r="AE1986" s="44"/>
      <c r="AF1986" s="44"/>
      <c r="AG1986" s="44"/>
      <c r="AH1986" s="44"/>
      <c r="AI1986" s="44"/>
      <c r="AJ1986" s="44"/>
      <c r="AK1986" s="44"/>
      <c r="AL1986" s="44"/>
      <c r="AM1986" s="44"/>
      <c r="AN1986" s="44"/>
      <c r="AO1986" s="44"/>
      <c r="AP1986" s="44"/>
      <c r="AQ1986" s="44"/>
      <c r="BA1986" s="5"/>
      <c r="BB1986" s="5"/>
      <c r="BC1986" s="5"/>
      <c r="BD1986" s="5"/>
      <c r="BE1986" s="63"/>
      <c r="BF1986" s="63"/>
      <c r="BG1986" s="63"/>
      <c r="CA1986" s="317"/>
      <c r="CF1986" s="5"/>
      <c r="CG1986" s="53"/>
      <c r="CH1986" s="53"/>
      <c r="CI1986" s="53"/>
      <c r="CJ1986" s="53"/>
      <c r="CK1986" s="53"/>
      <c r="CL1986" s="53"/>
      <c r="CN1986" s="53"/>
      <c r="CO1986" s="53"/>
      <c r="CP1986" s="53"/>
      <c r="CQ1986" s="53"/>
      <c r="CR1986" s="53"/>
      <c r="CS1986" s="53"/>
      <c r="CT1986" s="5"/>
      <c r="CU1986" s="5"/>
      <c r="CV1986" s="5"/>
      <c r="CW1986" s="5"/>
      <c r="CX1986" s="5"/>
      <c r="CY1986" s="5"/>
    </row>
    <row r="1987" spans="1:103" ht="10.25" customHeight="1">
      <c r="A1987" s="216"/>
      <c r="B1987" s="217"/>
      <c r="C1987" s="218"/>
      <c r="D1987" s="219"/>
      <c r="E1987" s="217"/>
      <c r="F1987" s="217"/>
      <c r="G1987" s="217"/>
      <c r="H1987" s="220"/>
      <c r="I1987" s="217"/>
      <c r="J1987" s="217"/>
      <c r="K1987" s="217"/>
      <c r="L1987" s="217"/>
      <c r="M1987" s="217"/>
      <c r="N1987" s="217"/>
      <c r="O1987" s="44"/>
      <c r="P1987" s="44"/>
      <c r="Q1987" s="44"/>
      <c r="R1987" s="44"/>
      <c r="S1987" s="44"/>
      <c r="T1987" s="44"/>
      <c r="U1987" s="44"/>
      <c r="V1987" s="44"/>
      <c r="W1987" s="44"/>
      <c r="X1987" s="44"/>
      <c r="Y1987" s="44"/>
      <c r="Z1987" s="44"/>
      <c r="AA1987" s="44"/>
      <c r="AB1987" s="44"/>
      <c r="AC1987" s="44"/>
      <c r="AD1987" s="44"/>
      <c r="AE1987" s="44"/>
      <c r="AF1987" s="44"/>
      <c r="AG1987" s="44"/>
      <c r="AH1987" s="44"/>
      <c r="AI1987" s="44"/>
      <c r="AJ1987" s="44"/>
      <c r="AK1987" s="44"/>
      <c r="AL1987" s="44"/>
      <c r="AM1987" s="44"/>
      <c r="AN1987" s="44"/>
      <c r="AO1987" s="44"/>
      <c r="AP1987" s="44"/>
      <c r="AQ1987" s="44"/>
      <c r="BA1987" s="5"/>
      <c r="BB1987" s="5"/>
      <c r="BC1987" s="5"/>
      <c r="BD1987" s="5"/>
      <c r="BE1987" s="63"/>
      <c r="BF1987" s="63"/>
      <c r="BG1987" s="63"/>
      <c r="CA1987" s="317"/>
      <c r="CF1987" s="5"/>
      <c r="CG1987" s="53"/>
      <c r="CH1987" s="53"/>
      <c r="CI1987" s="53"/>
      <c r="CJ1987" s="53"/>
      <c r="CK1987" s="53"/>
      <c r="CL1987" s="53"/>
      <c r="CN1987" s="53"/>
      <c r="CO1987" s="53"/>
      <c r="CP1987" s="53"/>
      <c r="CQ1987" s="53"/>
      <c r="CR1987" s="53"/>
      <c r="CS1987" s="53"/>
      <c r="CT1987" s="5"/>
      <c r="CU1987" s="5"/>
      <c r="CV1987" s="5"/>
      <c r="CW1987" s="5"/>
      <c r="CX1987" s="5"/>
      <c r="CY1987" s="5"/>
    </row>
    <row r="1988" spans="1:103" ht="10.25" customHeight="1">
      <c r="A1988" s="216"/>
      <c r="B1988" s="217"/>
      <c r="C1988" s="218"/>
      <c r="D1988" s="219"/>
      <c r="E1988" s="217"/>
      <c r="F1988" s="217"/>
      <c r="G1988" s="217"/>
      <c r="H1988" s="220"/>
      <c r="I1988" s="217"/>
      <c r="J1988" s="217"/>
      <c r="K1988" s="217"/>
      <c r="L1988" s="217"/>
      <c r="M1988" s="217"/>
      <c r="N1988" s="217"/>
      <c r="O1988" s="44"/>
      <c r="P1988" s="44"/>
      <c r="Q1988" s="44"/>
      <c r="R1988" s="44"/>
      <c r="S1988" s="44"/>
      <c r="T1988" s="44"/>
      <c r="U1988" s="44"/>
      <c r="V1988" s="44"/>
      <c r="W1988" s="44"/>
      <c r="X1988" s="44"/>
      <c r="Y1988" s="44"/>
      <c r="Z1988" s="44"/>
      <c r="AA1988" s="44"/>
      <c r="AB1988" s="44"/>
      <c r="AC1988" s="44"/>
      <c r="AD1988" s="44"/>
      <c r="AE1988" s="44"/>
      <c r="AF1988" s="44"/>
      <c r="AG1988" s="44"/>
      <c r="AH1988" s="44"/>
      <c r="AI1988" s="44"/>
      <c r="AJ1988" s="44"/>
      <c r="AK1988" s="44"/>
      <c r="AL1988" s="44"/>
      <c r="AM1988" s="44"/>
      <c r="AN1988" s="44"/>
      <c r="AO1988" s="44"/>
      <c r="AP1988" s="44"/>
      <c r="AQ1988" s="44"/>
      <c r="BA1988" s="5"/>
      <c r="BB1988" s="5"/>
      <c r="BC1988" s="5"/>
      <c r="BD1988" s="5"/>
      <c r="BE1988" s="63"/>
      <c r="BF1988" s="63"/>
      <c r="BG1988" s="63"/>
      <c r="CA1988" s="317"/>
      <c r="CF1988" s="5"/>
      <c r="CG1988" s="53"/>
      <c r="CH1988" s="53"/>
      <c r="CI1988" s="53"/>
      <c r="CJ1988" s="53"/>
      <c r="CK1988" s="53"/>
      <c r="CL1988" s="53"/>
      <c r="CN1988" s="53"/>
      <c r="CO1988" s="53"/>
      <c r="CP1988" s="53"/>
      <c r="CQ1988" s="53"/>
      <c r="CR1988" s="53"/>
      <c r="CS1988" s="53"/>
      <c r="CT1988" s="5"/>
      <c r="CU1988" s="5"/>
      <c r="CV1988" s="5"/>
      <c r="CW1988" s="5"/>
      <c r="CX1988" s="5"/>
      <c r="CY1988" s="5"/>
    </row>
    <row r="1989" spans="1:103" ht="10.25" customHeight="1">
      <c r="A1989" s="216"/>
      <c r="B1989" s="217"/>
      <c r="C1989" s="218"/>
      <c r="D1989" s="219"/>
      <c r="E1989" s="217"/>
      <c r="F1989" s="217"/>
      <c r="G1989" s="217"/>
      <c r="H1989" s="220"/>
      <c r="I1989" s="217"/>
      <c r="J1989" s="217"/>
      <c r="K1989" s="217"/>
      <c r="L1989" s="217"/>
      <c r="M1989" s="217"/>
      <c r="N1989" s="217"/>
      <c r="O1989" s="44"/>
      <c r="P1989" s="44"/>
      <c r="Q1989" s="44"/>
      <c r="R1989" s="44"/>
      <c r="S1989" s="44"/>
      <c r="T1989" s="44"/>
      <c r="U1989" s="44"/>
      <c r="V1989" s="44"/>
      <c r="W1989" s="44"/>
      <c r="X1989" s="44"/>
      <c r="Y1989" s="44"/>
      <c r="Z1989" s="44"/>
      <c r="AA1989" s="44"/>
      <c r="AB1989" s="44"/>
      <c r="AC1989" s="44"/>
      <c r="AD1989" s="44"/>
      <c r="AE1989" s="44"/>
      <c r="AF1989" s="44"/>
      <c r="AG1989" s="44"/>
      <c r="AH1989" s="44"/>
      <c r="AI1989" s="44"/>
      <c r="AJ1989" s="44"/>
      <c r="AK1989" s="44"/>
      <c r="AL1989" s="44"/>
      <c r="AM1989" s="44"/>
      <c r="AN1989" s="44"/>
      <c r="AO1989" s="44"/>
      <c r="AP1989" s="44"/>
      <c r="AQ1989" s="44"/>
      <c r="BA1989" s="5"/>
      <c r="BB1989" s="5"/>
      <c r="BC1989" s="5"/>
      <c r="BD1989" s="5"/>
      <c r="BE1989" s="63"/>
      <c r="BF1989" s="63"/>
      <c r="BG1989" s="63"/>
      <c r="CA1989" s="317"/>
      <c r="CF1989" s="5"/>
      <c r="CG1989" s="53"/>
      <c r="CH1989" s="53"/>
      <c r="CI1989" s="53"/>
      <c r="CJ1989" s="53"/>
      <c r="CK1989" s="53"/>
      <c r="CL1989" s="53"/>
      <c r="CN1989" s="53"/>
      <c r="CO1989" s="53"/>
      <c r="CP1989" s="53"/>
      <c r="CQ1989" s="53"/>
      <c r="CR1989" s="53"/>
      <c r="CS1989" s="53"/>
      <c r="CT1989" s="5"/>
      <c r="CU1989" s="5"/>
      <c r="CV1989" s="5"/>
      <c r="CW1989" s="5"/>
      <c r="CX1989" s="5"/>
      <c r="CY1989" s="5"/>
    </row>
    <row r="1990" spans="1:103" ht="10.25" customHeight="1">
      <c r="A1990" s="216"/>
      <c r="B1990" s="217"/>
      <c r="C1990" s="218"/>
      <c r="D1990" s="219"/>
      <c r="E1990" s="217"/>
      <c r="F1990" s="217"/>
      <c r="G1990" s="217"/>
      <c r="H1990" s="220"/>
      <c r="I1990" s="217"/>
      <c r="J1990" s="217"/>
      <c r="K1990" s="217"/>
      <c r="L1990" s="217"/>
      <c r="M1990" s="217"/>
      <c r="N1990" s="217"/>
      <c r="O1990" s="44"/>
      <c r="P1990" s="44"/>
      <c r="Q1990" s="44"/>
      <c r="R1990" s="44"/>
      <c r="S1990" s="44"/>
      <c r="T1990" s="44"/>
      <c r="U1990" s="44"/>
      <c r="V1990" s="44"/>
      <c r="W1990" s="44"/>
      <c r="X1990" s="44"/>
      <c r="Y1990" s="44"/>
      <c r="Z1990" s="44"/>
      <c r="AA1990" s="44"/>
      <c r="AB1990" s="44"/>
      <c r="AC1990" s="44"/>
      <c r="AD1990" s="44"/>
      <c r="AE1990" s="44"/>
      <c r="AF1990" s="44"/>
      <c r="AG1990" s="44"/>
      <c r="AH1990" s="44"/>
      <c r="AI1990" s="44"/>
      <c r="AJ1990" s="44"/>
      <c r="AK1990" s="44"/>
      <c r="AL1990" s="44"/>
      <c r="AM1990" s="44"/>
      <c r="AN1990" s="44"/>
      <c r="AO1990" s="44"/>
      <c r="AP1990" s="44"/>
      <c r="AQ1990" s="44"/>
      <c r="BA1990" s="5"/>
      <c r="BB1990" s="5"/>
      <c r="BC1990" s="5"/>
      <c r="BD1990" s="5"/>
      <c r="BE1990" s="63"/>
      <c r="BF1990" s="63"/>
      <c r="BG1990" s="63"/>
      <c r="CA1990" s="317"/>
      <c r="CF1990" s="5"/>
      <c r="CG1990" s="53"/>
      <c r="CH1990" s="53"/>
      <c r="CI1990" s="53"/>
      <c r="CJ1990" s="53"/>
      <c r="CK1990" s="53"/>
      <c r="CL1990" s="53"/>
      <c r="CN1990" s="53"/>
      <c r="CO1990" s="53"/>
      <c r="CP1990" s="53"/>
      <c r="CQ1990" s="53"/>
      <c r="CR1990" s="53"/>
      <c r="CS1990" s="53"/>
      <c r="CT1990" s="5"/>
      <c r="CU1990" s="5"/>
      <c r="CV1990" s="5"/>
      <c r="CW1990" s="5"/>
      <c r="CX1990" s="5"/>
      <c r="CY1990" s="5"/>
    </row>
    <row r="1991" spans="1:103" ht="10.25" customHeight="1">
      <c r="A1991" s="216"/>
      <c r="B1991" s="217"/>
      <c r="C1991" s="218"/>
      <c r="D1991" s="219"/>
      <c r="E1991" s="217"/>
      <c r="F1991" s="217"/>
      <c r="G1991" s="217"/>
      <c r="H1991" s="220"/>
      <c r="I1991" s="217"/>
      <c r="J1991" s="217"/>
      <c r="K1991" s="217"/>
      <c r="L1991" s="217"/>
      <c r="M1991" s="217"/>
      <c r="N1991" s="217"/>
      <c r="O1991" s="44"/>
      <c r="P1991" s="44"/>
      <c r="Q1991" s="44"/>
      <c r="R1991" s="44"/>
      <c r="S1991" s="44"/>
      <c r="T1991" s="44"/>
      <c r="U1991" s="44"/>
      <c r="V1991" s="44"/>
      <c r="W1991" s="44"/>
      <c r="X1991" s="44"/>
      <c r="Y1991" s="44"/>
      <c r="Z1991" s="44"/>
      <c r="AA1991" s="44"/>
      <c r="AB1991" s="44"/>
      <c r="AC1991" s="44"/>
      <c r="AD1991" s="44"/>
      <c r="AE1991" s="44"/>
      <c r="AF1991" s="44"/>
      <c r="AG1991" s="44"/>
      <c r="AH1991" s="44"/>
      <c r="AI1991" s="44"/>
      <c r="AJ1991" s="44"/>
      <c r="AK1991" s="44"/>
      <c r="AL1991" s="44"/>
      <c r="AM1991" s="44"/>
      <c r="AN1991" s="44"/>
      <c r="AO1991" s="44"/>
      <c r="AP1991" s="44"/>
      <c r="AQ1991" s="44"/>
      <c r="BA1991" s="5"/>
      <c r="BB1991" s="5"/>
      <c r="BC1991" s="5"/>
      <c r="BD1991" s="5"/>
      <c r="BE1991" s="63"/>
      <c r="BF1991" s="63"/>
      <c r="BG1991" s="63"/>
      <c r="CA1991" s="317"/>
      <c r="CF1991" s="5"/>
      <c r="CG1991" s="53"/>
      <c r="CH1991" s="53"/>
      <c r="CI1991" s="53"/>
      <c r="CJ1991" s="53"/>
      <c r="CK1991" s="53"/>
      <c r="CL1991" s="53"/>
      <c r="CN1991" s="53"/>
      <c r="CO1991" s="53"/>
      <c r="CP1991" s="53"/>
      <c r="CQ1991" s="53"/>
      <c r="CR1991" s="53"/>
      <c r="CS1991" s="53"/>
      <c r="CT1991" s="5"/>
      <c r="CU1991" s="5"/>
      <c r="CV1991" s="5"/>
      <c r="CW1991" s="5"/>
      <c r="CX1991" s="5"/>
      <c r="CY1991" s="5"/>
    </row>
    <row r="1992" spans="1:103" ht="10.25" customHeight="1">
      <c r="A1992" s="216"/>
      <c r="B1992" s="217"/>
      <c r="C1992" s="218"/>
      <c r="D1992" s="219"/>
      <c r="E1992" s="217"/>
      <c r="F1992" s="217"/>
      <c r="G1992" s="217"/>
      <c r="H1992" s="220"/>
      <c r="I1992" s="217"/>
      <c r="J1992" s="217"/>
      <c r="K1992" s="217"/>
      <c r="L1992" s="217"/>
      <c r="M1992" s="217"/>
      <c r="N1992" s="217"/>
      <c r="O1992" s="44"/>
      <c r="P1992" s="44"/>
      <c r="Q1992" s="44"/>
      <c r="R1992" s="44"/>
      <c r="S1992" s="44"/>
      <c r="T1992" s="44"/>
      <c r="U1992" s="44"/>
      <c r="V1992" s="44"/>
      <c r="W1992" s="44"/>
      <c r="X1992" s="44"/>
      <c r="Y1992" s="44"/>
      <c r="Z1992" s="44"/>
      <c r="AA1992" s="44"/>
      <c r="AB1992" s="44"/>
      <c r="AC1992" s="44"/>
      <c r="AD1992" s="44"/>
      <c r="AE1992" s="44"/>
      <c r="AF1992" s="44"/>
      <c r="AG1992" s="44"/>
      <c r="AH1992" s="44"/>
      <c r="AI1992" s="44"/>
      <c r="AJ1992" s="44"/>
      <c r="AK1992" s="44"/>
      <c r="AL1992" s="44"/>
      <c r="AM1992" s="44"/>
      <c r="AN1992" s="44"/>
      <c r="AO1992" s="44"/>
      <c r="AP1992" s="44"/>
      <c r="AQ1992" s="44"/>
      <c r="BA1992" s="5"/>
      <c r="BB1992" s="5"/>
      <c r="BC1992" s="5"/>
      <c r="BD1992" s="5"/>
      <c r="BE1992" s="63"/>
      <c r="BF1992" s="63"/>
      <c r="BG1992" s="63"/>
      <c r="CA1992" s="317"/>
      <c r="CF1992" s="5"/>
      <c r="CG1992" s="53"/>
      <c r="CH1992" s="53"/>
      <c r="CI1992" s="53"/>
      <c r="CJ1992" s="53"/>
      <c r="CK1992" s="53"/>
      <c r="CL1992" s="53"/>
      <c r="CN1992" s="53"/>
      <c r="CO1992" s="53"/>
      <c r="CP1992" s="53"/>
      <c r="CQ1992" s="53"/>
      <c r="CR1992" s="53"/>
      <c r="CS1992" s="53"/>
      <c r="CT1992" s="5"/>
      <c r="CU1992" s="5"/>
      <c r="CV1992" s="5"/>
      <c r="CW1992" s="5"/>
      <c r="CX1992" s="5"/>
      <c r="CY1992" s="5"/>
    </row>
    <row r="1993" spans="1:103" ht="10.25" customHeight="1">
      <c r="A1993" s="216"/>
      <c r="B1993" s="217"/>
      <c r="C1993" s="218"/>
      <c r="D1993" s="219"/>
      <c r="E1993" s="217"/>
      <c r="F1993" s="217"/>
      <c r="G1993" s="217"/>
      <c r="H1993" s="220"/>
      <c r="I1993" s="217"/>
      <c r="J1993" s="217"/>
      <c r="K1993" s="217"/>
      <c r="L1993" s="217"/>
      <c r="M1993" s="217"/>
      <c r="N1993" s="217"/>
      <c r="O1993" s="44"/>
      <c r="P1993" s="44"/>
      <c r="Q1993" s="44"/>
      <c r="R1993" s="44"/>
      <c r="S1993" s="44"/>
      <c r="T1993" s="44"/>
      <c r="U1993" s="44"/>
      <c r="V1993" s="44"/>
      <c r="W1993" s="44"/>
      <c r="X1993" s="44"/>
      <c r="Y1993" s="44"/>
      <c r="Z1993" s="44"/>
      <c r="AA1993" s="44"/>
      <c r="AB1993" s="44"/>
      <c r="AC1993" s="44"/>
      <c r="AD1993" s="44"/>
      <c r="AE1993" s="44"/>
      <c r="AF1993" s="44"/>
      <c r="AG1993" s="44"/>
      <c r="AH1993" s="44"/>
      <c r="AI1993" s="44"/>
      <c r="AJ1993" s="44"/>
      <c r="AK1993" s="44"/>
      <c r="AL1993" s="44"/>
      <c r="AM1993" s="44"/>
      <c r="AN1993" s="44"/>
      <c r="AO1993" s="44"/>
      <c r="AP1993" s="44"/>
      <c r="AQ1993" s="44"/>
      <c r="BA1993" s="5"/>
      <c r="BB1993" s="5"/>
      <c r="BC1993" s="5"/>
      <c r="BD1993" s="5"/>
      <c r="BE1993" s="63"/>
      <c r="BF1993" s="63"/>
      <c r="BG1993" s="63"/>
      <c r="CA1993" s="256"/>
      <c r="CB1993" s="261"/>
      <c r="CC1993" s="261"/>
      <c r="CD1993" s="261"/>
      <c r="CE1993" s="261"/>
      <c r="CF1993" s="255"/>
      <c r="CG1993" s="53"/>
      <c r="CH1993" s="53"/>
      <c r="CI1993" s="53"/>
      <c r="CJ1993" s="53"/>
      <c r="CK1993" s="53"/>
      <c r="CL1993" s="53"/>
      <c r="CN1993" s="53"/>
      <c r="CO1993" s="53"/>
      <c r="CP1993" s="53"/>
      <c r="CQ1993" s="53"/>
      <c r="CR1993" s="53"/>
      <c r="CS1993" s="53"/>
      <c r="CT1993" s="261"/>
      <c r="CU1993" s="255"/>
      <c r="CV1993" s="261"/>
      <c r="CW1993" s="261"/>
      <c r="CX1993" s="261"/>
      <c r="CY1993" s="255"/>
    </row>
    <row r="1994" spans="1:103" ht="10.25" customHeight="1">
      <c r="A1994" s="216"/>
      <c r="B1994" s="217"/>
      <c r="C1994" s="218"/>
      <c r="D1994" s="219"/>
      <c r="E1994" s="217"/>
      <c r="F1994" s="217"/>
      <c r="G1994" s="217"/>
      <c r="H1994" s="220"/>
      <c r="I1994" s="217"/>
      <c r="J1994" s="217"/>
      <c r="K1994" s="217"/>
      <c r="L1994" s="217"/>
      <c r="M1994" s="217"/>
      <c r="N1994" s="217"/>
      <c r="O1994" s="44"/>
      <c r="P1994" s="44"/>
      <c r="Q1994" s="44"/>
      <c r="R1994" s="44"/>
      <c r="S1994" s="44"/>
      <c r="T1994" s="44"/>
      <c r="U1994" s="44"/>
      <c r="V1994" s="44"/>
      <c r="W1994" s="44"/>
      <c r="X1994" s="44"/>
      <c r="Y1994" s="44"/>
      <c r="Z1994" s="44"/>
      <c r="AA1994" s="44"/>
      <c r="AB1994" s="44"/>
      <c r="AC1994" s="44"/>
      <c r="AD1994" s="44"/>
      <c r="AE1994" s="44"/>
      <c r="AF1994" s="44"/>
      <c r="AG1994" s="44"/>
      <c r="AH1994" s="44"/>
      <c r="AI1994" s="44"/>
      <c r="AJ1994" s="44"/>
      <c r="AK1994" s="44"/>
      <c r="AL1994" s="44"/>
      <c r="AM1994" s="44"/>
      <c r="AN1994" s="44"/>
      <c r="AO1994" s="44"/>
      <c r="AP1994" s="44"/>
      <c r="AQ1994" s="44"/>
      <c r="BA1994" s="5"/>
      <c r="BB1994" s="5"/>
      <c r="BC1994" s="5"/>
      <c r="BD1994" s="5"/>
      <c r="BE1994" s="63"/>
      <c r="BF1994" s="63"/>
      <c r="BG1994" s="63"/>
      <c r="CA1994" s="256"/>
      <c r="CB1994" s="261"/>
      <c r="CC1994" s="261"/>
      <c r="CD1994" s="261"/>
      <c r="CE1994" s="261"/>
      <c r="CF1994" s="255"/>
      <c r="CG1994" s="53"/>
      <c r="CH1994" s="53"/>
      <c r="CI1994" s="53"/>
      <c r="CJ1994" s="53"/>
      <c r="CK1994" s="53"/>
      <c r="CL1994" s="53"/>
      <c r="CN1994" s="53"/>
      <c r="CO1994" s="53"/>
      <c r="CP1994" s="53"/>
      <c r="CQ1994" s="53"/>
      <c r="CR1994" s="53"/>
      <c r="CS1994" s="53"/>
      <c r="CT1994" s="261"/>
      <c r="CU1994" s="255"/>
      <c r="CV1994" s="261"/>
      <c r="CW1994" s="261"/>
      <c r="CX1994" s="261"/>
      <c r="CY1994" s="255"/>
    </row>
    <row r="1995" spans="1:103" ht="10.25" customHeight="1">
      <c r="A1995" s="216"/>
      <c r="B1995" s="217"/>
      <c r="C1995" s="218"/>
      <c r="D1995" s="219"/>
      <c r="E1995" s="217"/>
      <c r="F1995" s="217"/>
      <c r="G1995" s="217"/>
      <c r="H1995" s="220"/>
      <c r="I1995" s="217"/>
      <c r="J1995" s="217"/>
      <c r="K1995" s="217"/>
      <c r="L1995" s="217"/>
      <c r="M1995" s="217"/>
      <c r="N1995" s="217"/>
      <c r="O1995" s="44"/>
      <c r="P1995" s="44"/>
      <c r="Q1995" s="44"/>
      <c r="R1995" s="44"/>
      <c r="S1995" s="44"/>
      <c r="T1995" s="44"/>
      <c r="U1995" s="44"/>
      <c r="V1995" s="44"/>
      <c r="W1995" s="44"/>
      <c r="X1995" s="44"/>
      <c r="Y1995" s="44"/>
      <c r="Z1995" s="44"/>
      <c r="AA1995" s="44"/>
      <c r="AB1995" s="44"/>
      <c r="AC1995" s="44"/>
      <c r="AD1995" s="44"/>
      <c r="AE1995" s="44"/>
      <c r="AF1995" s="44"/>
      <c r="AG1995" s="44"/>
      <c r="AH1995" s="44"/>
      <c r="AI1995" s="44"/>
      <c r="AJ1995" s="44"/>
      <c r="AK1995" s="44"/>
      <c r="AL1995" s="44"/>
      <c r="AM1995" s="44"/>
      <c r="AN1995" s="44"/>
      <c r="AO1995" s="44"/>
      <c r="AP1995" s="44"/>
      <c r="AQ1995" s="44"/>
      <c r="BA1995" s="5"/>
      <c r="BB1995" s="5"/>
      <c r="BC1995" s="5"/>
      <c r="BD1995" s="5"/>
      <c r="BE1995" s="63"/>
      <c r="BF1995" s="63"/>
      <c r="BG1995" s="63"/>
      <c r="CA1995" s="256"/>
      <c r="CB1995" s="261"/>
      <c r="CC1995" s="261"/>
      <c r="CD1995" s="261"/>
      <c r="CE1995" s="261"/>
      <c r="CF1995" s="255"/>
      <c r="CG1995" s="53"/>
      <c r="CH1995" s="53"/>
      <c r="CI1995" s="53"/>
      <c r="CJ1995" s="53"/>
      <c r="CK1995" s="53"/>
      <c r="CL1995" s="53"/>
      <c r="CN1995" s="53"/>
      <c r="CO1995" s="53"/>
      <c r="CP1995" s="53"/>
      <c r="CQ1995" s="53"/>
      <c r="CR1995" s="53"/>
      <c r="CS1995" s="53"/>
      <c r="CT1995" s="261"/>
      <c r="CU1995" s="255"/>
      <c r="CV1995" s="261"/>
      <c r="CW1995" s="255"/>
      <c r="CX1995" s="261"/>
      <c r="CY1995" s="255"/>
    </row>
    <row r="1996" spans="1:103" ht="10.25" customHeight="1">
      <c r="A1996" s="216"/>
      <c r="B1996" s="217"/>
      <c r="C1996" s="218"/>
      <c r="D1996" s="219"/>
      <c r="E1996" s="217"/>
      <c r="F1996" s="217"/>
      <c r="G1996" s="217"/>
      <c r="H1996" s="220"/>
      <c r="I1996" s="217"/>
      <c r="J1996" s="217"/>
      <c r="K1996" s="217"/>
      <c r="L1996" s="217"/>
      <c r="M1996" s="217"/>
      <c r="N1996" s="217"/>
      <c r="O1996" s="44"/>
      <c r="P1996" s="44"/>
      <c r="Q1996" s="44"/>
      <c r="R1996" s="44"/>
      <c r="S1996" s="44"/>
      <c r="T1996" s="44"/>
      <c r="U1996" s="44"/>
      <c r="V1996" s="44"/>
      <c r="W1996" s="44"/>
      <c r="X1996" s="44"/>
      <c r="Y1996" s="44"/>
      <c r="Z1996" s="44"/>
      <c r="AA1996" s="44"/>
      <c r="AB1996" s="44"/>
      <c r="AC1996" s="44"/>
      <c r="AD1996" s="44"/>
      <c r="AE1996" s="44"/>
      <c r="AF1996" s="44"/>
      <c r="AG1996" s="44"/>
      <c r="AH1996" s="44"/>
      <c r="AI1996" s="44"/>
      <c r="AJ1996" s="44"/>
      <c r="AK1996" s="44"/>
      <c r="AL1996" s="44"/>
      <c r="AM1996" s="44"/>
      <c r="AN1996" s="44"/>
      <c r="AO1996" s="44"/>
      <c r="AP1996" s="44"/>
      <c r="AQ1996" s="44"/>
      <c r="BA1996" s="5"/>
      <c r="BB1996" s="5"/>
      <c r="BC1996" s="5"/>
      <c r="BD1996" s="5"/>
      <c r="BE1996" s="63"/>
      <c r="BF1996" s="63"/>
      <c r="BG1996" s="63"/>
      <c r="CA1996" s="256"/>
      <c r="CB1996" s="261"/>
      <c r="CC1996" s="261"/>
      <c r="CD1996" s="261"/>
      <c r="CE1996" s="261"/>
      <c r="CF1996" s="255"/>
      <c r="CG1996" s="53"/>
      <c r="CH1996" s="53"/>
      <c r="CI1996" s="53"/>
      <c r="CJ1996" s="53"/>
      <c r="CK1996" s="53"/>
      <c r="CL1996" s="53"/>
      <c r="CN1996" s="53"/>
      <c r="CO1996" s="53"/>
      <c r="CP1996" s="53"/>
      <c r="CQ1996" s="53"/>
      <c r="CR1996" s="53"/>
      <c r="CS1996" s="53"/>
      <c r="CT1996" s="261"/>
      <c r="CU1996" s="255"/>
      <c r="CV1996" s="255"/>
      <c r="CW1996" s="261"/>
      <c r="CX1996" s="261"/>
      <c r="CY1996" s="255"/>
    </row>
    <row r="1997" spans="1:103" ht="10.25" customHeight="1">
      <c r="A1997" s="216"/>
      <c r="B1997" s="217"/>
      <c r="C1997" s="218"/>
      <c r="D1997" s="219"/>
      <c r="E1997" s="217"/>
      <c r="F1997" s="217"/>
      <c r="G1997" s="217"/>
      <c r="H1997" s="220"/>
      <c r="I1997" s="217"/>
      <c r="J1997" s="217"/>
      <c r="K1997" s="217"/>
      <c r="L1997" s="217"/>
      <c r="M1997" s="217"/>
      <c r="N1997" s="217"/>
      <c r="O1997" s="44"/>
      <c r="P1997" s="44"/>
      <c r="Q1997" s="44"/>
      <c r="R1997" s="44"/>
      <c r="S1997" s="44"/>
      <c r="T1997" s="44"/>
      <c r="U1997" s="44"/>
      <c r="V1997" s="44"/>
      <c r="W1997" s="44"/>
      <c r="X1997" s="44"/>
      <c r="Y1997" s="44"/>
      <c r="Z1997" s="44"/>
      <c r="AA1997" s="44"/>
      <c r="AB1997" s="44"/>
      <c r="AC1997" s="44"/>
      <c r="AD1997" s="44"/>
      <c r="AE1997" s="44"/>
      <c r="AF1997" s="44"/>
      <c r="AG1997" s="44"/>
      <c r="AH1997" s="44"/>
      <c r="AI1997" s="44"/>
      <c r="AJ1997" s="44"/>
      <c r="AK1997" s="44"/>
      <c r="AL1997" s="44"/>
      <c r="AM1997" s="44"/>
      <c r="AN1997" s="44"/>
      <c r="AO1997" s="44"/>
      <c r="AP1997" s="44"/>
      <c r="AQ1997" s="44"/>
      <c r="BA1997" s="5"/>
      <c r="BB1997" s="5"/>
      <c r="BC1997" s="5"/>
      <c r="BD1997" s="5"/>
      <c r="BE1997" s="63"/>
      <c r="BF1997" s="63"/>
      <c r="BG1997" s="63"/>
      <c r="CA1997" s="256"/>
      <c r="CB1997" s="261"/>
      <c r="CC1997" s="261"/>
      <c r="CD1997" s="261"/>
      <c r="CE1997" s="261"/>
      <c r="CF1997" s="255"/>
      <c r="CG1997" s="53"/>
      <c r="CH1997" s="53"/>
      <c r="CI1997" s="53"/>
      <c r="CJ1997" s="53"/>
      <c r="CK1997" s="53"/>
      <c r="CL1997" s="53"/>
      <c r="CN1997" s="53"/>
      <c r="CO1997" s="53"/>
      <c r="CP1997" s="53"/>
      <c r="CQ1997" s="53"/>
      <c r="CR1997" s="53"/>
      <c r="CS1997" s="53"/>
      <c r="CT1997" s="261"/>
      <c r="CU1997" s="255"/>
      <c r="CV1997" s="261"/>
      <c r="CW1997" s="255"/>
      <c r="CX1997" s="261"/>
      <c r="CY1997" s="255"/>
    </row>
    <row r="1998" spans="1:103" ht="10.25" customHeight="1">
      <c r="A1998" s="216"/>
      <c r="B1998" s="217"/>
      <c r="C1998" s="218"/>
      <c r="D1998" s="219"/>
      <c r="E1998" s="217"/>
      <c r="F1998" s="217"/>
      <c r="G1998" s="217"/>
      <c r="H1998" s="220"/>
      <c r="I1998" s="217"/>
      <c r="J1998" s="217"/>
      <c r="K1998" s="217"/>
      <c r="L1998" s="217"/>
      <c r="M1998" s="217"/>
      <c r="N1998" s="217"/>
      <c r="O1998" s="44"/>
      <c r="P1998" s="44"/>
      <c r="Q1998" s="44"/>
      <c r="R1998" s="44"/>
      <c r="S1998" s="44"/>
      <c r="T1998" s="44"/>
      <c r="U1998" s="44"/>
      <c r="V1998" s="44"/>
      <c r="W1998" s="44"/>
      <c r="X1998" s="44"/>
      <c r="Y1998" s="44"/>
      <c r="Z1998" s="44"/>
      <c r="AA1998" s="44"/>
      <c r="AB1998" s="44"/>
      <c r="AC1998" s="44"/>
      <c r="AD1998" s="44"/>
      <c r="AE1998" s="44"/>
      <c r="AF1998" s="44"/>
      <c r="AG1998" s="44"/>
      <c r="AH1998" s="44"/>
      <c r="AI1998" s="44"/>
      <c r="AJ1998" s="44"/>
      <c r="AK1998" s="44"/>
      <c r="AL1998" s="44"/>
      <c r="AM1998" s="44"/>
      <c r="AN1998" s="44"/>
      <c r="AO1998" s="44"/>
      <c r="AP1998" s="44"/>
      <c r="AQ1998" s="44"/>
      <c r="BA1998" s="5"/>
      <c r="BB1998" s="5"/>
      <c r="BC1998" s="5"/>
      <c r="BD1998" s="5"/>
      <c r="BE1998" s="63"/>
      <c r="BF1998" s="63"/>
      <c r="BG1998" s="63"/>
      <c r="CA1998" s="256"/>
      <c r="CB1998" s="261"/>
      <c r="CC1998" s="261"/>
      <c r="CD1998" s="261"/>
      <c r="CE1998" s="255"/>
      <c r="CF1998" s="261"/>
      <c r="CG1998" s="53"/>
      <c r="CH1998" s="53"/>
      <c r="CI1998" s="53"/>
      <c r="CJ1998" s="53"/>
      <c r="CK1998" s="53"/>
      <c r="CL1998" s="53"/>
      <c r="CN1998" s="53"/>
      <c r="CO1998" s="53"/>
      <c r="CP1998" s="53"/>
      <c r="CQ1998" s="53"/>
      <c r="CR1998" s="53"/>
      <c r="CS1998" s="53"/>
      <c r="CT1998" s="255"/>
      <c r="CU1998" s="261"/>
      <c r="CV1998" s="255"/>
      <c r="CW1998" s="261"/>
      <c r="CX1998" s="261"/>
      <c r="CY1998" s="255"/>
    </row>
    <row r="1999" spans="1:103" ht="10.25" customHeight="1">
      <c r="A1999" s="216"/>
      <c r="B1999" s="217"/>
      <c r="C1999" s="218"/>
      <c r="D1999" s="219"/>
      <c r="E1999" s="217"/>
      <c r="F1999" s="217"/>
      <c r="G1999" s="217"/>
      <c r="H1999" s="220"/>
      <c r="I1999" s="217"/>
      <c r="J1999" s="217"/>
      <c r="K1999" s="217"/>
      <c r="L1999" s="217"/>
      <c r="M1999" s="217"/>
      <c r="N1999" s="217"/>
      <c r="O1999" s="44"/>
      <c r="P1999" s="44"/>
      <c r="Q1999" s="44"/>
      <c r="R1999" s="44"/>
      <c r="S1999" s="44"/>
      <c r="T1999" s="44"/>
      <c r="U1999" s="44"/>
      <c r="V1999" s="44"/>
      <c r="W1999" s="44"/>
      <c r="X1999" s="44"/>
      <c r="Y1999" s="44"/>
      <c r="Z1999" s="44"/>
      <c r="AA1999" s="44"/>
      <c r="AB1999" s="44"/>
      <c r="AC1999" s="44"/>
      <c r="AD1999" s="44"/>
      <c r="AE1999" s="44"/>
      <c r="AF1999" s="44"/>
      <c r="AG1999" s="44"/>
      <c r="AH1999" s="44"/>
      <c r="AI1999" s="44"/>
      <c r="AJ1999" s="44"/>
      <c r="AK1999" s="44"/>
      <c r="AL1999" s="44"/>
      <c r="AM1999" s="44"/>
      <c r="AN1999" s="44"/>
      <c r="AO1999" s="44"/>
      <c r="AP1999" s="44"/>
      <c r="AQ1999" s="44"/>
      <c r="BA1999" s="5"/>
      <c r="BB1999" s="5"/>
      <c r="BC1999" s="5"/>
      <c r="BD1999" s="5"/>
      <c r="BE1999" s="63"/>
      <c r="BF1999" s="63"/>
      <c r="BG1999" s="63"/>
      <c r="CA1999" s="256"/>
      <c r="CB1999" s="261"/>
      <c r="CC1999" s="261"/>
      <c r="CD1999" s="261"/>
      <c r="CE1999" s="255"/>
      <c r="CF1999" s="261"/>
      <c r="CG1999" s="53"/>
      <c r="CH1999" s="53"/>
      <c r="CI1999" s="53"/>
      <c r="CJ1999" s="53"/>
      <c r="CK1999" s="53"/>
      <c r="CL1999" s="53"/>
      <c r="CN1999" s="53"/>
      <c r="CO1999" s="53"/>
      <c r="CP1999" s="53"/>
      <c r="CQ1999" s="53"/>
      <c r="CR1999" s="53"/>
      <c r="CS1999" s="53"/>
      <c r="CT1999" s="255"/>
      <c r="CU1999" s="261"/>
      <c r="CV1999" s="261"/>
      <c r="CW1999" s="255"/>
      <c r="CX1999" s="261"/>
      <c r="CY1999" s="255"/>
    </row>
    <row r="2000" spans="1:103" ht="10.25" customHeight="1">
      <c r="A2000" s="216"/>
      <c r="B2000" s="217"/>
      <c r="C2000" s="218"/>
      <c r="D2000" s="219"/>
      <c r="E2000" s="217"/>
      <c r="F2000" s="217"/>
      <c r="G2000" s="217"/>
      <c r="H2000" s="220"/>
      <c r="I2000" s="217"/>
      <c r="J2000" s="217"/>
      <c r="K2000" s="217"/>
      <c r="L2000" s="217"/>
      <c r="M2000" s="217"/>
      <c r="N2000" s="217"/>
      <c r="O2000" s="44"/>
      <c r="P2000" s="44"/>
      <c r="Q2000" s="44"/>
      <c r="R2000" s="44"/>
      <c r="S2000" s="44"/>
      <c r="T2000" s="44"/>
      <c r="U2000" s="44"/>
      <c r="V2000" s="44"/>
      <c r="W2000" s="44"/>
      <c r="X2000" s="44"/>
      <c r="Y2000" s="44"/>
      <c r="Z2000" s="44"/>
      <c r="AA2000" s="44"/>
      <c r="AB2000" s="44"/>
      <c r="AC2000" s="44"/>
      <c r="AD2000" s="44"/>
      <c r="AE2000" s="44"/>
      <c r="AF2000" s="44"/>
      <c r="AG2000" s="44"/>
      <c r="AH2000" s="44"/>
      <c r="AI2000" s="44"/>
      <c r="AJ2000" s="44"/>
      <c r="AK2000" s="44"/>
      <c r="AL2000" s="44"/>
      <c r="AM2000" s="44"/>
      <c r="AN2000" s="44"/>
      <c r="AO2000" s="44"/>
      <c r="AP2000" s="44"/>
      <c r="AQ2000" s="44"/>
      <c r="BA2000" s="5"/>
      <c r="BB2000" s="5"/>
      <c r="BC2000" s="5"/>
      <c r="BD2000" s="5"/>
      <c r="BE2000" s="63"/>
      <c r="BF2000" s="63"/>
      <c r="BG2000" s="63"/>
      <c r="CA2000" s="256"/>
      <c r="CB2000" s="261"/>
      <c r="CC2000" s="261"/>
      <c r="CD2000" s="255"/>
      <c r="CE2000" s="261"/>
      <c r="CF2000" s="261"/>
      <c r="CG2000" s="53"/>
      <c r="CH2000" s="53"/>
      <c r="CI2000" s="53"/>
      <c r="CJ2000" s="53"/>
      <c r="CK2000" s="53"/>
      <c r="CL2000" s="53"/>
      <c r="CN2000" s="53"/>
      <c r="CO2000" s="53"/>
      <c r="CP2000" s="53"/>
      <c r="CQ2000" s="53"/>
      <c r="CR2000" s="53"/>
      <c r="CS2000" s="53"/>
      <c r="CT2000" s="261"/>
      <c r="CU2000" s="261"/>
      <c r="CV2000" s="255"/>
      <c r="CW2000" s="261"/>
      <c r="CX2000" s="261"/>
      <c r="CY2000" s="255"/>
    </row>
    <row r="2001" spans="1:103" ht="10.25" customHeight="1">
      <c r="A2001" s="216"/>
      <c r="B2001" s="217"/>
      <c r="C2001" s="218"/>
      <c r="D2001" s="219"/>
      <c r="E2001" s="217"/>
      <c r="F2001" s="217"/>
      <c r="G2001" s="217"/>
      <c r="H2001" s="220"/>
      <c r="I2001" s="217"/>
      <c r="J2001" s="217"/>
      <c r="K2001" s="217"/>
      <c r="L2001" s="217"/>
      <c r="M2001" s="217"/>
      <c r="N2001" s="217"/>
      <c r="O2001" s="44"/>
      <c r="P2001" s="44"/>
      <c r="Q2001" s="44"/>
      <c r="R2001" s="44"/>
      <c r="S2001" s="44"/>
      <c r="T2001" s="44"/>
      <c r="U2001" s="44"/>
      <c r="V2001" s="44"/>
      <c r="W2001" s="44"/>
      <c r="X2001" s="44"/>
      <c r="Y2001" s="44"/>
      <c r="Z2001" s="44"/>
      <c r="AA2001" s="44"/>
      <c r="AB2001" s="44"/>
      <c r="AC2001" s="44"/>
      <c r="AD2001" s="44"/>
      <c r="AE2001" s="44"/>
      <c r="AF2001" s="44"/>
      <c r="AG2001" s="44"/>
      <c r="AH2001" s="44"/>
      <c r="AI2001" s="44"/>
      <c r="AJ2001" s="44"/>
      <c r="AK2001" s="44"/>
      <c r="AL2001" s="44"/>
      <c r="AM2001" s="44"/>
      <c r="AN2001" s="44"/>
      <c r="AO2001" s="44"/>
      <c r="AP2001" s="44"/>
      <c r="AQ2001" s="44"/>
      <c r="BA2001" s="5"/>
      <c r="BB2001" s="5"/>
      <c r="BC2001" s="5"/>
      <c r="BD2001" s="5"/>
      <c r="BE2001" s="63"/>
      <c r="BF2001" s="63"/>
      <c r="BG2001" s="63"/>
      <c r="CA2001" s="256"/>
      <c r="CB2001" s="261"/>
      <c r="CC2001" s="261"/>
      <c r="CD2001" s="255"/>
      <c r="CE2001" s="261"/>
      <c r="CF2001" s="261"/>
      <c r="CG2001" s="53"/>
      <c r="CH2001" s="53"/>
      <c r="CI2001" s="53"/>
      <c r="CJ2001" s="53"/>
      <c r="CK2001" s="53"/>
      <c r="CL2001" s="53"/>
      <c r="CN2001" s="53"/>
      <c r="CO2001" s="53"/>
      <c r="CP2001" s="53"/>
      <c r="CQ2001" s="53"/>
      <c r="CR2001" s="53"/>
      <c r="CS2001" s="53"/>
      <c r="CT2001" s="261"/>
      <c r="CU2001" s="261"/>
      <c r="CV2001" s="261"/>
      <c r="CW2001" s="255"/>
      <c r="CX2001" s="261"/>
      <c r="CY2001" s="255"/>
    </row>
    <row r="2002" spans="1:103" ht="10.25" customHeight="1">
      <c r="A2002" s="216"/>
      <c r="B2002" s="217"/>
      <c r="C2002" s="218"/>
      <c r="D2002" s="219"/>
      <c r="E2002" s="217"/>
      <c r="F2002" s="217"/>
      <c r="G2002" s="217"/>
      <c r="H2002" s="220"/>
      <c r="I2002" s="217"/>
      <c r="J2002" s="217"/>
      <c r="K2002" s="217"/>
      <c r="L2002" s="217"/>
      <c r="M2002" s="217"/>
      <c r="N2002" s="217"/>
      <c r="O2002" s="44"/>
      <c r="P2002" s="44"/>
      <c r="Q2002" s="44"/>
      <c r="R2002" s="44"/>
      <c r="S2002" s="44"/>
      <c r="T2002" s="44"/>
      <c r="U2002" s="44"/>
      <c r="V2002" s="44"/>
      <c r="W2002" s="44"/>
      <c r="X2002" s="44"/>
      <c r="Y2002" s="44"/>
      <c r="Z2002" s="44"/>
      <c r="AA2002" s="44"/>
      <c r="AB2002" s="44"/>
      <c r="AC2002" s="44"/>
      <c r="AD2002" s="44"/>
      <c r="AE2002" s="44"/>
      <c r="AF2002" s="44"/>
      <c r="AG2002" s="44"/>
      <c r="AH2002" s="44"/>
      <c r="AI2002" s="44"/>
      <c r="AJ2002" s="44"/>
      <c r="AK2002" s="44"/>
      <c r="AL2002" s="44"/>
      <c r="AM2002" s="44"/>
      <c r="AN2002" s="44"/>
      <c r="AO2002" s="44"/>
      <c r="AP2002" s="44"/>
      <c r="AQ2002" s="44"/>
      <c r="BA2002" s="5"/>
      <c r="BB2002" s="5"/>
      <c r="BC2002" s="5"/>
      <c r="BD2002" s="5"/>
      <c r="BE2002" s="63"/>
      <c r="BF2002" s="63"/>
      <c r="BG2002" s="63"/>
      <c r="CA2002" s="256"/>
      <c r="CB2002" s="261"/>
      <c r="CC2002" s="261"/>
      <c r="CD2002" s="255"/>
      <c r="CE2002" s="261"/>
      <c r="CF2002" s="261"/>
      <c r="CG2002" s="53"/>
      <c r="CH2002" s="53"/>
      <c r="CI2002" s="53"/>
      <c r="CJ2002" s="53"/>
      <c r="CK2002" s="53"/>
      <c r="CL2002" s="53"/>
      <c r="CN2002" s="53"/>
      <c r="CO2002" s="53"/>
      <c r="CP2002" s="53"/>
      <c r="CQ2002" s="53"/>
      <c r="CR2002" s="53"/>
      <c r="CS2002" s="53"/>
      <c r="CT2002" s="261"/>
      <c r="CU2002" s="261"/>
      <c r="CV2002" s="261"/>
      <c r="CW2002" s="261"/>
      <c r="CX2002" s="261"/>
      <c r="CY2002" s="255"/>
    </row>
    <row r="2003" spans="1:103" ht="10.25" customHeight="1">
      <c r="A2003" s="216"/>
      <c r="B2003" s="217"/>
      <c r="C2003" s="218"/>
      <c r="D2003" s="219"/>
      <c r="E2003" s="217"/>
      <c r="F2003" s="217"/>
      <c r="G2003" s="217"/>
      <c r="H2003" s="220"/>
      <c r="I2003" s="217"/>
      <c r="J2003" s="217"/>
      <c r="K2003" s="217"/>
      <c r="L2003" s="217"/>
      <c r="M2003" s="217"/>
      <c r="N2003" s="217"/>
      <c r="O2003" s="44"/>
      <c r="P2003" s="44"/>
      <c r="Q2003" s="44"/>
      <c r="R2003" s="44"/>
      <c r="S2003" s="44"/>
      <c r="T2003" s="44"/>
      <c r="U2003" s="44"/>
      <c r="V2003" s="44"/>
      <c r="W2003" s="44"/>
      <c r="X2003" s="44"/>
      <c r="Y2003" s="44"/>
      <c r="Z2003" s="44"/>
      <c r="AA2003" s="44"/>
      <c r="AB2003" s="44"/>
      <c r="AC2003" s="44"/>
      <c r="AD2003" s="44"/>
      <c r="AE2003" s="44"/>
      <c r="AF2003" s="44"/>
      <c r="AG2003" s="44"/>
      <c r="AH2003" s="44"/>
      <c r="AI2003" s="44"/>
      <c r="AJ2003" s="44"/>
      <c r="AK2003" s="44"/>
      <c r="AL2003" s="44"/>
      <c r="AM2003" s="44"/>
      <c r="AN2003" s="44"/>
      <c r="AO2003" s="44"/>
      <c r="AP2003" s="44"/>
      <c r="AQ2003" s="44"/>
      <c r="BA2003" s="5"/>
      <c r="BB2003" s="5"/>
      <c r="BC2003" s="5"/>
      <c r="BD2003" s="5"/>
      <c r="BE2003" s="63"/>
      <c r="BF2003" s="63"/>
      <c r="BG2003" s="63"/>
      <c r="CA2003" s="256"/>
      <c r="CB2003" s="261"/>
      <c r="CC2003" s="261"/>
      <c r="CD2003" s="261"/>
      <c r="CE2003" s="261"/>
      <c r="CF2003" s="261"/>
      <c r="CG2003" s="53"/>
      <c r="CH2003" s="53"/>
      <c r="CI2003" s="53"/>
      <c r="CJ2003" s="53"/>
      <c r="CK2003" s="53"/>
      <c r="CL2003" s="53"/>
      <c r="CN2003" s="53"/>
      <c r="CO2003" s="53"/>
      <c r="CP2003" s="53"/>
      <c r="CQ2003" s="53"/>
      <c r="CR2003" s="53"/>
      <c r="CS2003" s="53"/>
      <c r="CT2003" s="261"/>
      <c r="CU2003" s="261"/>
      <c r="CV2003" s="255"/>
      <c r="CW2003" s="255"/>
      <c r="CX2003" s="261"/>
      <c r="CY2003" s="255"/>
    </row>
    <row r="2004" spans="1:103" ht="10.25" customHeight="1">
      <c r="A2004" s="216"/>
      <c r="B2004" s="217"/>
      <c r="C2004" s="218"/>
      <c r="D2004" s="219"/>
      <c r="E2004" s="217"/>
      <c r="F2004" s="217"/>
      <c r="G2004" s="217"/>
      <c r="H2004" s="220"/>
      <c r="I2004" s="217"/>
      <c r="J2004" s="217"/>
      <c r="K2004" s="217"/>
      <c r="L2004" s="217"/>
      <c r="M2004" s="217"/>
      <c r="N2004" s="217"/>
      <c r="O2004" s="44"/>
      <c r="P2004" s="44"/>
      <c r="Q2004" s="44"/>
      <c r="R2004" s="44"/>
      <c r="S2004" s="44"/>
      <c r="T2004" s="44"/>
      <c r="U2004" s="44"/>
      <c r="V2004" s="44"/>
      <c r="W2004" s="44"/>
      <c r="X2004" s="44"/>
      <c r="Y2004" s="44"/>
      <c r="Z2004" s="44"/>
      <c r="AA2004" s="44"/>
      <c r="AB2004" s="44"/>
      <c r="AC2004" s="44"/>
      <c r="AD2004" s="44"/>
      <c r="AE2004" s="44"/>
      <c r="AF2004" s="44"/>
      <c r="AG2004" s="44"/>
      <c r="AH2004" s="44"/>
      <c r="AI2004" s="44"/>
      <c r="AJ2004" s="44"/>
      <c r="AK2004" s="44"/>
      <c r="AL2004" s="44"/>
      <c r="AM2004" s="44"/>
      <c r="AN2004" s="44"/>
      <c r="AO2004" s="44"/>
      <c r="AP2004" s="44"/>
      <c r="AQ2004" s="44"/>
      <c r="BA2004" s="5"/>
      <c r="BB2004" s="5"/>
      <c r="BC2004" s="5"/>
      <c r="BD2004" s="5"/>
      <c r="BE2004" s="63"/>
      <c r="BF2004" s="63"/>
      <c r="BG2004" s="63"/>
      <c r="CA2004" s="256"/>
      <c r="CB2004" s="261"/>
      <c r="CC2004" s="261"/>
      <c r="CD2004" s="261"/>
      <c r="CE2004" s="261"/>
      <c r="CF2004" s="261"/>
      <c r="CG2004" s="53"/>
      <c r="CH2004" s="53"/>
      <c r="CI2004" s="53"/>
      <c r="CJ2004" s="53"/>
      <c r="CK2004" s="53"/>
      <c r="CL2004" s="53"/>
      <c r="CN2004" s="53"/>
      <c r="CO2004" s="53"/>
      <c r="CP2004" s="53"/>
      <c r="CQ2004" s="53"/>
      <c r="CR2004" s="53"/>
      <c r="CS2004" s="53"/>
      <c r="CT2004" s="261"/>
      <c r="CU2004" s="261"/>
      <c r="CV2004" s="261"/>
      <c r="CW2004" s="261"/>
      <c r="CX2004" s="261"/>
      <c r="CY2004" s="255"/>
    </row>
    <row r="2005" spans="1:103" ht="10.25" customHeight="1">
      <c r="A2005" s="216"/>
      <c r="B2005" s="217"/>
      <c r="C2005" s="218"/>
      <c r="D2005" s="219"/>
      <c r="E2005" s="217"/>
      <c r="F2005" s="217"/>
      <c r="G2005" s="217"/>
      <c r="H2005" s="220"/>
      <c r="I2005" s="217"/>
      <c r="J2005" s="217"/>
      <c r="K2005" s="217"/>
      <c r="L2005" s="217"/>
      <c r="M2005" s="217"/>
      <c r="N2005" s="217"/>
      <c r="O2005" s="44"/>
      <c r="P2005" s="44"/>
      <c r="Q2005" s="44"/>
      <c r="R2005" s="44"/>
      <c r="S2005" s="44"/>
      <c r="T2005" s="44"/>
      <c r="U2005" s="44"/>
      <c r="V2005" s="44"/>
      <c r="W2005" s="44"/>
      <c r="X2005" s="44"/>
      <c r="Y2005" s="44"/>
      <c r="Z2005" s="44"/>
      <c r="AA2005" s="44"/>
      <c r="AB2005" s="44"/>
      <c r="AC2005" s="44"/>
      <c r="AD2005" s="44"/>
      <c r="AE2005" s="44"/>
      <c r="AF2005" s="44"/>
      <c r="AG2005" s="44"/>
      <c r="AH2005" s="44"/>
      <c r="AI2005" s="44"/>
      <c r="AJ2005" s="44"/>
      <c r="AK2005" s="44"/>
      <c r="AL2005" s="44"/>
      <c r="AM2005" s="44"/>
      <c r="AN2005" s="44"/>
      <c r="AO2005" s="44"/>
      <c r="AP2005" s="44"/>
      <c r="AQ2005" s="44"/>
      <c r="BA2005" s="5"/>
      <c r="BB2005" s="5"/>
      <c r="BC2005" s="5"/>
      <c r="BD2005" s="5"/>
      <c r="BE2005" s="63"/>
      <c r="BF2005" s="63"/>
      <c r="BG2005" s="63"/>
      <c r="CA2005" s="256"/>
      <c r="CB2005" s="261"/>
      <c r="CC2005" s="261"/>
      <c r="CD2005" s="261"/>
      <c r="CE2005" s="261"/>
      <c r="CF2005" s="261"/>
      <c r="CG2005" s="53"/>
      <c r="CH2005" s="53"/>
      <c r="CI2005" s="53"/>
      <c r="CJ2005" s="53"/>
      <c r="CK2005" s="53"/>
      <c r="CL2005" s="53"/>
      <c r="CN2005" s="53"/>
      <c r="CO2005" s="53"/>
      <c r="CP2005" s="53"/>
      <c r="CQ2005" s="53"/>
      <c r="CR2005" s="53"/>
      <c r="CS2005" s="53"/>
      <c r="CT2005" s="261"/>
      <c r="CU2005" s="261"/>
      <c r="CV2005" s="255"/>
      <c r="CW2005" s="255"/>
      <c r="CX2005" s="261"/>
      <c r="CY2005" s="255"/>
    </row>
    <row r="2006" spans="1:103" ht="10.25" customHeight="1">
      <c r="A2006" s="216"/>
      <c r="B2006" s="217"/>
      <c r="C2006" s="218"/>
      <c r="D2006" s="219"/>
      <c r="E2006" s="217"/>
      <c r="F2006" s="217"/>
      <c r="G2006" s="217"/>
      <c r="H2006" s="220"/>
      <c r="I2006" s="217"/>
      <c r="J2006" s="217"/>
      <c r="K2006" s="217"/>
      <c r="L2006" s="217"/>
      <c r="M2006" s="217"/>
      <c r="N2006" s="217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BA2006" s="5"/>
      <c r="BB2006" s="5"/>
      <c r="BC2006" s="5"/>
      <c r="BD2006" s="5"/>
      <c r="BE2006" s="63"/>
      <c r="BF2006" s="63"/>
      <c r="BG2006" s="63"/>
      <c r="CA2006" s="256"/>
      <c r="CB2006" s="261"/>
      <c r="CC2006" s="261"/>
      <c r="CD2006" s="261"/>
      <c r="CE2006" s="261"/>
      <c r="CF2006" s="261"/>
      <c r="CG2006" s="53"/>
      <c r="CH2006" s="53"/>
      <c r="CI2006" s="53"/>
      <c r="CJ2006" s="53"/>
      <c r="CK2006" s="53"/>
      <c r="CL2006" s="53"/>
      <c r="CN2006" s="53"/>
      <c r="CO2006" s="53"/>
      <c r="CP2006" s="53"/>
      <c r="CQ2006" s="53"/>
      <c r="CR2006" s="53"/>
      <c r="CS2006" s="53"/>
      <c r="CT2006" s="261"/>
      <c r="CU2006" s="261"/>
      <c r="CV2006" s="261"/>
      <c r="CW2006" s="261"/>
      <c r="CX2006" s="255"/>
      <c r="CY2006" s="255"/>
    </row>
    <row r="2007" spans="1:103" ht="10.25" customHeight="1">
      <c r="A2007" s="216"/>
      <c r="B2007" s="217"/>
      <c r="C2007" s="218"/>
      <c r="D2007" s="219"/>
      <c r="E2007" s="217"/>
      <c r="F2007" s="217"/>
      <c r="G2007" s="217"/>
      <c r="H2007" s="220"/>
      <c r="I2007" s="217"/>
      <c r="J2007" s="217"/>
      <c r="K2007" s="217"/>
      <c r="L2007" s="217"/>
      <c r="M2007" s="217"/>
      <c r="N2007" s="217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BA2007" s="5"/>
      <c r="BB2007" s="5"/>
      <c r="BC2007" s="5"/>
      <c r="BD2007" s="5"/>
      <c r="BE2007" s="63"/>
      <c r="BF2007" s="63"/>
      <c r="BG2007" s="63"/>
      <c r="CA2007" s="256"/>
      <c r="CB2007" s="261"/>
      <c r="CC2007" s="261"/>
      <c r="CD2007" s="261"/>
      <c r="CE2007" s="261"/>
      <c r="CF2007" s="261"/>
      <c r="CG2007" s="53"/>
      <c r="CH2007" s="53"/>
      <c r="CI2007" s="53"/>
      <c r="CJ2007" s="53"/>
      <c r="CK2007" s="53"/>
      <c r="CL2007" s="53"/>
      <c r="CN2007" s="53"/>
      <c r="CO2007" s="53"/>
      <c r="CP2007" s="53"/>
      <c r="CQ2007" s="53"/>
      <c r="CR2007" s="53"/>
      <c r="CS2007" s="53"/>
      <c r="CT2007" s="261"/>
      <c r="CU2007" s="261"/>
      <c r="CV2007" s="255"/>
      <c r="CW2007" s="255"/>
      <c r="CX2007" s="261"/>
      <c r="CY2007" s="255"/>
    </row>
    <row r="2008" spans="1:103" ht="10.25" customHeight="1">
      <c r="A2008" s="216"/>
      <c r="B2008" s="217"/>
      <c r="C2008" s="218"/>
      <c r="D2008" s="219"/>
      <c r="E2008" s="217"/>
      <c r="F2008" s="217"/>
      <c r="G2008" s="217"/>
      <c r="H2008" s="220"/>
      <c r="I2008" s="217"/>
      <c r="J2008" s="217"/>
      <c r="K2008" s="217"/>
      <c r="L2008" s="217"/>
      <c r="M2008" s="217"/>
      <c r="N2008" s="217"/>
      <c r="O2008" s="44"/>
      <c r="P2008" s="44"/>
      <c r="Q2008" s="44"/>
      <c r="R2008" s="44"/>
      <c r="S2008" s="44"/>
      <c r="T2008" s="44"/>
      <c r="U2008" s="44"/>
      <c r="V2008" s="44"/>
      <c r="W2008" s="44"/>
      <c r="X2008" s="44"/>
      <c r="Y2008" s="44"/>
      <c r="Z2008" s="44"/>
      <c r="AA2008" s="44"/>
      <c r="AB2008" s="44"/>
      <c r="AC2008" s="44"/>
      <c r="AD2008" s="44"/>
      <c r="AE2008" s="44"/>
      <c r="AF2008" s="44"/>
      <c r="AG2008" s="44"/>
      <c r="AH2008" s="44"/>
      <c r="AI2008" s="44"/>
      <c r="AJ2008" s="44"/>
      <c r="AK2008" s="44"/>
      <c r="AL2008" s="44"/>
      <c r="AM2008" s="44"/>
      <c r="AN2008" s="44"/>
      <c r="AO2008" s="44"/>
      <c r="AP2008" s="44"/>
      <c r="AQ2008" s="44"/>
      <c r="BA2008" s="5"/>
      <c r="BB2008" s="5"/>
      <c r="BC2008" s="5"/>
      <c r="BD2008" s="5"/>
      <c r="BE2008" s="63"/>
      <c r="BF2008" s="63"/>
      <c r="BG2008" s="63"/>
      <c r="CA2008" s="256"/>
      <c r="CB2008" s="261"/>
      <c r="CC2008" s="261"/>
      <c r="CD2008" s="261"/>
      <c r="CE2008" s="261"/>
      <c r="CF2008" s="261"/>
      <c r="CG2008" s="53"/>
      <c r="CH2008" s="53"/>
      <c r="CI2008" s="53"/>
      <c r="CJ2008" s="53"/>
      <c r="CK2008" s="53"/>
      <c r="CL2008" s="53"/>
      <c r="CN2008" s="53"/>
      <c r="CO2008" s="53"/>
      <c r="CP2008" s="53"/>
      <c r="CQ2008" s="53"/>
      <c r="CR2008" s="53"/>
      <c r="CS2008" s="53"/>
      <c r="CT2008" s="261"/>
      <c r="CU2008" s="261"/>
      <c r="CV2008" s="261"/>
      <c r="CW2008" s="261"/>
      <c r="CX2008" s="261"/>
      <c r="CY2008" s="255"/>
    </row>
    <row r="2009" spans="1:103" ht="10.25" customHeight="1">
      <c r="A2009" s="216"/>
      <c r="B2009" s="217"/>
      <c r="C2009" s="218"/>
      <c r="D2009" s="219"/>
      <c r="E2009" s="217"/>
      <c r="F2009" s="217"/>
      <c r="G2009" s="217"/>
      <c r="H2009" s="220"/>
      <c r="I2009" s="217"/>
      <c r="J2009" s="217"/>
      <c r="K2009" s="217"/>
      <c r="L2009" s="217"/>
      <c r="M2009" s="217"/>
      <c r="N2009" s="217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44"/>
      <c r="AL2009" s="44"/>
      <c r="AM2009" s="44"/>
      <c r="AN2009" s="44"/>
      <c r="AO2009" s="44"/>
      <c r="AP2009" s="44"/>
      <c r="AQ2009" s="44"/>
      <c r="BA2009" s="5"/>
      <c r="BB2009" s="5"/>
      <c r="BC2009" s="5"/>
      <c r="BD2009" s="5"/>
      <c r="BE2009" s="63"/>
      <c r="BF2009" s="63"/>
      <c r="BG2009" s="63"/>
      <c r="CA2009" s="256"/>
      <c r="CB2009" s="261"/>
      <c r="CC2009" s="261"/>
      <c r="CD2009" s="261"/>
      <c r="CE2009" s="261"/>
      <c r="CF2009" s="261"/>
      <c r="CG2009" s="53"/>
      <c r="CH2009" s="53"/>
      <c r="CI2009" s="53"/>
      <c r="CJ2009" s="53"/>
      <c r="CK2009" s="53"/>
      <c r="CL2009" s="53"/>
      <c r="CN2009" s="53"/>
      <c r="CO2009" s="53"/>
      <c r="CP2009" s="53"/>
      <c r="CQ2009" s="53"/>
      <c r="CR2009" s="53"/>
      <c r="CS2009" s="53"/>
      <c r="CT2009" s="261"/>
      <c r="CU2009" s="261"/>
      <c r="CV2009" s="261"/>
      <c r="CW2009" s="255"/>
      <c r="CX2009" s="261"/>
      <c r="CY2009" s="255"/>
    </row>
    <row r="2010" spans="1:103" ht="10.25" customHeight="1">
      <c r="A2010" s="216"/>
      <c r="B2010" s="217"/>
      <c r="C2010" s="218"/>
      <c r="D2010" s="219"/>
      <c r="E2010" s="217"/>
      <c r="F2010" s="217"/>
      <c r="G2010" s="217"/>
      <c r="H2010" s="220"/>
      <c r="I2010" s="217"/>
      <c r="J2010" s="217"/>
      <c r="K2010" s="217"/>
      <c r="L2010" s="217"/>
      <c r="M2010" s="217"/>
      <c r="N2010" s="217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BA2010" s="5"/>
      <c r="BB2010" s="5"/>
      <c r="BC2010" s="5"/>
      <c r="BD2010" s="5"/>
      <c r="BE2010" s="63"/>
      <c r="BF2010" s="63"/>
      <c r="BG2010" s="63"/>
      <c r="CA2010" s="256"/>
      <c r="CB2010" s="261"/>
      <c r="CC2010" s="261"/>
      <c r="CD2010" s="261"/>
      <c r="CE2010" s="261"/>
      <c r="CF2010" s="261"/>
      <c r="CG2010" s="53"/>
      <c r="CH2010" s="53"/>
      <c r="CI2010" s="53"/>
      <c r="CJ2010" s="53"/>
      <c r="CK2010" s="53"/>
      <c r="CL2010" s="53"/>
      <c r="CN2010" s="53"/>
      <c r="CO2010" s="53"/>
      <c r="CP2010" s="53"/>
      <c r="CQ2010" s="53"/>
      <c r="CR2010" s="53"/>
      <c r="CS2010" s="53"/>
      <c r="CT2010" s="261"/>
      <c r="CU2010" s="261"/>
      <c r="CV2010" s="261"/>
      <c r="CW2010" s="261"/>
      <c r="CX2010" s="261"/>
      <c r="CY2010" s="255"/>
    </row>
    <row r="2011" spans="1:103" ht="10.25" customHeight="1">
      <c r="A2011" s="216"/>
      <c r="B2011" s="217"/>
      <c r="C2011" s="218"/>
      <c r="D2011" s="219"/>
      <c r="E2011" s="217"/>
      <c r="F2011" s="217"/>
      <c r="G2011" s="217"/>
      <c r="H2011" s="220"/>
      <c r="I2011" s="217"/>
      <c r="J2011" s="217"/>
      <c r="K2011" s="217"/>
      <c r="L2011" s="217"/>
      <c r="M2011" s="217"/>
      <c r="N2011" s="217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BA2011" s="5"/>
      <c r="BB2011" s="5"/>
      <c r="BC2011" s="5"/>
      <c r="BD2011" s="5"/>
      <c r="BE2011" s="63"/>
      <c r="BF2011" s="63"/>
      <c r="BG2011" s="63"/>
      <c r="CA2011" s="256"/>
      <c r="CB2011" s="261"/>
      <c r="CC2011" s="261"/>
      <c r="CD2011" s="261"/>
      <c r="CE2011" s="261"/>
      <c r="CF2011" s="261"/>
      <c r="CG2011" s="53"/>
      <c r="CH2011" s="53"/>
      <c r="CI2011" s="53"/>
      <c r="CJ2011" s="53"/>
      <c r="CK2011" s="53"/>
      <c r="CL2011" s="53"/>
      <c r="CN2011" s="53"/>
      <c r="CO2011" s="53"/>
      <c r="CP2011" s="53"/>
      <c r="CQ2011" s="53"/>
      <c r="CR2011" s="53"/>
      <c r="CS2011" s="53"/>
      <c r="CT2011" s="261"/>
      <c r="CU2011" s="261"/>
      <c r="CV2011" s="255"/>
      <c r="CW2011" s="255"/>
      <c r="CX2011" s="261"/>
      <c r="CY2011" s="255"/>
    </row>
    <row r="2012" spans="1:103" ht="10.25" customHeight="1">
      <c r="A2012" s="216"/>
      <c r="B2012" s="217"/>
      <c r="C2012" s="218"/>
      <c r="D2012" s="219"/>
      <c r="E2012" s="217"/>
      <c r="F2012" s="217"/>
      <c r="G2012" s="217"/>
      <c r="H2012" s="220"/>
      <c r="I2012" s="217"/>
      <c r="J2012" s="217"/>
      <c r="K2012" s="217"/>
      <c r="L2012" s="217"/>
      <c r="M2012" s="217"/>
      <c r="N2012" s="217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BA2012" s="5"/>
      <c r="BB2012" s="5"/>
      <c r="BC2012" s="5"/>
      <c r="BD2012" s="5"/>
      <c r="BE2012" s="63"/>
      <c r="BF2012" s="63"/>
      <c r="BG2012" s="63"/>
      <c r="CA2012" s="256"/>
      <c r="CB2012" s="261"/>
      <c r="CC2012" s="261"/>
      <c r="CD2012" s="261"/>
      <c r="CE2012" s="261"/>
      <c r="CF2012" s="261"/>
      <c r="CG2012" s="53"/>
      <c r="CH2012" s="53"/>
      <c r="CI2012" s="53"/>
      <c r="CJ2012" s="53"/>
      <c r="CK2012" s="53"/>
      <c r="CL2012" s="53"/>
      <c r="CN2012" s="53"/>
      <c r="CO2012" s="53"/>
      <c r="CP2012" s="53"/>
      <c r="CQ2012" s="53"/>
      <c r="CR2012" s="53"/>
      <c r="CS2012" s="53"/>
      <c r="CT2012" s="261"/>
      <c r="CU2012" s="261"/>
      <c r="CV2012" s="261"/>
      <c r="CW2012" s="261"/>
      <c r="CX2012" s="261"/>
      <c r="CY2012" s="255"/>
    </row>
    <row r="2013" spans="1:103" ht="10.25" customHeight="1">
      <c r="A2013" s="216"/>
      <c r="B2013" s="217"/>
      <c r="C2013" s="218"/>
      <c r="D2013" s="219"/>
      <c r="E2013" s="217"/>
      <c r="F2013" s="217"/>
      <c r="G2013" s="217"/>
      <c r="H2013" s="220"/>
      <c r="I2013" s="217"/>
      <c r="J2013" s="217"/>
      <c r="K2013" s="217"/>
      <c r="L2013" s="217"/>
      <c r="M2013" s="217"/>
      <c r="N2013" s="217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BA2013" s="5"/>
      <c r="BB2013" s="5"/>
      <c r="BC2013" s="5"/>
      <c r="BD2013" s="5"/>
      <c r="BE2013" s="63"/>
      <c r="BF2013" s="63"/>
      <c r="BG2013" s="63"/>
      <c r="CA2013" s="256"/>
      <c r="CB2013" s="261"/>
      <c r="CC2013" s="261"/>
      <c r="CD2013" s="261"/>
      <c r="CE2013" s="261"/>
      <c r="CF2013" s="261"/>
      <c r="CG2013" s="53"/>
      <c r="CH2013" s="53"/>
      <c r="CI2013" s="53"/>
      <c r="CJ2013" s="53"/>
      <c r="CK2013" s="53"/>
      <c r="CL2013" s="53"/>
      <c r="CN2013" s="53"/>
      <c r="CO2013" s="53"/>
      <c r="CP2013" s="53"/>
      <c r="CQ2013" s="53"/>
      <c r="CR2013" s="53"/>
      <c r="CS2013" s="53"/>
      <c r="CT2013" s="261"/>
      <c r="CU2013" s="261"/>
      <c r="CV2013" s="255"/>
      <c r="CW2013" s="255"/>
      <c r="CX2013" s="255"/>
      <c r="CY2013" s="255"/>
    </row>
    <row r="2014" spans="1:103" ht="10.25" customHeight="1">
      <c r="A2014" s="216"/>
      <c r="B2014" s="217"/>
      <c r="C2014" s="218"/>
      <c r="D2014" s="219"/>
      <c r="E2014" s="217"/>
      <c r="F2014" s="217"/>
      <c r="G2014" s="217"/>
      <c r="H2014" s="220"/>
      <c r="I2014" s="217"/>
      <c r="J2014" s="217"/>
      <c r="K2014" s="217"/>
      <c r="L2014" s="217"/>
      <c r="M2014" s="217"/>
      <c r="N2014" s="217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BA2014" s="5"/>
      <c r="BB2014" s="5"/>
      <c r="BC2014" s="5"/>
      <c r="BD2014" s="5"/>
      <c r="BE2014" s="63"/>
      <c r="BF2014" s="63"/>
      <c r="BG2014" s="63"/>
      <c r="CA2014" s="256"/>
      <c r="CB2014" s="261"/>
      <c r="CC2014" s="261"/>
      <c r="CD2014" s="261"/>
      <c r="CE2014" s="261"/>
      <c r="CF2014" s="261"/>
      <c r="CG2014" s="53"/>
      <c r="CH2014" s="53"/>
      <c r="CI2014" s="53"/>
      <c r="CJ2014" s="53"/>
      <c r="CK2014" s="53"/>
      <c r="CL2014" s="53"/>
      <c r="CN2014" s="53"/>
      <c r="CO2014" s="53"/>
      <c r="CP2014" s="53"/>
      <c r="CQ2014" s="53"/>
      <c r="CR2014" s="53"/>
      <c r="CS2014" s="53"/>
      <c r="CT2014" s="261"/>
      <c r="CU2014" s="261"/>
      <c r="CV2014" s="261"/>
      <c r="CW2014" s="255"/>
      <c r="CX2014" s="261"/>
      <c r="CY2014" s="255"/>
    </row>
    <row r="2015" spans="1:103" ht="10.25" customHeight="1">
      <c r="A2015" s="216"/>
      <c r="B2015" s="217"/>
      <c r="C2015" s="218"/>
      <c r="D2015" s="219"/>
      <c r="E2015" s="217"/>
      <c r="F2015" s="217"/>
      <c r="G2015" s="217"/>
      <c r="H2015" s="220"/>
      <c r="I2015" s="217"/>
      <c r="J2015" s="217"/>
      <c r="K2015" s="217"/>
      <c r="L2015" s="217"/>
      <c r="M2015" s="217"/>
      <c r="N2015" s="217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BA2015" s="5"/>
      <c r="BB2015" s="5"/>
      <c r="BC2015" s="5"/>
      <c r="BD2015" s="5"/>
      <c r="BE2015" s="63"/>
      <c r="BF2015" s="63"/>
      <c r="BG2015" s="63"/>
      <c r="CA2015" s="256"/>
      <c r="CB2015" s="261"/>
      <c r="CC2015" s="261"/>
      <c r="CD2015" s="261"/>
      <c r="CE2015" s="261"/>
      <c r="CF2015" s="261"/>
      <c r="CG2015" s="53"/>
      <c r="CH2015" s="53"/>
      <c r="CI2015" s="53"/>
      <c r="CJ2015" s="53"/>
      <c r="CK2015" s="53"/>
      <c r="CL2015" s="53"/>
      <c r="CN2015" s="53"/>
      <c r="CO2015" s="53"/>
      <c r="CP2015" s="53"/>
      <c r="CQ2015" s="53"/>
      <c r="CR2015" s="53"/>
      <c r="CS2015" s="53"/>
      <c r="CT2015" s="261"/>
      <c r="CU2015" s="261"/>
      <c r="CV2015" s="255"/>
      <c r="CW2015" s="255"/>
      <c r="CX2015" s="261"/>
      <c r="CY2015" s="255"/>
    </row>
    <row r="2016" spans="1:103" ht="10.25" customHeight="1">
      <c r="A2016" s="216"/>
      <c r="B2016" s="217"/>
      <c r="C2016" s="218"/>
      <c r="D2016" s="219"/>
      <c r="E2016" s="217"/>
      <c r="F2016" s="217"/>
      <c r="G2016" s="217"/>
      <c r="H2016" s="220"/>
      <c r="I2016" s="217"/>
      <c r="J2016" s="217"/>
      <c r="K2016" s="217"/>
      <c r="L2016" s="217"/>
      <c r="M2016" s="217"/>
      <c r="N2016" s="217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BA2016" s="5"/>
      <c r="BB2016" s="5"/>
      <c r="BC2016" s="5"/>
      <c r="BD2016" s="5"/>
      <c r="BE2016" s="63"/>
      <c r="BF2016" s="63"/>
      <c r="BG2016" s="63"/>
      <c r="CA2016" s="256"/>
      <c r="CB2016" s="261"/>
      <c r="CC2016" s="261"/>
      <c r="CD2016" s="261"/>
      <c r="CE2016" s="261"/>
      <c r="CF2016" s="261"/>
      <c r="CG2016" s="53"/>
      <c r="CH2016" s="53"/>
      <c r="CI2016" s="53"/>
      <c r="CJ2016" s="53"/>
      <c r="CK2016" s="53"/>
      <c r="CL2016" s="53"/>
      <c r="CN2016" s="53"/>
      <c r="CO2016" s="53"/>
      <c r="CP2016" s="53"/>
      <c r="CQ2016" s="53"/>
      <c r="CR2016" s="53"/>
      <c r="CS2016" s="53"/>
      <c r="CT2016" s="261"/>
      <c r="CU2016" s="261"/>
      <c r="CV2016" s="261"/>
      <c r="CW2016" s="261"/>
      <c r="CX2016" s="261"/>
      <c r="CY2016" s="255"/>
    </row>
    <row r="2017" spans="1:103" ht="10.25" customHeight="1">
      <c r="A2017" s="216"/>
      <c r="B2017" s="217"/>
      <c r="C2017" s="218"/>
      <c r="D2017" s="219"/>
      <c r="E2017" s="217"/>
      <c r="F2017" s="217"/>
      <c r="G2017" s="217"/>
      <c r="H2017" s="220"/>
      <c r="I2017" s="217"/>
      <c r="J2017" s="217"/>
      <c r="K2017" s="217"/>
      <c r="L2017" s="217"/>
      <c r="M2017" s="217"/>
      <c r="N2017" s="217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BA2017" s="5"/>
      <c r="BB2017" s="5"/>
      <c r="BC2017" s="5"/>
      <c r="BD2017" s="5"/>
      <c r="BE2017" s="63"/>
      <c r="BF2017" s="63"/>
      <c r="BG2017" s="63"/>
      <c r="CA2017" s="256"/>
      <c r="CB2017" s="261"/>
      <c r="CC2017" s="261"/>
      <c r="CD2017" s="261"/>
      <c r="CE2017" s="261"/>
      <c r="CF2017" s="261"/>
      <c r="CG2017" s="53"/>
      <c r="CH2017" s="53"/>
      <c r="CI2017" s="53"/>
      <c r="CJ2017" s="53"/>
      <c r="CK2017" s="53"/>
      <c r="CL2017" s="53"/>
      <c r="CN2017" s="53"/>
      <c r="CO2017" s="53"/>
      <c r="CP2017" s="53"/>
      <c r="CQ2017" s="53"/>
      <c r="CR2017" s="53"/>
      <c r="CS2017" s="53"/>
      <c r="CT2017" s="261"/>
      <c r="CU2017" s="261"/>
      <c r="CV2017" s="255"/>
      <c r="CW2017" s="255"/>
      <c r="CX2017" s="261"/>
      <c r="CY2017" s="255"/>
    </row>
    <row r="2018" spans="1:103" ht="10.25" customHeight="1">
      <c r="A2018" s="216"/>
      <c r="B2018" s="217"/>
      <c r="C2018" s="218"/>
      <c r="D2018" s="219"/>
      <c r="E2018" s="217"/>
      <c r="F2018" s="217"/>
      <c r="G2018" s="217"/>
      <c r="H2018" s="220"/>
      <c r="I2018" s="217"/>
      <c r="J2018" s="217"/>
      <c r="K2018" s="217"/>
      <c r="L2018" s="217"/>
      <c r="M2018" s="217"/>
      <c r="N2018" s="217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BA2018" s="5"/>
      <c r="BB2018" s="5"/>
      <c r="BC2018" s="5"/>
      <c r="BD2018" s="5"/>
      <c r="BE2018" s="63"/>
      <c r="BF2018" s="63"/>
      <c r="BG2018" s="63"/>
      <c r="CA2018" s="256"/>
      <c r="CB2018" s="261"/>
      <c r="CC2018" s="261"/>
      <c r="CD2018" s="261"/>
      <c r="CE2018" s="261"/>
      <c r="CF2018" s="255"/>
      <c r="CG2018" s="53"/>
      <c r="CH2018" s="53"/>
      <c r="CI2018" s="53"/>
      <c r="CJ2018" s="53"/>
      <c r="CK2018" s="53"/>
      <c r="CL2018" s="53"/>
      <c r="CN2018" s="53"/>
      <c r="CO2018" s="53"/>
      <c r="CP2018" s="53"/>
      <c r="CQ2018" s="53"/>
      <c r="CR2018" s="53"/>
      <c r="CS2018" s="53"/>
      <c r="CT2018" s="261"/>
      <c r="CU2018" s="255"/>
      <c r="CV2018" s="261"/>
      <c r="CW2018" s="261"/>
      <c r="CX2018" s="261"/>
      <c r="CY2018" s="255"/>
    </row>
    <row r="2019" spans="1:103" ht="10.25" customHeight="1">
      <c r="A2019" s="216"/>
      <c r="B2019" s="217"/>
      <c r="C2019" s="218"/>
      <c r="D2019" s="219"/>
      <c r="E2019" s="217"/>
      <c r="F2019" s="217"/>
      <c r="G2019" s="217"/>
      <c r="H2019" s="220"/>
      <c r="I2019" s="217"/>
      <c r="J2019" s="217"/>
      <c r="K2019" s="217"/>
      <c r="L2019" s="217"/>
      <c r="M2019" s="217"/>
      <c r="N2019" s="217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BA2019" s="5"/>
      <c r="BB2019" s="5"/>
      <c r="BC2019" s="5"/>
      <c r="BD2019" s="5"/>
      <c r="BE2019" s="63"/>
      <c r="BF2019" s="63"/>
      <c r="BG2019" s="63"/>
      <c r="CA2019" s="256"/>
      <c r="CB2019" s="261"/>
      <c r="CC2019" s="261"/>
      <c r="CD2019" s="261"/>
      <c r="CE2019" s="261"/>
      <c r="CF2019" s="255"/>
      <c r="CG2019" s="53"/>
      <c r="CH2019" s="53"/>
      <c r="CI2019" s="53"/>
      <c r="CJ2019" s="53"/>
      <c r="CK2019" s="53"/>
      <c r="CL2019" s="53"/>
      <c r="CN2019" s="53"/>
      <c r="CO2019" s="53"/>
      <c r="CP2019" s="53"/>
      <c r="CQ2019" s="53"/>
      <c r="CR2019" s="53"/>
      <c r="CS2019" s="53"/>
      <c r="CT2019" s="261"/>
      <c r="CU2019" s="255"/>
      <c r="CV2019" s="255"/>
      <c r="CW2019" s="255"/>
      <c r="CX2019" s="261"/>
      <c r="CY2019" s="255"/>
    </row>
    <row r="2020" spans="1:103" ht="10.25" customHeight="1">
      <c r="A2020" s="216"/>
      <c r="B2020" s="217"/>
      <c r="C2020" s="218"/>
      <c r="D2020" s="219"/>
      <c r="E2020" s="217"/>
      <c r="F2020" s="217"/>
      <c r="G2020" s="217"/>
      <c r="H2020" s="220"/>
      <c r="I2020" s="217"/>
      <c r="J2020" s="217"/>
      <c r="K2020" s="217"/>
      <c r="L2020" s="217"/>
      <c r="M2020" s="217"/>
      <c r="N2020" s="217"/>
      <c r="O2020" s="44"/>
      <c r="P2020" s="44"/>
      <c r="Q2020" s="44"/>
      <c r="R2020" s="44"/>
      <c r="S2020" s="44"/>
      <c r="T2020" s="44"/>
      <c r="U2020" s="44"/>
      <c r="V2020" s="44"/>
      <c r="W2020" s="44"/>
      <c r="X2020" s="44"/>
      <c r="Y2020" s="44"/>
      <c r="Z2020" s="44"/>
      <c r="AA2020" s="44"/>
      <c r="AB2020" s="44"/>
      <c r="AC2020" s="44"/>
      <c r="AD2020" s="44"/>
      <c r="AE2020" s="44"/>
      <c r="AF2020" s="44"/>
      <c r="AG2020" s="44"/>
      <c r="AH2020" s="44"/>
      <c r="AI2020" s="44"/>
      <c r="AJ2020" s="44"/>
      <c r="AK2020" s="44"/>
      <c r="AL2020" s="44"/>
      <c r="AM2020" s="44"/>
      <c r="AN2020" s="44"/>
      <c r="AO2020" s="44"/>
      <c r="AP2020" s="44"/>
      <c r="AQ2020" s="44"/>
      <c r="BA2020" s="5"/>
      <c r="BB2020" s="5"/>
      <c r="BC2020" s="5"/>
      <c r="BD2020" s="5"/>
      <c r="BE2020" s="63"/>
      <c r="BF2020" s="63"/>
      <c r="BG2020" s="63"/>
      <c r="CA2020" s="256"/>
      <c r="CB2020" s="261"/>
      <c r="CC2020" s="261"/>
      <c r="CD2020" s="261"/>
      <c r="CE2020" s="255"/>
      <c r="CF2020" s="261"/>
      <c r="CG2020" s="53"/>
      <c r="CH2020" s="53"/>
      <c r="CI2020" s="53"/>
      <c r="CJ2020" s="53"/>
      <c r="CK2020" s="53"/>
      <c r="CL2020" s="53"/>
      <c r="CN2020" s="53"/>
      <c r="CO2020" s="53"/>
      <c r="CP2020" s="53"/>
      <c r="CQ2020" s="53"/>
      <c r="CR2020" s="53"/>
      <c r="CS2020" s="53"/>
      <c r="CT2020" s="255"/>
      <c r="CU2020" s="261"/>
      <c r="CV2020" s="261"/>
      <c r="CW2020" s="261"/>
      <c r="CX2020" s="261"/>
      <c r="CY2020" s="255"/>
    </row>
    <row r="2021" spans="1:103" ht="10.25" customHeight="1">
      <c r="A2021" s="216"/>
      <c r="B2021" s="217"/>
      <c r="C2021" s="218"/>
      <c r="D2021" s="219"/>
      <c r="E2021" s="217"/>
      <c r="F2021" s="217"/>
      <c r="G2021" s="217"/>
      <c r="H2021" s="220"/>
      <c r="I2021" s="217"/>
      <c r="J2021" s="217"/>
      <c r="K2021" s="217"/>
      <c r="L2021" s="217"/>
      <c r="M2021" s="217"/>
      <c r="N2021" s="217"/>
      <c r="O2021" s="44"/>
      <c r="P2021" s="44"/>
      <c r="Q2021" s="44"/>
      <c r="R2021" s="44"/>
      <c r="S2021" s="44"/>
      <c r="T2021" s="44"/>
      <c r="U2021" s="44"/>
      <c r="V2021" s="44"/>
      <c r="W2021" s="44"/>
      <c r="X2021" s="44"/>
      <c r="Y2021" s="44"/>
      <c r="Z2021" s="44"/>
      <c r="AA2021" s="44"/>
      <c r="AB2021" s="44"/>
      <c r="AC2021" s="44"/>
      <c r="AD2021" s="44"/>
      <c r="AE2021" s="44"/>
      <c r="AF2021" s="44"/>
      <c r="AG2021" s="44"/>
      <c r="AH2021" s="44"/>
      <c r="AI2021" s="44"/>
      <c r="AJ2021" s="44"/>
      <c r="AK2021" s="44"/>
      <c r="AL2021" s="44"/>
      <c r="AM2021" s="44"/>
      <c r="AN2021" s="44"/>
      <c r="AO2021" s="44"/>
      <c r="AP2021" s="44"/>
      <c r="AQ2021" s="44"/>
      <c r="BA2021" s="5"/>
      <c r="BB2021" s="5"/>
      <c r="BC2021" s="5"/>
      <c r="BD2021" s="5"/>
      <c r="BE2021" s="63"/>
      <c r="BF2021" s="63"/>
      <c r="BG2021" s="63"/>
      <c r="CA2021" s="256"/>
      <c r="CB2021" s="261"/>
      <c r="CC2021" s="261"/>
      <c r="CD2021" s="261"/>
      <c r="CE2021" s="255"/>
      <c r="CF2021" s="261"/>
      <c r="CG2021" s="53"/>
      <c r="CH2021" s="53"/>
      <c r="CI2021" s="53"/>
      <c r="CJ2021" s="53"/>
      <c r="CK2021" s="53"/>
      <c r="CL2021" s="53"/>
      <c r="CN2021" s="53"/>
      <c r="CO2021" s="53"/>
      <c r="CP2021" s="53"/>
      <c r="CQ2021" s="53"/>
      <c r="CR2021" s="53"/>
      <c r="CS2021" s="53"/>
      <c r="CT2021" s="255"/>
      <c r="CU2021" s="261"/>
      <c r="CV2021" s="255"/>
      <c r="CW2021" s="255"/>
      <c r="CX2021" s="261"/>
      <c r="CY2021" s="255"/>
    </row>
    <row r="2022" spans="1:103" ht="10.25" customHeight="1">
      <c r="A2022" s="216"/>
      <c r="B2022" s="217"/>
      <c r="C2022" s="218"/>
      <c r="D2022" s="219"/>
      <c r="E2022" s="217"/>
      <c r="F2022" s="217"/>
      <c r="G2022" s="217"/>
      <c r="H2022" s="220"/>
      <c r="I2022" s="217"/>
      <c r="J2022" s="217"/>
      <c r="K2022" s="217"/>
      <c r="L2022" s="217"/>
      <c r="M2022" s="217"/>
      <c r="N2022" s="217"/>
      <c r="O2022" s="44"/>
      <c r="P2022" s="44"/>
      <c r="Q2022" s="44"/>
      <c r="R2022" s="44"/>
      <c r="S2022" s="44"/>
      <c r="T2022" s="44"/>
      <c r="U2022" s="44"/>
      <c r="V2022" s="44"/>
      <c r="W2022" s="44"/>
      <c r="X2022" s="44"/>
      <c r="Y2022" s="44"/>
      <c r="Z2022" s="44"/>
      <c r="AA2022" s="44"/>
      <c r="AB2022" s="44"/>
      <c r="AC2022" s="44"/>
      <c r="AD2022" s="44"/>
      <c r="AE2022" s="44"/>
      <c r="AF2022" s="44"/>
      <c r="AG2022" s="44"/>
      <c r="AH2022" s="44"/>
      <c r="AI2022" s="44"/>
      <c r="AJ2022" s="44"/>
      <c r="AK2022" s="44"/>
      <c r="AL2022" s="44"/>
      <c r="AM2022" s="44"/>
      <c r="AN2022" s="44"/>
      <c r="AO2022" s="44"/>
      <c r="AP2022" s="44"/>
      <c r="AQ2022" s="44"/>
      <c r="BA2022" s="5"/>
      <c r="BB2022" s="5"/>
      <c r="BC2022" s="5"/>
      <c r="BD2022" s="5"/>
      <c r="BE2022" s="63"/>
      <c r="BF2022" s="63"/>
      <c r="BG2022" s="63"/>
      <c r="CA2022" s="256"/>
      <c r="CB2022" s="261"/>
      <c r="CC2022" s="261"/>
      <c r="CD2022" s="261"/>
      <c r="CE2022" s="261"/>
      <c r="CF2022" s="261"/>
      <c r="CG2022" s="53"/>
      <c r="CH2022" s="53"/>
      <c r="CI2022" s="53"/>
      <c r="CJ2022" s="53"/>
      <c r="CK2022" s="53"/>
      <c r="CL2022" s="53"/>
      <c r="CN2022" s="53"/>
      <c r="CO2022" s="53"/>
      <c r="CP2022" s="53"/>
      <c r="CQ2022" s="53"/>
      <c r="CR2022" s="53"/>
      <c r="CS2022" s="53"/>
      <c r="CT2022" s="261"/>
      <c r="CU2022" s="261"/>
      <c r="CV2022" s="261"/>
      <c r="CW2022" s="261"/>
      <c r="CX2022" s="255"/>
      <c r="CY2022" s="255"/>
    </row>
    <row r="2023" spans="1:103" ht="10.25" customHeight="1">
      <c r="A2023" s="216"/>
      <c r="B2023" s="217"/>
      <c r="C2023" s="218"/>
      <c r="D2023" s="219"/>
      <c r="E2023" s="217"/>
      <c r="F2023" s="217"/>
      <c r="G2023" s="217"/>
      <c r="H2023" s="220"/>
      <c r="I2023" s="217"/>
      <c r="J2023" s="217"/>
      <c r="K2023" s="217"/>
      <c r="L2023" s="217"/>
      <c r="M2023" s="217"/>
      <c r="N2023" s="217"/>
      <c r="O2023" s="44"/>
      <c r="P2023" s="44"/>
      <c r="Q2023" s="44"/>
      <c r="R2023" s="44"/>
      <c r="S2023" s="44"/>
      <c r="T2023" s="44"/>
      <c r="U2023" s="44"/>
      <c r="V2023" s="44"/>
      <c r="W2023" s="44"/>
      <c r="X2023" s="44"/>
      <c r="Y2023" s="44"/>
      <c r="Z2023" s="44"/>
      <c r="AA2023" s="44"/>
      <c r="AB2023" s="44"/>
      <c r="AC2023" s="44"/>
      <c r="AD2023" s="44"/>
      <c r="AE2023" s="44"/>
      <c r="AF2023" s="44"/>
      <c r="AG2023" s="44"/>
      <c r="AH2023" s="44"/>
      <c r="AI2023" s="44"/>
      <c r="AJ2023" s="44"/>
      <c r="AK2023" s="44"/>
      <c r="AL2023" s="44"/>
      <c r="AM2023" s="44"/>
      <c r="AN2023" s="44"/>
      <c r="AO2023" s="44"/>
      <c r="AP2023" s="44"/>
      <c r="AQ2023" s="44"/>
      <c r="BA2023" s="5"/>
      <c r="BB2023" s="5"/>
      <c r="BC2023" s="5"/>
      <c r="BD2023" s="5"/>
      <c r="BE2023" s="63"/>
      <c r="BF2023" s="63"/>
      <c r="BG2023" s="63"/>
      <c r="CA2023" s="256"/>
      <c r="CB2023" s="261"/>
      <c r="CC2023" s="261"/>
      <c r="CD2023" s="261"/>
      <c r="CE2023" s="261"/>
      <c r="CF2023" s="261"/>
      <c r="CG2023" s="53"/>
      <c r="CH2023" s="53"/>
      <c r="CI2023" s="53"/>
      <c r="CJ2023" s="53"/>
      <c r="CK2023" s="53"/>
      <c r="CL2023" s="53"/>
      <c r="CN2023" s="53"/>
      <c r="CO2023" s="53"/>
      <c r="CP2023" s="53"/>
      <c r="CQ2023" s="53"/>
      <c r="CR2023" s="53"/>
      <c r="CS2023" s="53"/>
      <c r="CT2023" s="261"/>
      <c r="CU2023" s="261"/>
      <c r="CV2023" s="255"/>
      <c r="CW2023" s="255"/>
      <c r="CX2023" s="261"/>
      <c r="CY2023" s="255"/>
    </row>
    <row r="2024" spans="1:103" ht="10.25" customHeight="1">
      <c r="A2024" s="216"/>
      <c r="B2024" s="217"/>
      <c r="C2024" s="218"/>
      <c r="D2024" s="219"/>
      <c r="E2024" s="217"/>
      <c r="F2024" s="217"/>
      <c r="G2024" s="217"/>
      <c r="H2024" s="220"/>
      <c r="I2024" s="217"/>
      <c r="J2024" s="217"/>
      <c r="K2024" s="217"/>
      <c r="L2024" s="217"/>
      <c r="M2024" s="217"/>
      <c r="N2024" s="217"/>
      <c r="O2024" s="44"/>
      <c r="P2024" s="44"/>
      <c r="Q2024" s="44"/>
      <c r="R2024" s="44"/>
      <c r="S2024" s="44"/>
      <c r="T2024" s="44"/>
      <c r="U2024" s="44"/>
      <c r="V2024" s="44"/>
      <c r="W2024" s="44"/>
      <c r="X2024" s="44"/>
      <c r="Y2024" s="44"/>
      <c r="Z2024" s="44"/>
      <c r="AA2024" s="44"/>
      <c r="AB2024" s="44"/>
      <c r="AC2024" s="44"/>
      <c r="AD2024" s="44"/>
      <c r="AE2024" s="44"/>
      <c r="AF2024" s="44"/>
      <c r="AG2024" s="44"/>
      <c r="AH2024" s="44"/>
      <c r="AI2024" s="44"/>
      <c r="AJ2024" s="44"/>
      <c r="AK2024" s="44"/>
      <c r="AL2024" s="44"/>
      <c r="AM2024" s="44"/>
      <c r="AN2024" s="44"/>
      <c r="AO2024" s="44"/>
      <c r="AP2024" s="44"/>
      <c r="AQ2024" s="44"/>
      <c r="BA2024" s="5"/>
      <c r="BB2024" s="5"/>
      <c r="BC2024" s="5"/>
      <c r="BD2024" s="5"/>
      <c r="BE2024" s="63"/>
      <c r="BF2024" s="63"/>
      <c r="BG2024" s="63"/>
      <c r="CA2024" s="256"/>
      <c r="CB2024" s="261"/>
      <c r="CC2024" s="261"/>
      <c r="CD2024" s="261"/>
      <c r="CE2024" s="261"/>
      <c r="CF2024" s="261"/>
      <c r="CG2024" s="53"/>
      <c r="CH2024" s="53"/>
      <c r="CI2024" s="53"/>
      <c r="CJ2024" s="53"/>
      <c r="CK2024" s="53"/>
      <c r="CL2024" s="53"/>
      <c r="CN2024" s="53"/>
      <c r="CO2024" s="53"/>
      <c r="CP2024" s="53"/>
      <c r="CQ2024" s="53"/>
      <c r="CR2024" s="53"/>
      <c r="CS2024" s="53"/>
      <c r="CT2024" s="261"/>
      <c r="CU2024" s="261"/>
      <c r="CV2024" s="261"/>
      <c r="CW2024" s="255"/>
      <c r="CX2024" s="261"/>
      <c r="CY2024" s="255"/>
    </row>
    <row r="2025" spans="1:103" ht="10.25" customHeight="1">
      <c r="A2025" s="216"/>
      <c r="B2025" s="217"/>
      <c r="C2025" s="218"/>
      <c r="D2025" s="219"/>
      <c r="E2025" s="217"/>
      <c r="F2025" s="217"/>
      <c r="G2025" s="217"/>
      <c r="H2025" s="220"/>
      <c r="I2025" s="217"/>
      <c r="J2025" s="217"/>
      <c r="K2025" s="217"/>
      <c r="L2025" s="217"/>
      <c r="M2025" s="217"/>
      <c r="N2025" s="217"/>
      <c r="O2025" s="44"/>
      <c r="P2025" s="44"/>
      <c r="Q2025" s="44"/>
      <c r="R2025" s="44"/>
      <c r="S2025" s="44"/>
      <c r="T2025" s="44"/>
      <c r="U2025" s="44"/>
      <c r="V2025" s="44"/>
      <c r="W2025" s="44"/>
      <c r="X2025" s="44"/>
      <c r="Y2025" s="44"/>
      <c r="Z2025" s="44"/>
      <c r="AA2025" s="44"/>
      <c r="AB2025" s="44"/>
      <c r="AC2025" s="44"/>
      <c r="AD2025" s="44"/>
      <c r="AE2025" s="44"/>
      <c r="AF2025" s="44"/>
      <c r="AG2025" s="44"/>
      <c r="AH2025" s="44"/>
      <c r="AI2025" s="44"/>
      <c r="AJ2025" s="44"/>
      <c r="AK2025" s="44"/>
      <c r="AL2025" s="44"/>
      <c r="AM2025" s="44"/>
      <c r="AN2025" s="44"/>
      <c r="AO2025" s="44"/>
      <c r="AP2025" s="44"/>
      <c r="AQ2025" s="44"/>
      <c r="BA2025" s="5"/>
      <c r="BB2025" s="5"/>
      <c r="BC2025" s="5"/>
      <c r="BD2025" s="5"/>
      <c r="BE2025" s="63"/>
      <c r="BF2025" s="63"/>
      <c r="BG2025" s="63"/>
      <c r="CA2025" s="256"/>
      <c r="CB2025" s="261"/>
      <c r="CC2025" s="261"/>
      <c r="CD2025" s="261"/>
      <c r="CE2025" s="261"/>
      <c r="CF2025" s="261"/>
      <c r="CG2025" s="53"/>
      <c r="CH2025" s="53"/>
      <c r="CI2025" s="53"/>
      <c r="CJ2025" s="53"/>
      <c r="CK2025" s="53"/>
      <c r="CL2025" s="53"/>
      <c r="CN2025" s="53"/>
      <c r="CO2025" s="53"/>
      <c r="CP2025" s="53"/>
      <c r="CQ2025" s="53"/>
      <c r="CR2025" s="53"/>
      <c r="CS2025" s="53"/>
      <c r="CT2025" s="261"/>
      <c r="CU2025" s="261"/>
      <c r="CV2025" s="255"/>
      <c r="CW2025" s="255"/>
      <c r="CX2025" s="261"/>
      <c r="CY2025" s="255"/>
    </row>
    <row r="2026" spans="1:103" ht="10.25" customHeight="1">
      <c r="A2026" s="216"/>
      <c r="B2026" s="217"/>
      <c r="C2026" s="218"/>
      <c r="D2026" s="219"/>
      <c r="E2026" s="217"/>
      <c r="F2026" s="217"/>
      <c r="G2026" s="217"/>
      <c r="H2026" s="220"/>
      <c r="I2026" s="217"/>
      <c r="J2026" s="217"/>
      <c r="K2026" s="217"/>
      <c r="L2026" s="217"/>
      <c r="M2026" s="217"/>
      <c r="N2026" s="217"/>
      <c r="O2026" s="44"/>
      <c r="P2026" s="44"/>
      <c r="Q2026" s="44"/>
      <c r="R2026" s="44"/>
      <c r="S2026" s="44"/>
      <c r="T2026" s="44"/>
      <c r="U2026" s="44"/>
      <c r="V2026" s="44"/>
      <c r="W2026" s="44"/>
      <c r="X2026" s="44"/>
      <c r="Y2026" s="44"/>
      <c r="Z2026" s="44"/>
      <c r="AA2026" s="44"/>
      <c r="AB2026" s="44"/>
      <c r="AC2026" s="44"/>
      <c r="AD2026" s="44"/>
      <c r="AE2026" s="44"/>
      <c r="AF2026" s="44"/>
      <c r="AG2026" s="44"/>
      <c r="AH2026" s="44"/>
      <c r="AI2026" s="44"/>
      <c r="AJ2026" s="44"/>
      <c r="AK2026" s="44"/>
      <c r="AL2026" s="44"/>
      <c r="AM2026" s="44"/>
      <c r="AN2026" s="44"/>
      <c r="AO2026" s="44"/>
      <c r="AP2026" s="44"/>
      <c r="AQ2026" s="44"/>
      <c r="BA2026" s="5"/>
      <c r="BB2026" s="5"/>
      <c r="BC2026" s="5"/>
      <c r="BD2026" s="5"/>
      <c r="BE2026" s="63"/>
      <c r="BF2026" s="63"/>
      <c r="BG2026" s="63"/>
      <c r="CA2026" s="256"/>
      <c r="CB2026" s="261"/>
      <c r="CC2026" s="261"/>
      <c r="CD2026" s="261"/>
      <c r="CE2026" s="261"/>
      <c r="CF2026" s="261"/>
      <c r="CG2026" s="53"/>
      <c r="CH2026" s="53"/>
      <c r="CI2026" s="53"/>
      <c r="CJ2026" s="53"/>
      <c r="CK2026" s="53"/>
      <c r="CL2026" s="53"/>
      <c r="CN2026" s="53"/>
      <c r="CO2026" s="53"/>
      <c r="CP2026" s="53"/>
      <c r="CQ2026" s="53"/>
      <c r="CR2026" s="53"/>
      <c r="CS2026" s="53"/>
      <c r="CT2026" s="261"/>
      <c r="CU2026" s="261"/>
      <c r="CV2026" s="261"/>
      <c r="CW2026" s="261"/>
      <c r="CX2026" s="261"/>
      <c r="CY2026" s="255"/>
    </row>
    <row r="2027" spans="1:103" ht="10.25" customHeight="1">
      <c r="A2027" s="216"/>
      <c r="B2027" s="217"/>
      <c r="C2027" s="218"/>
      <c r="D2027" s="219"/>
      <c r="E2027" s="217"/>
      <c r="F2027" s="217"/>
      <c r="G2027" s="217"/>
      <c r="H2027" s="220"/>
      <c r="I2027" s="217"/>
      <c r="J2027" s="217"/>
      <c r="K2027" s="217"/>
      <c r="L2027" s="217"/>
      <c r="M2027" s="217"/>
      <c r="N2027" s="217"/>
      <c r="O2027" s="44"/>
      <c r="P2027" s="44"/>
      <c r="Q2027" s="44"/>
      <c r="R2027" s="44"/>
      <c r="S2027" s="44"/>
      <c r="T2027" s="44"/>
      <c r="U2027" s="44"/>
      <c r="V2027" s="44"/>
      <c r="W2027" s="44"/>
      <c r="X2027" s="44"/>
      <c r="Y2027" s="44"/>
      <c r="Z2027" s="44"/>
      <c r="AA2027" s="44"/>
      <c r="AB2027" s="44"/>
      <c r="AC2027" s="44"/>
      <c r="AD2027" s="44"/>
      <c r="AE2027" s="44"/>
      <c r="AF2027" s="44"/>
      <c r="AG2027" s="44"/>
      <c r="AH2027" s="44"/>
      <c r="AI2027" s="44"/>
      <c r="AJ2027" s="44"/>
      <c r="AK2027" s="44"/>
      <c r="AL2027" s="44"/>
      <c r="AM2027" s="44"/>
      <c r="AN2027" s="44"/>
      <c r="AO2027" s="44"/>
      <c r="AP2027" s="44"/>
      <c r="AQ2027" s="44"/>
      <c r="BA2027" s="5"/>
      <c r="BB2027" s="5"/>
      <c r="BC2027" s="5"/>
      <c r="BD2027" s="5"/>
      <c r="BE2027" s="63"/>
      <c r="BF2027" s="63"/>
      <c r="BG2027" s="63"/>
      <c r="CA2027" s="256"/>
      <c r="CB2027" s="261"/>
      <c r="CC2027" s="261"/>
      <c r="CD2027" s="255"/>
      <c r="CE2027" s="261"/>
      <c r="CF2027" s="261"/>
      <c r="CG2027" s="53"/>
      <c r="CH2027" s="53"/>
      <c r="CI2027" s="53"/>
      <c r="CJ2027" s="53"/>
      <c r="CK2027" s="53"/>
      <c r="CL2027" s="53"/>
      <c r="CN2027" s="53"/>
      <c r="CO2027" s="53"/>
      <c r="CP2027" s="53"/>
      <c r="CQ2027" s="53"/>
      <c r="CR2027" s="53"/>
      <c r="CS2027" s="53"/>
      <c r="CT2027" s="261"/>
      <c r="CU2027" s="261"/>
      <c r="CV2027" s="261"/>
      <c r="CW2027" s="261"/>
      <c r="CX2027" s="261"/>
      <c r="CY2027" s="255"/>
    </row>
    <row r="2028" spans="1:103" ht="10.25" customHeight="1">
      <c r="A2028" s="216"/>
      <c r="B2028" s="217"/>
      <c r="C2028" s="218"/>
      <c r="D2028" s="219"/>
      <c r="E2028" s="217"/>
      <c r="F2028" s="217"/>
      <c r="G2028" s="217"/>
      <c r="H2028" s="220"/>
      <c r="I2028" s="217"/>
      <c r="J2028" s="217"/>
      <c r="K2028" s="217"/>
      <c r="L2028" s="217"/>
      <c r="M2028" s="217"/>
      <c r="N2028" s="217"/>
      <c r="O2028" s="44"/>
      <c r="P2028" s="44"/>
      <c r="Q2028" s="44"/>
      <c r="R2028" s="44"/>
      <c r="S2028" s="44"/>
      <c r="T2028" s="44"/>
      <c r="U2028" s="44"/>
      <c r="V2028" s="44"/>
      <c r="W2028" s="44"/>
      <c r="X2028" s="44"/>
      <c r="Y2028" s="44"/>
      <c r="Z2028" s="44"/>
      <c r="AA2028" s="44"/>
      <c r="AB2028" s="44"/>
      <c r="AC2028" s="44"/>
      <c r="AD2028" s="44"/>
      <c r="AE2028" s="44"/>
      <c r="AF2028" s="44"/>
      <c r="AG2028" s="44"/>
      <c r="AH2028" s="44"/>
      <c r="AI2028" s="44"/>
      <c r="AJ2028" s="44"/>
      <c r="AK2028" s="44"/>
      <c r="AL2028" s="44"/>
      <c r="AM2028" s="44"/>
      <c r="AN2028" s="44"/>
      <c r="AO2028" s="44"/>
      <c r="AP2028" s="44"/>
      <c r="AQ2028" s="44"/>
      <c r="BA2028" s="5"/>
      <c r="BB2028" s="5"/>
      <c r="BC2028" s="5"/>
      <c r="BD2028" s="5"/>
      <c r="BE2028" s="63"/>
      <c r="BF2028" s="63"/>
      <c r="BG2028" s="63"/>
      <c r="CA2028" s="256"/>
      <c r="CB2028" s="261"/>
      <c r="CC2028" s="261"/>
      <c r="CD2028" s="255"/>
      <c r="CE2028" s="261"/>
      <c r="CF2028" s="261"/>
      <c r="CG2028" s="53"/>
      <c r="CH2028" s="53"/>
      <c r="CI2028" s="53"/>
      <c r="CJ2028" s="53"/>
      <c r="CK2028" s="53"/>
      <c r="CL2028" s="53"/>
      <c r="CN2028" s="53"/>
      <c r="CO2028" s="53"/>
      <c r="CP2028" s="53"/>
      <c r="CQ2028" s="53"/>
      <c r="CR2028" s="53"/>
      <c r="CS2028" s="53"/>
      <c r="CT2028" s="261"/>
      <c r="CU2028" s="261"/>
      <c r="CV2028" s="261"/>
      <c r="CW2028" s="261"/>
      <c r="CX2028" s="261"/>
      <c r="CY2028" s="255"/>
    </row>
    <row r="2029" spans="1:103" ht="10.25" customHeight="1">
      <c r="A2029" s="216"/>
      <c r="B2029" s="217"/>
      <c r="C2029" s="218"/>
      <c r="D2029" s="219"/>
      <c r="E2029" s="217"/>
      <c r="F2029" s="217"/>
      <c r="G2029" s="217"/>
      <c r="H2029" s="220"/>
      <c r="I2029" s="217"/>
      <c r="J2029" s="217"/>
      <c r="K2029" s="217"/>
      <c r="L2029" s="217"/>
      <c r="M2029" s="217"/>
      <c r="N2029" s="217"/>
      <c r="O2029" s="44"/>
      <c r="P2029" s="44"/>
      <c r="Q2029" s="44"/>
      <c r="R2029" s="44"/>
      <c r="S2029" s="44"/>
      <c r="T2029" s="44"/>
      <c r="U2029" s="44"/>
      <c r="V2029" s="44"/>
      <c r="W2029" s="44"/>
      <c r="X2029" s="44"/>
      <c r="Y2029" s="44"/>
      <c r="Z2029" s="44"/>
      <c r="AA2029" s="44"/>
      <c r="AB2029" s="44"/>
      <c r="AC2029" s="44"/>
      <c r="AD2029" s="44"/>
      <c r="AE2029" s="44"/>
      <c r="AF2029" s="44"/>
      <c r="AG2029" s="44"/>
      <c r="AH2029" s="44"/>
      <c r="AI2029" s="44"/>
      <c r="AJ2029" s="44"/>
      <c r="AK2029" s="44"/>
      <c r="AL2029" s="44"/>
      <c r="AM2029" s="44"/>
      <c r="AN2029" s="44"/>
      <c r="AO2029" s="44"/>
      <c r="AP2029" s="44"/>
      <c r="AQ2029" s="44"/>
      <c r="BA2029" s="5"/>
      <c r="BB2029" s="5"/>
      <c r="BC2029" s="5"/>
      <c r="BD2029" s="5"/>
      <c r="BE2029" s="63"/>
      <c r="BF2029" s="63"/>
      <c r="BG2029" s="63"/>
      <c r="CA2029" s="256"/>
      <c r="CB2029" s="261"/>
      <c r="CC2029" s="261"/>
      <c r="CD2029" s="255"/>
      <c r="CE2029" s="261"/>
      <c r="CF2029" s="261"/>
      <c r="CG2029" s="53"/>
      <c r="CH2029" s="53"/>
      <c r="CI2029" s="53"/>
      <c r="CJ2029" s="53"/>
      <c r="CK2029" s="53"/>
      <c r="CL2029" s="53"/>
      <c r="CN2029" s="53"/>
      <c r="CO2029" s="53"/>
      <c r="CP2029" s="53"/>
      <c r="CQ2029" s="53"/>
      <c r="CR2029" s="53"/>
      <c r="CS2029" s="53"/>
      <c r="CT2029" s="261"/>
      <c r="CU2029" s="261"/>
      <c r="CV2029" s="261"/>
      <c r="CW2029" s="261"/>
      <c r="CX2029" s="261"/>
      <c r="CY2029" s="255"/>
    </row>
    <row r="2030" spans="1:103" ht="10.25" customHeight="1">
      <c r="A2030" s="216"/>
      <c r="B2030" s="217"/>
      <c r="C2030" s="218"/>
      <c r="D2030" s="219"/>
      <c r="E2030" s="217"/>
      <c r="F2030" s="217"/>
      <c r="G2030" s="217"/>
      <c r="H2030" s="220"/>
      <c r="I2030" s="217"/>
      <c r="J2030" s="217"/>
      <c r="K2030" s="217"/>
      <c r="L2030" s="217"/>
      <c r="M2030" s="217"/>
      <c r="N2030" s="217"/>
      <c r="O2030" s="44"/>
      <c r="P2030" s="44"/>
      <c r="Q2030" s="44"/>
      <c r="R2030" s="44"/>
      <c r="S2030" s="44"/>
      <c r="T2030" s="44"/>
      <c r="U2030" s="44"/>
      <c r="V2030" s="44"/>
      <c r="W2030" s="44"/>
      <c r="X2030" s="44"/>
      <c r="Y2030" s="44"/>
      <c r="Z2030" s="44"/>
      <c r="AA2030" s="44"/>
      <c r="AB2030" s="44"/>
      <c r="AC2030" s="44"/>
      <c r="AD2030" s="44"/>
      <c r="AE2030" s="44"/>
      <c r="AF2030" s="44"/>
      <c r="AG2030" s="44"/>
      <c r="AH2030" s="44"/>
      <c r="AI2030" s="44"/>
      <c r="AJ2030" s="44"/>
      <c r="AK2030" s="44"/>
      <c r="AL2030" s="44"/>
      <c r="AM2030" s="44"/>
      <c r="AN2030" s="44"/>
      <c r="AO2030" s="44"/>
      <c r="AP2030" s="44"/>
      <c r="AQ2030" s="44"/>
      <c r="BA2030" s="5"/>
      <c r="BB2030" s="5"/>
      <c r="BC2030" s="5"/>
      <c r="BD2030" s="5"/>
      <c r="BE2030" s="63"/>
      <c r="BF2030" s="63"/>
      <c r="BG2030" s="63"/>
      <c r="CA2030" s="256"/>
      <c r="CB2030" s="261"/>
      <c r="CC2030" s="255"/>
      <c r="CD2030" s="261"/>
      <c r="CE2030" s="261"/>
      <c r="CF2030" s="261"/>
      <c r="CG2030" s="53"/>
      <c r="CH2030" s="53"/>
      <c r="CI2030" s="53"/>
      <c r="CJ2030" s="53"/>
      <c r="CK2030" s="53"/>
      <c r="CL2030" s="53"/>
      <c r="CN2030" s="53"/>
      <c r="CO2030" s="53"/>
      <c r="CP2030" s="53"/>
      <c r="CQ2030" s="53"/>
      <c r="CR2030" s="53"/>
      <c r="CS2030" s="53"/>
      <c r="CT2030" s="261"/>
      <c r="CU2030" s="261"/>
      <c r="CV2030" s="261"/>
      <c r="CW2030" s="261"/>
      <c r="CX2030" s="261"/>
      <c r="CY2030" s="255"/>
    </row>
    <row r="2031" spans="1:103" ht="10.25" customHeight="1">
      <c r="A2031" s="216"/>
      <c r="B2031" s="217"/>
      <c r="C2031" s="218"/>
      <c r="D2031" s="219"/>
      <c r="E2031" s="217"/>
      <c r="F2031" s="217"/>
      <c r="G2031" s="217"/>
      <c r="H2031" s="220"/>
      <c r="I2031" s="217"/>
      <c r="J2031" s="217"/>
      <c r="K2031" s="217"/>
      <c r="L2031" s="217"/>
      <c r="M2031" s="217"/>
      <c r="N2031" s="217"/>
      <c r="O2031" s="44"/>
      <c r="P2031" s="44"/>
      <c r="Q2031" s="44"/>
      <c r="R2031" s="44"/>
      <c r="S2031" s="44"/>
      <c r="T2031" s="44"/>
      <c r="U2031" s="44"/>
      <c r="V2031" s="44"/>
      <c r="W2031" s="44"/>
      <c r="X2031" s="44"/>
      <c r="Y2031" s="44"/>
      <c r="Z2031" s="44"/>
      <c r="AA2031" s="44"/>
      <c r="AB2031" s="44"/>
      <c r="AC2031" s="44"/>
      <c r="AD2031" s="44"/>
      <c r="AE2031" s="44"/>
      <c r="AF2031" s="44"/>
      <c r="AG2031" s="44"/>
      <c r="AH2031" s="44"/>
      <c r="AI2031" s="44"/>
      <c r="AJ2031" s="44"/>
      <c r="AK2031" s="44"/>
      <c r="AL2031" s="44"/>
      <c r="AM2031" s="44"/>
      <c r="AN2031" s="44"/>
      <c r="AO2031" s="44"/>
      <c r="AP2031" s="44"/>
      <c r="AQ2031" s="44"/>
      <c r="BA2031" s="5"/>
      <c r="BB2031" s="5"/>
      <c r="BC2031" s="5"/>
      <c r="BD2031" s="5"/>
      <c r="BE2031" s="63"/>
      <c r="BF2031" s="63"/>
      <c r="BG2031" s="63"/>
      <c r="CA2031" s="256"/>
      <c r="CB2031" s="261"/>
      <c r="CC2031" s="255"/>
      <c r="CD2031" s="261"/>
      <c r="CE2031" s="261"/>
      <c r="CF2031" s="261"/>
      <c r="CG2031" s="53"/>
      <c r="CH2031" s="53"/>
      <c r="CI2031" s="53"/>
      <c r="CJ2031" s="53"/>
      <c r="CK2031" s="53"/>
      <c r="CL2031" s="53"/>
      <c r="CN2031" s="53"/>
      <c r="CO2031" s="53"/>
      <c r="CP2031" s="53"/>
      <c r="CQ2031" s="53"/>
      <c r="CR2031" s="53"/>
      <c r="CS2031" s="53"/>
      <c r="CT2031" s="261"/>
      <c r="CU2031" s="261"/>
      <c r="CV2031" s="261"/>
      <c r="CW2031" s="261"/>
      <c r="CX2031" s="261"/>
      <c r="CY2031" s="255"/>
    </row>
    <row r="2032" spans="1:103" ht="10.25" customHeight="1">
      <c r="A2032" s="371"/>
      <c r="B2032" s="371"/>
      <c r="C2032" s="371"/>
      <c r="D2032" s="269"/>
      <c r="L2032" s="269"/>
      <c r="M2032" s="269"/>
      <c r="N2032" s="269"/>
      <c r="O2032" s="63"/>
      <c r="P2032" s="63"/>
      <c r="Q2032" s="63"/>
      <c r="R2032" s="63"/>
      <c r="S2032" s="63"/>
      <c r="T2032" s="63"/>
      <c r="U2032" s="63"/>
      <c r="V2032" s="63"/>
      <c r="W2032" s="63"/>
      <c r="X2032" s="63"/>
      <c r="Y2032" s="63"/>
      <c r="Z2032" s="63"/>
      <c r="AA2032" s="63"/>
      <c r="AB2032" s="63"/>
      <c r="AC2032" s="63"/>
      <c r="AD2032" s="63"/>
      <c r="AE2032" s="63"/>
      <c r="AF2032" s="63"/>
      <c r="AG2032" s="63"/>
      <c r="AH2032" s="63"/>
      <c r="AI2032" s="63"/>
      <c r="AJ2032" s="63"/>
      <c r="AK2032" s="63"/>
      <c r="AL2032" s="63"/>
      <c r="AM2032" s="63"/>
      <c r="AN2032" s="63"/>
      <c r="AO2032" s="63"/>
      <c r="AP2032" s="63"/>
      <c r="AQ2032" s="63"/>
      <c r="CA2032" s="256"/>
      <c r="CB2032" s="261"/>
      <c r="CC2032" s="255"/>
      <c r="CD2032" s="261"/>
      <c r="CE2032" s="261"/>
      <c r="CF2032" s="261"/>
      <c r="CG2032" s="261"/>
      <c r="CH2032" s="261"/>
      <c r="CI2032" s="261"/>
      <c r="CJ2032" s="261"/>
      <c r="CK2032" s="261"/>
      <c r="CL2032" s="255"/>
      <c r="CN2032" s="256"/>
      <c r="CO2032" s="256"/>
      <c r="CP2032" s="261"/>
      <c r="CQ2032" s="261"/>
      <c r="CR2032" s="255"/>
      <c r="CS2032" s="261"/>
      <c r="CT2032" s="261"/>
      <c r="CU2032" s="261"/>
      <c r="CV2032" s="261"/>
      <c r="CW2032" s="261"/>
      <c r="CX2032" s="261"/>
      <c r="CY2032" s="255"/>
    </row>
    <row r="2033" spans="1:103" ht="12.65" customHeight="1">
      <c r="A2033" s="270"/>
      <c r="C2033" s="271"/>
      <c r="D2033" s="372"/>
      <c r="E2033" s="372"/>
      <c r="F2033" s="272"/>
      <c r="G2033" s="272"/>
      <c r="H2033" s="273"/>
      <c r="L2033" s="269"/>
      <c r="M2033" s="269"/>
      <c r="N2033" s="269"/>
      <c r="O2033" s="63"/>
      <c r="P2033" s="63"/>
      <c r="Q2033" s="63"/>
      <c r="R2033" s="63"/>
      <c r="S2033" s="63"/>
      <c r="T2033" s="63"/>
      <c r="U2033" s="63"/>
      <c r="V2033" s="63"/>
      <c r="W2033" s="63"/>
      <c r="X2033" s="63"/>
      <c r="Y2033" s="63"/>
      <c r="Z2033" s="63"/>
      <c r="AA2033" s="63"/>
      <c r="AB2033" s="63"/>
      <c r="AC2033" s="63"/>
      <c r="AD2033" s="63"/>
      <c r="AE2033" s="63"/>
      <c r="AF2033" s="63"/>
      <c r="AG2033" s="63"/>
      <c r="AH2033" s="63"/>
      <c r="AI2033" s="63"/>
      <c r="AJ2033" s="63"/>
      <c r="AK2033" s="63"/>
      <c r="AL2033" s="63"/>
      <c r="AM2033" s="63"/>
      <c r="AN2033" s="63"/>
      <c r="AO2033" s="63"/>
      <c r="AP2033" s="63"/>
      <c r="AQ2033" s="63"/>
      <c r="CA2033" s="256"/>
      <c r="CB2033" s="261"/>
      <c r="CC2033" s="255"/>
      <c r="CD2033" s="261"/>
      <c r="CE2033" s="261"/>
      <c r="CF2033" s="261"/>
      <c r="CG2033" s="261"/>
      <c r="CH2033" s="261"/>
      <c r="CI2033" s="261"/>
      <c r="CJ2033" s="261"/>
      <c r="CK2033" s="255"/>
      <c r="CL2033" s="255"/>
      <c r="CN2033" s="256"/>
      <c r="CO2033" s="256"/>
      <c r="CP2033" s="261"/>
      <c r="CQ2033" s="261"/>
      <c r="CR2033" s="255"/>
      <c r="CS2033" s="261"/>
      <c r="CT2033" s="261"/>
      <c r="CU2033" s="261"/>
      <c r="CV2033" s="261"/>
      <c r="CW2033" s="261"/>
      <c r="CX2033" s="255"/>
      <c r="CY2033" s="255"/>
    </row>
    <row r="2034" spans="1:103" ht="10.25" customHeight="1">
      <c r="A2034" s="270"/>
      <c r="D2034" s="372"/>
      <c r="E2034" s="372"/>
      <c r="F2034" s="272"/>
      <c r="G2034" s="272"/>
      <c r="H2034" s="273"/>
      <c r="L2034" s="269"/>
      <c r="M2034" s="269"/>
      <c r="N2034" s="269"/>
      <c r="O2034" s="63"/>
      <c r="P2034" s="63"/>
      <c r="Q2034" s="63"/>
      <c r="R2034" s="63"/>
      <c r="S2034" s="63"/>
      <c r="T2034" s="63"/>
      <c r="U2034" s="63"/>
      <c r="V2034" s="63"/>
      <c r="W2034" s="63"/>
      <c r="X2034" s="63"/>
      <c r="Y2034" s="63"/>
      <c r="Z2034" s="63"/>
      <c r="AA2034" s="63"/>
      <c r="AB2034" s="63"/>
      <c r="AC2034" s="63"/>
      <c r="AD2034" s="63"/>
      <c r="AE2034" s="63"/>
      <c r="AF2034" s="63"/>
      <c r="AG2034" s="63"/>
      <c r="AH2034" s="63"/>
      <c r="AI2034" s="63"/>
      <c r="AJ2034" s="63"/>
      <c r="AK2034" s="63"/>
      <c r="AL2034" s="63"/>
      <c r="AM2034" s="63"/>
      <c r="AN2034" s="63"/>
      <c r="AO2034" s="63"/>
      <c r="AP2034" s="63"/>
      <c r="AQ2034" s="63"/>
      <c r="CA2034" s="256"/>
      <c r="CB2034" s="261"/>
      <c r="CC2034" s="255"/>
      <c r="CD2034" s="261"/>
      <c r="CE2034" s="261"/>
      <c r="CF2034" s="261"/>
      <c r="CG2034" s="261"/>
      <c r="CH2034" s="261"/>
      <c r="CI2034" s="261"/>
      <c r="CJ2034" s="261"/>
      <c r="CK2034" s="261"/>
      <c r="CL2034" s="255"/>
      <c r="CN2034" s="256"/>
      <c r="CO2034" s="256"/>
      <c r="CP2034" s="261"/>
      <c r="CQ2034" s="261"/>
      <c r="CR2034" s="255"/>
      <c r="CS2034" s="261"/>
      <c r="CT2034" s="261"/>
      <c r="CU2034" s="261"/>
      <c r="CV2034" s="261"/>
      <c r="CW2034" s="261"/>
      <c r="CX2034" s="261"/>
      <c r="CY2034" s="255"/>
    </row>
    <row r="2035" spans="1:103" ht="10.25" customHeight="1">
      <c r="C2035" s="270"/>
      <c r="D2035" s="274"/>
      <c r="E2035" s="214"/>
      <c r="F2035" s="272"/>
      <c r="G2035" s="272"/>
      <c r="H2035" s="272"/>
      <c r="I2035" s="273"/>
      <c r="J2035" s="273"/>
      <c r="K2035" s="273"/>
      <c r="L2035" s="275"/>
      <c r="M2035" s="269"/>
      <c r="N2035" s="269"/>
      <c r="O2035" s="63"/>
      <c r="P2035" s="63"/>
      <c r="Q2035" s="63"/>
      <c r="R2035" s="63"/>
      <c r="S2035" s="63"/>
      <c r="T2035" s="63"/>
      <c r="U2035" s="63"/>
      <c r="V2035" s="63"/>
      <c r="W2035" s="63"/>
      <c r="X2035" s="63"/>
      <c r="Y2035" s="63"/>
      <c r="Z2035" s="63"/>
      <c r="AA2035" s="63"/>
      <c r="AB2035" s="63"/>
      <c r="AC2035" s="63"/>
      <c r="AD2035" s="63"/>
      <c r="AE2035" s="63"/>
      <c r="AF2035" s="63"/>
      <c r="AG2035" s="63"/>
      <c r="AH2035" s="63"/>
      <c r="AI2035" s="63"/>
      <c r="AJ2035" s="63"/>
      <c r="AK2035" s="63"/>
      <c r="AL2035" s="63"/>
      <c r="AM2035" s="63"/>
      <c r="AN2035" s="63"/>
      <c r="AO2035" s="63"/>
      <c r="AP2035" s="63"/>
      <c r="AQ2035" s="63"/>
      <c r="CA2035" s="256"/>
      <c r="CB2035" s="261"/>
      <c r="CC2035" s="255"/>
      <c r="CD2035" s="261"/>
      <c r="CE2035" s="261"/>
      <c r="CF2035" s="261"/>
      <c r="CG2035" s="261"/>
      <c r="CH2035" s="261"/>
      <c r="CI2035" s="261"/>
      <c r="CJ2035" s="261"/>
      <c r="CK2035" s="261"/>
      <c r="CL2035" s="255"/>
      <c r="CN2035" s="256"/>
      <c r="CO2035" s="256"/>
      <c r="CP2035" s="261"/>
      <c r="CQ2035" s="261"/>
      <c r="CR2035" s="255"/>
      <c r="CS2035" s="261"/>
      <c r="CT2035" s="261"/>
      <c r="CU2035" s="261"/>
      <c r="CV2035" s="261"/>
      <c r="CW2035" s="261"/>
      <c r="CX2035" s="261"/>
      <c r="CY2035" s="255"/>
    </row>
    <row r="2036" spans="1:103" ht="10.25" customHeight="1">
      <c r="A2036" s="270"/>
      <c r="D2036" s="372"/>
      <c r="E2036" s="372"/>
      <c r="F2036" s="272"/>
      <c r="G2036" s="272"/>
      <c r="H2036" s="272"/>
      <c r="I2036" s="273"/>
      <c r="J2036" s="273"/>
      <c r="K2036" s="273"/>
      <c r="L2036" s="275"/>
      <c r="M2036" s="269"/>
      <c r="N2036" s="269"/>
      <c r="O2036" s="63"/>
      <c r="P2036" s="63"/>
      <c r="Q2036" s="63"/>
      <c r="R2036" s="63"/>
      <c r="S2036" s="63"/>
      <c r="T2036" s="63"/>
      <c r="U2036" s="63"/>
      <c r="V2036" s="63"/>
      <c r="W2036" s="63"/>
      <c r="X2036" s="63"/>
      <c r="Y2036" s="63"/>
      <c r="Z2036" s="63"/>
      <c r="AA2036" s="63"/>
      <c r="AB2036" s="63"/>
      <c r="AC2036" s="63"/>
      <c r="AD2036" s="63"/>
      <c r="AE2036" s="63"/>
      <c r="AF2036" s="63"/>
      <c r="AG2036" s="63"/>
      <c r="AH2036" s="63"/>
      <c r="AI2036" s="63"/>
      <c r="AJ2036" s="63"/>
      <c r="AK2036" s="63"/>
      <c r="AL2036" s="63"/>
      <c r="AM2036" s="63"/>
      <c r="AN2036" s="63"/>
      <c r="AO2036" s="63"/>
      <c r="AP2036" s="63"/>
      <c r="AQ2036" s="63"/>
      <c r="CA2036" s="256"/>
      <c r="CB2036" s="261"/>
      <c r="CC2036" s="255"/>
      <c r="CD2036" s="261"/>
      <c r="CE2036" s="261"/>
      <c r="CF2036" s="261"/>
      <c r="CG2036" s="261"/>
      <c r="CH2036" s="261"/>
      <c r="CI2036" s="255"/>
      <c r="CJ2036" s="255"/>
      <c r="CK2036" s="261"/>
      <c r="CL2036" s="255"/>
      <c r="CN2036" s="256"/>
      <c r="CO2036" s="256"/>
      <c r="CP2036" s="261"/>
      <c r="CQ2036" s="261"/>
      <c r="CR2036" s="255"/>
      <c r="CS2036" s="261"/>
      <c r="CT2036" s="261"/>
      <c r="CU2036" s="261"/>
      <c r="CV2036" s="261"/>
      <c r="CW2036" s="255"/>
      <c r="CX2036" s="261"/>
      <c r="CY2036" s="255"/>
    </row>
    <row r="2037" spans="1:103" ht="10.25" customHeight="1">
      <c r="A2037" s="270"/>
      <c r="D2037" s="372"/>
      <c r="E2037" s="372"/>
      <c r="F2037" s="272"/>
      <c r="G2037" s="272"/>
      <c r="H2037" s="272"/>
      <c r="I2037" s="273"/>
      <c r="J2037" s="273"/>
      <c r="K2037" s="273"/>
      <c r="L2037" s="275"/>
      <c r="M2037" s="269"/>
      <c r="N2037" s="269"/>
      <c r="O2037" s="63"/>
      <c r="P2037" s="63"/>
      <c r="Q2037" s="63"/>
      <c r="R2037" s="63"/>
      <c r="S2037" s="63"/>
      <c r="T2037" s="63"/>
      <c r="U2037" s="63"/>
      <c r="V2037" s="63"/>
      <c r="W2037" s="63"/>
      <c r="X2037" s="63"/>
      <c r="Y2037" s="63"/>
      <c r="Z2037" s="63"/>
      <c r="AA2037" s="63"/>
      <c r="AB2037" s="63"/>
      <c r="AC2037" s="63"/>
      <c r="AD2037" s="63"/>
      <c r="AE2037" s="63"/>
      <c r="AF2037" s="63"/>
      <c r="AG2037" s="63"/>
      <c r="AH2037" s="63"/>
      <c r="AI2037" s="63"/>
      <c r="AJ2037" s="63"/>
      <c r="AK2037" s="63"/>
      <c r="AL2037" s="63"/>
      <c r="AM2037" s="63"/>
      <c r="AN2037" s="63"/>
      <c r="AO2037" s="63"/>
      <c r="AP2037" s="63"/>
      <c r="AQ2037" s="63"/>
      <c r="CA2037" s="256"/>
      <c r="CB2037" s="261"/>
      <c r="CC2037" s="255"/>
      <c r="CD2037" s="261"/>
      <c r="CE2037" s="261"/>
      <c r="CF2037" s="261"/>
      <c r="CG2037" s="255"/>
      <c r="CH2037" s="255"/>
      <c r="CI2037" s="261"/>
      <c r="CJ2037" s="261"/>
      <c r="CK2037" s="261"/>
      <c r="CL2037" s="255"/>
      <c r="CN2037" s="256"/>
      <c r="CO2037" s="256"/>
      <c r="CP2037" s="261"/>
      <c r="CQ2037" s="261"/>
      <c r="CR2037" s="255"/>
      <c r="CS2037" s="261"/>
      <c r="CT2037" s="261"/>
      <c r="CU2037" s="261"/>
      <c r="CV2037" s="255"/>
      <c r="CW2037" s="261"/>
      <c r="CX2037" s="261"/>
      <c r="CY2037" s="255"/>
    </row>
    <row r="2038" spans="1:103" ht="10.25" customHeight="1">
      <c r="A2038" s="270"/>
      <c r="D2038" s="372"/>
      <c r="E2038" s="372"/>
      <c r="F2038" s="272"/>
      <c r="G2038" s="272"/>
      <c r="H2038" s="272"/>
      <c r="I2038" s="273"/>
      <c r="J2038" s="273"/>
      <c r="K2038" s="273"/>
      <c r="L2038" s="275"/>
      <c r="M2038" s="269"/>
      <c r="N2038" s="269"/>
      <c r="O2038" s="63"/>
      <c r="P2038" s="63"/>
      <c r="Q2038" s="63"/>
      <c r="R2038" s="63"/>
      <c r="S2038" s="63"/>
      <c r="T2038" s="63"/>
      <c r="U2038" s="63"/>
      <c r="V2038" s="63"/>
      <c r="W2038" s="63"/>
      <c r="X2038" s="63"/>
      <c r="Y2038" s="63"/>
      <c r="Z2038" s="63"/>
      <c r="AA2038" s="63"/>
      <c r="AB2038" s="63"/>
      <c r="AC2038" s="63"/>
      <c r="AD2038" s="63"/>
      <c r="AE2038" s="63"/>
      <c r="AF2038" s="63"/>
      <c r="AG2038" s="63"/>
      <c r="AH2038" s="63"/>
      <c r="AI2038" s="63"/>
      <c r="AJ2038" s="63"/>
      <c r="AK2038" s="63"/>
      <c r="AL2038" s="63"/>
      <c r="AM2038" s="63"/>
      <c r="AN2038" s="63"/>
      <c r="AO2038" s="63"/>
      <c r="AP2038" s="63"/>
      <c r="AQ2038" s="63"/>
      <c r="CA2038" s="256"/>
      <c r="CB2038" s="261"/>
      <c r="CC2038" s="255"/>
      <c r="CD2038" s="261"/>
      <c r="CE2038" s="261"/>
      <c r="CF2038" s="261"/>
      <c r="CG2038" s="255"/>
      <c r="CH2038" s="255"/>
      <c r="CI2038" s="261"/>
      <c r="CJ2038" s="261"/>
      <c r="CK2038" s="261"/>
      <c r="CL2038" s="255"/>
      <c r="CN2038" s="256"/>
      <c r="CO2038" s="256"/>
      <c r="CP2038" s="261"/>
      <c r="CQ2038" s="261"/>
      <c r="CR2038" s="255"/>
      <c r="CS2038" s="261"/>
      <c r="CT2038" s="261"/>
      <c r="CU2038" s="261"/>
      <c r="CV2038" s="255"/>
      <c r="CW2038" s="261"/>
      <c r="CX2038" s="261"/>
      <c r="CY2038" s="255"/>
    </row>
    <row r="2039" spans="1:103" ht="10.25" customHeight="1">
      <c r="A2039" s="270"/>
      <c r="D2039" s="372"/>
      <c r="E2039" s="372"/>
      <c r="F2039" s="272"/>
      <c r="G2039" s="272"/>
      <c r="H2039" s="272"/>
      <c r="I2039" s="375"/>
      <c r="J2039" s="375"/>
      <c r="K2039" s="375"/>
      <c r="L2039" s="375"/>
      <c r="M2039" s="269"/>
      <c r="N2039" s="269"/>
      <c r="O2039" s="63"/>
      <c r="P2039" s="63"/>
      <c r="Q2039" s="63"/>
      <c r="R2039" s="63"/>
      <c r="S2039" s="63"/>
      <c r="T2039" s="63"/>
      <c r="U2039" s="63"/>
      <c r="V2039" s="63"/>
      <c r="W2039" s="63"/>
      <c r="X2039" s="63"/>
      <c r="Y2039" s="63"/>
      <c r="Z2039" s="63"/>
      <c r="AA2039" s="63"/>
      <c r="AB2039" s="63"/>
      <c r="AC2039" s="63"/>
      <c r="AD2039" s="63"/>
      <c r="AE2039" s="63"/>
      <c r="AF2039" s="63"/>
      <c r="AG2039" s="63"/>
      <c r="AH2039" s="63"/>
      <c r="AI2039" s="63"/>
      <c r="AJ2039" s="63"/>
      <c r="AK2039" s="63"/>
      <c r="AL2039" s="63"/>
      <c r="AM2039" s="63"/>
      <c r="AN2039" s="63"/>
      <c r="AO2039" s="63"/>
      <c r="AP2039" s="63"/>
      <c r="AQ2039" s="63"/>
      <c r="CA2039" s="256"/>
      <c r="CB2039" s="261"/>
      <c r="CC2039" s="255"/>
      <c r="CD2039" s="261"/>
      <c r="CE2039" s="261"/>
      <c r="CF2039" s="261"/>
      <c r="CG2039" s="261"/>
      <c r="CH2039" s="261"/>
      <c r="CI2039" s="261"/>
      <c r="CJ2039" s="261"/>
      <c r="CK2039" s="261"/>
      <c r="CL2039" s="255"/>
      <c r="CN2039" s="256"/>
      <c r="CO2039" s="256"/>
      <c r="CP2039" s="261"/>
      <c r="CQ2039" s="261"/>
      <c r="CR2039" s="255"/>
      <c r="CS2039" s="261"/>
      <c r="CT2039" s="261"/>
      <c r="CU2039" s="261"/>
      <c r="CV2039" s="261"/>
      <c r="CW2039" s="261"/>
      <c r="CX2039" s="261"/>
      <c r="CY2039" s="255"/>
    </row>
    <row r="2040" spans="1:103" ht="10.25" customHeight="1">
      <c r="A2040" s="270"/>
      <c r="D2040" s="372"/>
      <c r="E2040" s="372"/>
      <c r="H2040" s="209"/>
      <c r="I2040" s="213"/>
      <c r="J2040" s="213"/>
      <c r="K2040" s="213"/>
      <c r="L2040" s="213"/>
      <c r="M2040" s="213"/>
      <c r="N2040" s="213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  <c r="AL2040" s="5"/>
      <c r="AM2040" s="5"/>
      <c r="AN2040" s="5"/>
      <c r="AO2040" s="5"/>
      <c r="AP2040" s="5"/>
      <c r="AQ2040" s="5"/>
      <c r="CA2040" s="256"/>
      <c r="CB2040" s="261"/>
      <c r="CC2040" s="255"/>
      <c r="CD2040" s="261"/>
      <c r="CE2040" s="261"/>
      <c r="CF2040" s="261"/>
      <c r="CG2040" s="261"/>
      <c r="CH2040" s="261"/>
      <c r="CI2040" s="261"/>
      <c r="CJ2040" s="261"/>
      <c r="CK2040" s="261"/>
      <c r="CL2040" s="255"/>
      <c r="CN2040" s="256"/>
      <c r="CO2040" s="256"/>
      <c r="CP2040" s="261"/>
      <c r="CQ2040" s="261"/>
      <c r="CR2040" s="255"/>
      <c r="CS2040" s="261"/>
      <c r="CT2040" s="261"/>
      <c r="CU2040" s="261"/>
      <c r="CV2040" s="261"/>
      <c r="CW2040" s="261"/>
      <c r="CX2040" s="261"/>
      <c r="CY2040" s="255"/>
    </row>
    <row r="2041" spans="1:103" ht="10.25" customHeight="1">
      <c r="A2041" s="270"/>
      <c r="C2041" s="269"/>
      <c r="D2041" s="275"/>
      <c r="E2041" s="275"/>
      <c r="F2041" s="209"/>
      <c r="G2041" s="209"/>
      <c r="H2041" s="209"/>
      <c r="I2041" s="209"/>
      <c r="J2041" s="209"/>
      <c r="K2041" s="209"/>
      <c r="L2041" s="376"/>
      <c r="M2041" s="376"/>
      <c r="N2041" s="279"/>
      <c r="O2041" s="51"/>
      <c r="P2041" s="51"/>
      <c r="Q2041" s="51"/>
      <c r="R2041" s="51"/>
      <c r="S2041" s="51"/>
      <c r="T2041" s="51"/>
      <c r="U2041" s="51"/>
      <c r="V2041" s="51"/>
      <c r="W2041" s="51"/>
      <c r="X2041" s="51"/>
      <c r="Y2041" s="51"/>
      <c r="Z2041" s="51"/>
      <c r="AA2041" s="51"/>
      <c r="AB2041" s="51"/>
      <c r="AC2041" s="51"/>
      <c r="AD2041" s="51"/>
      <c r="AE2041" s="51"/>
      <c r="AF2041" s="51"/>
      <c r="AG2041" s="51"/>
      <c r="AH2041" s="51"/>
      <c r="AI2041" s="51"/>
      <c r="AJ2041" s="51"/>
      <c r="AK2041" s="51"/>
      <c r="AL2041" s="51"/>
      <c r="AM2041" s="51"/>
      <c r="AN2041" s="51"/>
      <c r="AO2041" s="51"/>
      <c r="AP2041" s="51"/>
      <c r="AQ2041" s="51"/>
      <c r="CA2041" s="256"/>
      <c r="CB2041" s="261"/>
      <c r="CC2041" s="255"/>
      <c r="CD2041" s="261"/>
      <c r="CE2041" s="261"/>
      <c r="CF2041" s="261"/>
      <c r="CG2041" s="261"/>
      <c r="CH2041" s="261"/>
      <c r="CI2041" s="261"/>
      <c r="CJ2041" s="261"/>
      <c r="CK2041" s="261"/>
      <c r="CL2041" s="255"/>
      <c r="CN2041" s="256"/>
      <c r="CO2041" s="256"/>
      <c r="CP2041" s="261"/>
      <c r="CQ2041" s="261"/>
      <c r="CR2041" s="255"/>
      <c r="CS2041" s="261"/>
      <c r="CT2041" s="261"/>
      <c r="CU2041" s="261"/>
      <c r="CV2041" s="261"/>
      <c r="CW2041" s="261"/>
      <c r="CX2041" s="261"/>
      <c r="CY2041" s="255"/>
    </row>
    <row r="2042" spans="1:103" ht="10.25" customHeight="1">
      <c r="A2042" s="270"/>
      <c r="C2042" s="269"/>
      <c r="D2042" s="269"/>
      <c r="F2042" s="209"/>
      <c r="G2042" s="209"/>
      <c r="H2042" s="276"/>
      <c r="I2042" s="276"/>
      <c r="J2042" s="276"/>
      <c r="K2042" s="276"/>
      <c r="L2042" s="374"/>
      <c r="M2042" s="374"/>
      <c r="N2042" s="213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  <c r="AP2042" s="5"/>
      <c r="AQ2042" s="5"/>
      <c r="CA2042" s="256"/>
      <c r="CB2042" s="261"/>
      <c r="CC2042" s="255"/>
      <c r="CD2042" s="261"/>
      <c r="CE2042" s="261"/>
      <c r="CF2042" s="261"/>
      <c r="CG2042" s="261"/>
      <c r="CH2042" s="261"/>
      <c r="CI2042" s="261"/>
      <c r="CJ2042" s="261"/>
      <c r="CK2042" s="261"/>
      <c r="CL2042" s="255"/>
      <c r="CN2042" s="256"/>
      <c r="CO2042" s="256"/>
      <c r="CP2042" s="261"/>
      <c r="CQ2042" s="261"/>
      <c r="CR2042" s="255"/>
      <c r="CS2042" s="261"/>
      <c r="CT2042" s="261"/>
      <c r="CU2042" s="261"/>
      <c r="CV2042" s="261"/>
      <c r="CW2042" s="261"/>
      <c r="CX2042" s="261"/>
      <c r="CY2042" s="255"/>
    </row>
    <row r="2043" spans="1:103" ht="10.25" customHeight="1">
      <c r="A2043" s="270"/>
      <c r="D2043" s="269"/>
      <c r="F2043" s="208"/>
      <c r="G2043" s="208"/>
      <c r="H2043" s="277"/>
      <c r="I2043" s="277"/>
      <c r="J2043" s="277"/>
      <c r="K2043" s="277"/>
      <c r="L2043" s="372"/>
      <c r="M2043" s="372"/>
      <c r="N2043" s="214"/>
      <c r="O2043" s="41"/>
      <c r="P2043" s="41"/>
      <c r="Q2043" s="41"/>
      <c r="R2043" s="41"/>
      <c r="S2043" s="41"/>
      <c r="T2043" s="41"/>
      <c r="U2043" s="41"/>
      <c r="V2043" s="41"/>
      <c r="W2043" s="41"/>
      <c r="X2043" s="41"/>
      <c r="Y2043" s="41"/>
      <c r="Z2043" s="41"/>
      <c r="AA2043" s="41"/>
      <c r="AB2043" s="41"/>
      <c r="AC2043" s="41"/>
      <c r="AD2043" s="41"/>
      <c r="AE2043" s="41"/>
      <c r="AF2043" s="41"/>
      <c r="AG2043" s="41"/>
      <c r="AH2043" s="41"/>
      <c r="AI2043" s="41"/>
      <c r="AJ2043" s="41"/>
      <c r="AK2043" s="41"/>
      <c r="AL2043" s="41"/>
      <c r="AM2043" s="41"/>
      <c r="AN2043" s="41"/>
      <c r="AO2043" s="41"/>
      <c r="AP2043" s="41"/>
      <c r="AQ2043" s="41"/>
      <c r="CA2043" s="256"/>
      <c r="CB2043" s="261"/>
      <c r="CC2043" s="255"/>
      <c r="CD2043" s="261"/>
      <c r="CE2043" s="261"/>
      <c r="CF2043" s="261"/>
      <c r="CG2043" s="261"/>
      <c r="CH2043" s="261"/>
      <c r="CI2043" s="261"/>
      <c r="CJ2043" s="261"/>
      <c r="CK2043" s="261"/>
      <c r="CL2043" s="255"/>
      <c r="CN2043" s="256"/>
      <c r="CO2043" s="256"/>
      <c r="CP2043" s="261"/>
      <c r="CQ2043" s="261"/>
      <c r="CR2043" s="255"/>
      <c r="CS2043" s="261"/>
      <c r="CT2043" s="261"/>
      <c r="CU2043" s="261"/>
      <c r="CV2043" s="261"/>
      <c r="CW2043" s="261"/>
      <c r="CX2043" s="261"/>
      <c r="CY2043" s="255"/>
    </row>
    <row r="2044" spans="1:103" ht="10.25" customHeight="1">
      <c r="CA2044" s="256"/>
      <c r="CB2044" s="261"/>
      <c r="CC2044" s="255"/>
      <c r="CD2044" s="261"/>
      <c r="CE2044" s="261"/>
      <c r="CF2044" s="255"/>
      <c r="CG2044" s="261"/>
      <c r="CH2044" s="261"/>
      <c r="CI2044" s="261"/>
      <c r="CJ2044" s="261"/>
      <c r="CK2044" s="261"/>
      <c r="CL2044" s="255"/>
      <c r="CN2044" s="256"/>
      <c r="CO2044" s="256"/>
      <c r="CP2044" s="261"/>
      <c r="CQ2044" s="261"/>
      <c r="CR2044" s="255"/>
      <c r="CS2044" s="261"/>
      <c r="CT2044" s="261"/>
      <c r="CU2044" s="255"/>
      <c r="CV2044" s="261"/>
      <c r="CW2044" s="261"/>
      <c r="CX2044" s="261"/>
      <c r="CY2044" s="255"/>
    </row>
    <row r="2045" spans="1:103" ht="10.25" customHeight="1">
      <c r="C2045" s="278"/>
      <c r="CA2045" s="256"/>
      <c r="CB2045" s="261"/>
      <c r="CC2045" s="255"/>
      <c r="CD2045" s="261"/>
      <c r="CE2045" s="261"/>
      <c r="CF2045" s="255"/>
      <c r="CG2045" s="261"/>
      <c r="CH2045" s="261"/>
      <c r="CI2045" s="261"/>
      <c r="CJ2045" s="261"/>
      <c r="CK2045" s="261"/>
      <c r="CL2045" s="255"/>
      <c r="CN2045" s="256"/>
      <c r="CO2045" s="256"/>
      <c r="CP2045" s="261"/>
      <c r="CQ2045" s="261"/>
      <c r="CR2045" s="255"/>
      <c r="CS2045" s="261"/>
      <c r="CT2045" s="261"/>
      <c r="CU2045" s="255"/>
      <c r="CV2045" s="261"/>
      <c r="CW2045" s="261"/>
      <c r="CX2045" s="261"/>
      <c r="CY2045" s="255"/>
    </row>
    <row r="2046" spans="1:103" ht="10.25" customHeight="1">
      <c r="C2046" s="278"/>
      <c r="F2046" s="377"/>
      <c r="G2046" s="377"/>
      <c r="H2046" s="377"/>
      <c r="I2046" s="377"/>
      <c r="J2046" s="377"/>
      <c r="K2046" s="377"/>
      <c r="L2046" s="377"/>
      <c r="M2046" s="377"/>
      <c r="N2046" s="269"/>
      <c r="O2046" s="63"/>
      <c r="P2046" s="63"/>
      <c r="Q2046" s="63"/>
      <c r="R2046" s="63"/>
      <c r="S2046" s="63"/>
      <c r="T2046" s="63"/>
      <c r="U2046" s="63"/>
      <c r="V2046" s="63"/>
      <c r="W2046" s="63"/>
      <c r="X2046" s="63"/>
      <c r="Y2046" s="63"/>
      <c r="Z2046" s="63"/>
      <c r="AA2046" s="63"/>
      <c r="AB2046" s="63"/>
      <c r="AC2046" s="63"/>
      <c r="AD2046" s="63"/>
      <c r="AE2046" s="63"/>
      <c r="AF2046" s="63"/>
      <c r="AG2046" s="63"/>
      <c r="AH2046" s="63"/>
      <c r="AI2046" s="63"/>
      <c r="AJ2046" s="63"/>
      <c r="AK2046" s="63"/>
      <c r="AL2046" s="63"/>
      <c r="AM2046" s="63"/>
      <c r="AN2046" s="63"/>
      <c r="AO2046" s="63"/>
      <c r="AP2046" s="63"/>
      <c r="AQ2046" s="63"/>
      <c r="CA2046" s="256"/>
      <c r="CB2046" s="261"/>
      <c r="CC2046" s="255"/>
      <c r="CD2046" s="261"/>
      <c r="CE2046" s="261"/>
      <c r="CF2046" s="255"/>
      <c r="CG2046" s="261"/>
      <c r="CH2046" s="261"/>
      <c r="CI2046" s="261"/>
      <c r="CJ2046" s="261"/>
      <c r="CK2046" s="261"/>
      <c r="CL2046" s="255"/>
      <c r="CN2046" s="256"/>
      <c r="CO2046" s="256"/>
      <c r="CP2046" s="261"/>
      <c r="CQ2046" s="261"/>
      <c r="CR2046" s="255"/>
      <c r="CS2046" s="261"/>
      <c r="CT2046" s="261"/>
      <c r="CU2046" s="255"/>
      <c r="CV2046" s="261"/>
      <c r="CW2046" s="261"/>
      <c r="CX2046" s="261"/>
      <c r="CY2046" s="255"/>
    </row>
  </sheetData>
  <sheetProtection algorithmName="SHA-512" hashValue="eitUa2VkbbsfKrxPImuEocqwYb4doTMTQCX/jTzfAZDSTdOqhAhAT3pFSrVTRMh58tfnw7npBvBgpCLLiTa4cg==" saltValue="Uq4VzQu6DiLRO84r3wMjsw==" spinCount="100000" sheet="1" scenarios="1" formatCells="0" formatRows="0" sort="0"/>
  <mergeCells count="679">
    <mergeCell ref="DJ9:DK10"/>
    <mergeCell ref="DL9:DM10"/>
    <mergeCell ref="DN9:DO10"/>
    <mergeCell ref="CD4:CE5"/>
    <mergeCell ref="CF4:CG5"/>
    <mergeCell ref="CA4:CB5"/>
    <mergeCell ref="CI4:CK5"/>
    <mergeCell ref="A7:C8"/>
    <mergeCell ref="BK7:BT8"/>
    <mergeCell ref="BV7:CE8"/>
    <mergeCell ref="CV7:DE8"/>
    <mergeCell ref="DG7:DP8"/>
    <mergeCell ref="BK9:BL10"/>
    <mergeCell ref="BY9:BZ10"/>
    <mergeCell ref="CA9:CB10"/>
    <mergeCell ref="CC9:CD10"/>
    <mergeCell ref="CY9:CZ10"/>
    <mergeCell ref="DA9:DB10"/>
    <mergeCell ref="DC9:DD10"/>
    <mergeCell ref="DG9:DH10"/>
    <mergeCell ref="CS7:CS8"/>
    <mergeCell ref="CT7:CT8"/>
    <mergeCell ref="CX9:CX10"/>
    <mergeCell ref="DE9:DE10"/>
    <mergeCell ref="BN9:BO10"/>
    <mergeCell ref="BP9:BQ10"/>
    <mergeCell ref="BR9:BS10"/>
    <mergeCell ref="BV9:BW10"/>
    <mergeCell ref="CV9:CW10"/>
    <mergeCell ref="CK7:CK8"/>
    <mergeCell ref="CL4:CL5"/>
    <mergeCell ref="CL7:CL8"/>
    <mergeCell ref="CM7:CM8"/>
    <mergeCell ref="CN7:CN8"/>
    <mergeCell ref="CO7:CO8"/>
    <mergeCell ref="CP7:CP8"/>
    <mergeCell ref="CQ7:CQ8"/>
    <mergeCell ref="CR7:CR8"/>
    <mergeCell ref="CN6:CT6"/>
    <mergeCell ref="M1965:M1966"/>
    <mergeCell ref="N7:N8"/>
    <mergeCell ref="BA7:BA8"/>
    <mergeCell ref="BB7:BB8"/>
    <mergeCell ref="BE7:BE8"/>
    <mergeCell ref="BF7:BF8"/>
    <mergeCell ref="BG7:BG8"/>
    <mergeCell ref="BH7:BH8"/>
    <mergeCell ref="BI7:BI8"/>
    <mergeCell ref="M1164:M1165"/>
    <mergeCell ref="M1253:M1254"/>
    <mergeCell ref="M1342:M1343"/>
    <mergeCell ref="M1431:M1432"/>
    <mergeCell ref="M1520:M1521"/>
    <mergeCell ref="M1609:M1610"/>
    <mergeCell ref="M1698:M1699"/>
    <mergeCell ref="M1787:M1788"/>
    <mergeCell ref="M1876:M1877"/>
    <mergeCell ref="M363:M364"/>
    <mergeCell ref="M452:M453"/>
    <mergeCell ref="M541:M542"/>
    <mergeCell ref="M630:M631"/>
    <mergeCell ref="M719:M720"/>
    <mergeCell ref="M808:M809"/>
    <mergeCell ref="M897:M898"/>
    <mergeCell ref="M986:M987"/>
    <mergeCell ref="M1075:M1076"/>
    <mergeCell ref="G7:G8"/>
    <mergeCell ref="H7:H8"/>
    <mergeCell ref="H96:H97"/>
    <mergeCell ref="H185:H186"/>
    <mergeCell ref="H274:H275"/>
    <mergeCell ref="H363:H364"/>
    <mergeCell ref="H452:H453"/>
    <mergeCell ref="H541:H542"/>
    <mergeCell ref="H630:H631"/>
    <mergeCell ref="F1073:L1073"/>
    <mergeCell ref="I1075:K1075"/>
    <mergeCell ref="F984:L984"/>
    <mergeCell ref="I986:K986"/>
    <mergeCell ref="F895:L895"/>
    <mergeCell ref="I897:K897"/>
    <mergeCell ref="F806:L806"/>
    <mergeCell ref="I808:K808"/>
    <mergeCell ref="F355:M355"/>
    <mergeCell ref="F356:M356"/>
    <mergeCell ref="A357:M357"/>
    <mergeCell ref="A358:M358"/>
    <mergeCell ref="F7:F8"/>
    <mergeCell ref="F96:F97"/>
    <mergeCell ref="F185:F186"/>
    <mergeCell ref="F274:F275"/>
    <mergeCell ref="F363:F364"/>
    <mergeCell ref="F452:F453"/>
    <mergeCell ref="F541:F542"/>
    <mergeCell ref="F630:F631"/>
    <mergeCell ref="F719:F720"/>
    <mergeCell ref="F717:L717"/>
    <mergeCell ref="I719:K719"/>
    <mergeCell ref="L706:M706"/>
    <mergeCell ref="L707:M707"/>
    <mergeCell ref="L708:M708"/>
    <mergeCell ref="F711:M711"/>
    <mergeCell ref="F712:M712"/>
    <mergeCell ref="F539:L539"/>
    <mergeCell ref="I541:K541"/>
    <mergeCell ref="F450:L450"/>
    <mergeCell ref="I452:K452"/>
    <mergeCell ref="I363:K363"/>
    <mergeCell ref="L350:M350"/>
    <mergeCell ref="L351:M351"/>
    <mergeCell ref="L352:M352"/>
    <mergeCell ref="E7:E8"/>
    <mergeCell ref="E96:E97"/>
    <mergeCell ref="E185:E186"/>
    <mergeCell ref="E274:E275"/>
    <mergeCell ref="E363:E364"/>
    <mergeCell ref="E452:E453"/>
    <mergeCell ref="E541:E542"/>
    <mergeCell ref="E630:E631"/>
    <mergeCell ref="E719:E720"/>
    <mergeCell ref="D705:E705"/>
    <mergeCell ref="A713:M713"/>
    <mergeCell ref="A714:M714"/>
    <mergeCell ref="A715:M715"/>
    <mergeCell ref="F628:L628"/>
    <mergeCell ref="I630:K630"/>
    <mergeCell ref="A697:C697"/>
    <mergeCell ref="D698:E698"/>
    <mergeCell ref="D699:E699"/>
    <mergeCell ref="D701:E701"/>
    <mergeCell ref="D702:E702"/>
    <mergeCell ref="D703:E703"/>
    <mergeCell ref="D704:E704"/>
    <mergeCell ref="I704:L704"/>
    <mergeCell ref="L630:L631"/>
    <mergeCell ref="D2040:E2040"/>
    <mergeCell ref="L2041:M2041"/>
    <mergeCell ref="L2042:M2042"/>
    <mergeCell ref="L2043:M2043"/>
    <mergeCell ref="F2046:M2046"/>
    <mergeCell ref="D7:D8"/>
    <mergeCell ref="D96:D97"/>
    <mergeCell ref="D185:D186"/>
    <mergeCell ref="D274:D275"/>
    <mergeCell ref="D363:D364"/>
    <mergeCell ref="D452:D453"/>
    <mergeCell ref="D541:D542"/>
    <mergeCell ref="D630:D631"/>
    <mergeCell ref="D719:D720"/>
    <mergeCell ref="D808:D809"/>
    <mergeCell ref="D897:D898"/>
    <mergeCell ref="D986:D987"/>
    <mergeCell ref="D1075:D1076"/>
    <mergeCell ref="D1164:D1165"/>
    <mergeCell ref="D1253:D1254"/>
    <mergeCell ref="D1342:D1343"/>
    <mergeCell ref="D1431:D1432"/>
    <mergeCell ref="D1520:D1521"/>
    <mergeCell ref="D1609:D1610"/>
    <mergeCell ref="F1963:L1963"/>
    <mergeCell ref="I1965:K1965"/>
    <mergeCell ref="A2032:C2032"/>
    <mergeCell ref="D2033:E2033"/>
    <mergeCell ref="D2034:E2034"/>
    <mergeCell ref="D2036:E2036"/>
    <mergeCell ref="D2037:E2037"/>
    <mergeCell ref="D2038:E2038"/>
    <mergeCell ref="D2039:E2039"/>
    <mergeCell ref="I2039:L2039"/>
    <mergeCell ref="D1965:D1966"/>
    <mergeCell ref="E1965:E1966"/>
    <mergeCell ref="F1965:F1966"/>
    <mergeCell ref="H1965:H1966"/>
    <mergeCell ref="L1965:L1966"/>
    <mergeCell ref="A1965:C1966"/>
    <mergeCell ref="D1951:E1951"/>
    <mergeCell ref="L1952:M1952"/>
    <mergeCell ref="L1953:M1953"/>
    <mergeCell ref="L1954:M1954"/>
    <mergeCell ref="F1957:M1957"/>
    <mergeCell ref="F1958:M1958"/>
    <mergeCell ref="A1959:M1959"/>
    <mergeCell ref="A1960:M1960"/>
    <mergeCell ref="A1961:M1961"/>
    <mergeCell ref="F1874:L1874"/>
    <mergeCell ref="I1876:K1876"/>
    <mergeCell ref="A1943:C1943"/>
    <mergeCell ref="D1944:E1944"/>
    <mergeCell ref="D1945:E1945"/>
    <mergeCell ref="D1947:E1947"/>
    <mergeCell ref="D1948:E1948"/>
    <mergeCell ref="D1949:E1949"/>
    <mergeCell ref="D1950:E1950"/>
    <mergeCell ref="I1950:L1950"/>
    <mergeCell ref="D1876:D1877"/>
    <mergeCell ref="E1876:E1877"/>
    <mergeCell ref="F1876:F1877"/>
    <mergeCell ref="H1876:H1877"/>
    <mergeCell ref="L1876:L1877"/>
    <mergeCell ref="A1876:C1877"/>
    <mergeCell ref="D1862:E1862"/>
    <mergeCell ref="L1863:M1863"/>
    <mergeCell ref="L1864:M1864"/>
    <mergeCell ref="L1865:M1865"/>
    <mergeCell ref="F1868:M1868"/>
    <mergeCell ref="F1869:M1869"/>
    <mergeCell ref="A1870:M1870"/>
    <mergeCell ref="A1871:M1871"/>
    <mergeCell ref="A1872:M1872"/>
    <mergeCell ref="F1785:L1785"/>
    <mergeCell ref="I1787:K1787"/>
    <mergeCell ref="A1854:C1854"/>
    <mergeCell ref="D1855:E1855"/>
    <mergeCell ref="D1856:E1856"/>
    <mergeCell ref="D1858:E1858"/>
    <mergeCell ref="D1859:E1859"/>
    <mergeCell ref="D1860:E1860"/>
    <mergeCell ref="D1861:E1861"/>
    <mergeCell ref="I1861:L1861"/>
    <mergeCell ref="D1787:D1788"/>
    <mergeCell ref="E1787:E1788"/>
    <mergeCell ref="F1787:F1788"/>
    <mergeCell ref="H1787:H1788"/>
    <mergeCell ref="L1787:L1788"/>
    <mergeCell ref="A1787:C1788"/>
    <mergeCell ref="D1773:E1773"/>
    <mergeCell ref="L1774:M1774"/>
    <mergeCell ref="L1775:M1775"/>
    <mergeCell ref="L1776:M1776"/>
    <mergeCell ref="F1779:M1779"/>
    <mergeCell ref="F1780:M1780"/>
    <mergeCell ref="A1781:M1781"/>
    <mergeCell ref="A1782:M1782"/>
    <mergeCell ref="A1783:M1783"/>
    <mergeCell ref="F1696:L1696"/>
    <mergeCell ref="I1698:K1698"/>
    <mergeCell ref="A1765:C1765"/>
    <mergeCell ref="D1766:E1766"/>
    <mergeCell ref="D1767:E1767"/>
    <mergeCell ref="D1769:E1769"/>
    <mergeCell ref="D1770:E1770"/>
    <mergeCell ref="D1771:E1771"/>
    <mergeCell ref="D1772:E1772"/>
    <mergeCell ref="I1772:L1772"/>
    <mergeCell ref="D1698:D1699"/>
    <mergeCell ref="E1698:E1699"/>
    <mergeCell ref="F1698:F1699"/>
    <mergeCell ref="H1698:H1699"/>
    <mergeCell ref="L1698:L1699"/>
    <mergeCell ref="A1698:C1699"/>
    <mergeCell ref="D1684:E1684"/>
    <mergeCell ref="L1685:M1685"/>
    <mergeCell ref="L1686:M1686"/>
    <mergeCell ref="L1687:M1687"/>
    <mergeCell ref="F1690:M1690"/>
    <mergeCell ref="F1691:M1691"/>
    <mergeCell ref="A1692:M1692"/>
    <mergeCell ref="A1693:M1693"/>
    <mergeCell ref="A1694:M1694"/>
    <mergeCell ref="F1607:L1607"/>
    <mergeCell ref="I1609:K1609"/>
    <mergeCell ref="A1676:C1676"/>
    <mergeCell ref="D1677:E1677"/>
    <mergeCell ref="D1678:E1678"/>
    <mergeCell ref="D1680:E1680"/>
    <mergeCell ref="D1681:E1681"/>
    <mergeCell ref="D1682:E1682"/>
    <mergeCell ref="D1683:E1683"/>
    <mergeCell ref="I1683:L1683"/>
    <mergeCell ref="E1609:E1610"/>
    <mergeCell ref="F1609:F1610"/>
    <mergeCell ref="H1609:H1610"/>
    <mergeCell ref="L1609:L1610"/>
    <mergeCell ref="A1609:C1610"/>
    <mergeCell ref="D1595:E1595"/>
    <mergeCell ref="L1596:M1596"/>
    <mergeCell ref="L1597:M1597"/>
    <mergeCell ref="L1598:M1598"/>
    <mergeCell ref="F1601:M1601"/>
    <mergeCell ref="F1602:M1602"/>
    <mergeCell ref="A1603:M1603"/>
    <mergeCell ref="A1604:M1604"/>
    <mergeCell ref="A1605:M1605"/>
    <mergeCell ref="F1518:L1518"/>
    <mergeCell ref="I1520:K1520"/>
    <mergeCell ref="A1587:C1587"/>
    <mergeCell ref="D1588:E1588"/>
    <mergeCell ref="D1589:E1589"/>
    <mergeCell ref="D1591:E1591"/>
    <mergeCell ref="D1592:E1592"/>
    <mergeCell ref="D1593:E1593"/>
    <mergeCell ref="D1594:E1594"/>
    <mergeCell ref="I1594:L1594"/>
    <mergeCell ref="E1520:E1521"/>
    <mergeCell ref="F1520:F1521"/>
    <mergeCell ref="H1520:H1521"/>
    <mergeCell ref="L1520:L1521"/>
    <mergeCell ref="A1520:C1521"/>
    <mergeCell ref="D1506:E1506"/>
    <mergeCell ref="L1507:M1507"/>
    <mergeCell ref="L1508:M1508"/>
    <mergeCell ref="L1509:M1509"/>
    <mergeCell ref="F1512:M1512"/>
    <mergeCell ref="F1513:M1513"/>
    <mergeCell ref="A1514:M1514"/>
    <mergeCell ref="A1515:M1515"/>
    <mergeCell ref="A1516:M1516"/>
    <mergeCell ref="F1429:L1429"/>
    <mergeCell ref="I1431:K1431"/>
    <mergeCell ref="A1498:C1498"/>
    <mergeCell ref="D1499:E1499"/>
    <mergeCell ref="D1500:E1500"/>
    <mergeCell ref="D1502:E1502"/>
    <mergeCell ref="D1503:E1503"/>
    <mergeCell ref="D1504:E1504"/>
    <mergeCell ref="D1505:E1505"/>
    <mergeCell ref="I1505:L1505"/>
    <mergeCell ref="E1431:E1432"/>
    <mergeCell ref="F1431:F1432"/>
    <mergeCell ref="H1431:H1432"/>
    <mergeCell ref="L1431:L1432"/>
    <mergeCell ref="A1431:C1432"/>
    <mergeCell ref="D1417:E1417"/>
    <mergeCell ref="L1418:M1418"/>
    <mergeCell ref="L1419:M1419"/>
    <mergeCell ref="L1420:M1420"/>
    <mergeCell ref="F1423:M1423"/>
    <mergeCell ref="F1424:M1424"/>
    <mergeCell ref="A1425:M1425"/>
    <mergeCell ref="A1426:M1426"/>
    <mergeCell ref="A1427:M1427"/>
    <mergeCell ref="F1340:L1340"/>
    <mergeCell ref="I1342:K1342"/>
    <mergeCell ref="A1409:C1409"/>
    <mergeCell ref="D1410:E1410"/>
    <mergeCell ref="D1411:E1411"/>
    <mergeCell ref="D1413:E1413"/>
    <mergeCell ref="D1414:E1414"/>
    <mergeCell ref="D1415:E1415"/>
    <mergeCell ref="D1416:E1416"/>
    <mergeCell ref="I1416:L1416"/>
    <mergeCell ref="E1342:E1343"/>
    <mergeCell ref="F1342:F1343"/>
    <mergeCell ref="H1342:H1343"/>
    <mergeCell ref="L1342:L1343"/>
    <mergeCell ref="A1342:C1343"/>
    <mergeCell ref="D1328:E1328"/>
    <mergeCell ref="L1329:M1329"/>
    <mergeCell ref="L1330:M1330"/>
    <mergeCell ref="L1331:M1331"/>
    <mergeCell ref="F1334:M1334"/>
    <mergeCell ref="F1335:M1335"/>
    <mergeCell ref="A1336:M1336"/>
    <mergeCell ref="A1337:M1337"/>
    <mergeCell ref="A1338:M1338"/>
    <mergeCell ref="F1251:L1251"/>
    <mergeCell ref="I1253:K1253"/>
    <mergeCell ref="A1320:C1320"/>
    <mergeCell ref="D1321:E1321"/>
    <mergeCell ref="D1322:E1322"/>
    <mergeCell ref="D1324:E1324"/>
    <mergeCell ref="D1325:E1325"/>
    <mergeCell ref="D1326:E1326"/>
    <mergeCell ref="D1327:E1327"/>
    <mergeCell ref="I1327:L1327"/>
    <mergeCell ref="E1253:E1254"/>
    <mergeCell ref="F1253:F1254"/>
    <mergeCell ref="H1253:H1254"/>
    <mergeCell ref="L1253:L1254"/>
    <mergeCell ref="A1253:C1254"/>
    <mergeCell ref="D1239:E1239"/>
    <mergeCell ref="L1240:M1240"/>
    <mergeCell ref="L1241:M1241"/>
    <mergeCell ref="L1242:M1242"/>
    <mergeCell ref="F1245:M1245"/>
    <mergeCell ref="F1246:M1246"/>
    <mergeCell ref="A1247:M1247"/>
    <mergeCell ref="A1248:M1248"/>
    <mergeCell ref="A1249:M1249"/>
    <mergeCell ref="F1162:L1162"/>
    <mergeCell ref="I1164:K1164"/>
    <mergeCell ref="A1231:C1231"/>
    <mergeCell ref="D1232:E1232"/>
    <mergeCell ref="D1233:E1233"/>
    <mergeCell ref="D1235:E1235"/>
    <mergeCell ref="D1236:E1236"/>
    <mergeCell ref="D1237:E1237"/>
    <mergeCell ref="D1238:E1238"/>
    <mergeCell ref="I1238:L1238"/>
    <mergeCell ref="E1164:E1165"/>
    <mergeCell ref="F1164:F1165"/>
    <mergeCell ref="H1164:H1165"/>
    <mergeCell ref="L1164:L1165"/>
    <mergeCell ref="A1164:C1165"/>
    <mergeCell ref="D1150:E1150"/>
    <mergeCell ref="L1151:M1151"/>
    <mergeCell ref="L1152:M1152"/>
    <mergeCell ref="L1153:M1153"/>
    <mergeCell ref="F1156:M1156"/>
    <mergeCell ref="F1157:M1157"/>
    <mergeCell ref="A1158:M1158"/>
    <mergeCell ref="A1159:M1159"/>
    <mergeCell ref="A1160:M1160"/>
    <mergeCell ref="A1142:C1142"/>
    <mergeCell ref="D1143:E1143"/>
    <mergeCell ref="D1144:E1144"/>
    <mergeCell ref="D1146:E1146"/>
    <mergeCell ref="D1147:E1147"/>
    <mergeCell ref="D1148:E1148"/>
    <mergeCell ref="D1149:E1149"/>
    <mergeCell ref="I1149:L1149"/>
    <mergeCell ref="E1075:E1076"/>
    <mergeCell ref="F1075:F1076"/>
    <mergeCell ref="H1075:H1076"/>
    <mergeCell ref="L1075:L1076"/>
    <mergeCell ref="A1075:C1076"/>
    <mergeCell ref="D1061:E1061"/>
    <mergeCell ref="L1062:M1062"/>
    <mergeCell ref="L1063:M1063"/>
    <mergeCell ref="L1064:M1064"/>
    <mergeCell ref="F1067:M1067"/>
    <mergeCell ref="F1068:M1068"/>
    <mergeCell ref="A1069:M1069"/>
    <mergeCell ref="A1070:M1070"/>
    <mergeCell ref="A1071:M1071"/>
    <mergeCell ref="A1053:C1053"/>
    <mergeCell ref="D1054:E1054"/>
    <mergeCell ref="D1055:E1055"/>
    <mergeCell ref="D1057:E1057"/>
    <mergeCell ref="D1058:E1058"/>
    <mergeCell ref="D1059:E1059"/>
    <mergeCell ref="D1060:E1060"/>
    <mergeCell ref="I1060:L1060"/>
    <mergeCell ref="E986:E987"/>
    <mergeCell ref="F986:F987"/>
    <mergeCell ref="H986:H987"/>
    <mergeCell ref="L986:L987"/>
    <mergeCell ref="A986:C987"/>
    <mergeCell ref="D972:E972"/>
    <mergeCell ref="L973:M973"/>
    <mergeCell ref="L974:M974"/>
    <mergeCell ref="L975:M975"/>
    <mergeCell ref="F978:M978"/>
    <mergeCell ref="F979:M979"/>
    <mergeCell ref="A980:M980"/>
    <mergeCell ref="A981:M981"/>
    <mergeCell ref="A982:M982"/>
    <mergeCell ref="A964:C964"/>
    <mergeCell ref="D965:E965"/>
    <mergeCell ref="D966:E966"/>
    <mergeCell ref="D968:E968"/>
    <mergeCell ref="D969:E969"/>
    <mergeCell ref="D970:E970"/>
    <mergeCell ref="D971:E971"/>
    <mergeCell ref="I971:L971"/>
    <mergeCell ref="E897:E898"/>
    <mergeCell ref="F897:F898"/>
    <mergeCell ref="H897:H898"/>
    <mergeCell ref="L897:L898"/>
    <mergeCell ref="A897:C898"/>
    <mergeCell ref="D883:E883"/>
    <mergeCell ref="L884:M884"/>
    <mergeCell ref="L885:M885"/>
    <mergeCell ref="L886:M886"/>
    <mergeCell ref="F889:M889"/>
    <mergeCell ref="F890:M890"/>
    <mergeCell ref="A891:M891"/>
    <mergeCell ref="A892:M892"/>
    <mergeCell ref="A893:M893"/>
    <mergeCell ref="A875:C875"/>
    <mergeCell ref="D876:E876"/>
    <mergeCell ref="D877:E877"/>
    <mergeCell ref="D879:E879"/>
    <mergeCell ref="D880:E880"/>
    <mergeCell ref="D881:E881"/>
    <mergeCell ref="D882:E882"/>
    <mergeCell ref="I882:L882"/>
    <mergeCell ref="E808:E809"/>
    <mergeCell ref="F808:F809"/>
    <mergeCell ref="H808:H809"/>
    <mergeCell ref="L808:L809"/>
    <mergeCell ref="A808:C809"/>
    <mergeCell ref="D794:E794"/>
    <mergeCell ref="L795:M795"/>
    <mergeCell ref="L796:M796"/>
    <mergeCell ref="L797:M797"/>
    <mergeCell ref="F800:M800"/>
    <mergeCell ref="F801:M801"/>
    <mergeCell ref="A802:M802"/>
    <mergeCell ref="A803:M803"/>
    <mergeCell ref="A804:M804"/>
    <mergeCell ref="A786:C786"/>
    <mergeCell ref="D787:E787"/>
    <mergeCell ref="D788:E788"/>
    <mergeCell ref="D790:E790"/>
    <mergeCell ref="D791:E791"/>
    <mergeCell ref="D792:E792"/>
    <mergeCell ref="D793:E793"/>
    <mergeCell ref="I793:L793"/>
    <mergeCell ref="H719:H720"/>
    <mergeCell ref="L719:L720"/>
    <mergeCell ref="A719:C720"/>
    <mergeCell ref="A630:C631"/>
    <mergeCell ref="D616:E616"/>
    <mergeCell ref="L617:M617"/>
    <mergeCell ref="L618:M618"/>
    <mergeCell ref="L619:M619"/>
    <mergeCell ref="F622:M622"/>
    <mergeCell ref="F623:M623"/>
    <mergeCell ref="A624:M624"/>
    <mergeCell ref="A625:M625"/>
    <mergeCell ref="A626:M626"/>
    <mergeCell ref="A608:C608"/>
    <mergeCell ref="D609:E609"/>
    <mergeCell ref="D610:E610"/>
    <mergeCell ref="D612:E612"/>
    <mergeCell ref="D613:E613"/>
    <mergeCell ref="D614:E614"/>
    <mergeCell ref="D615:E615"/>
    <mergeCell ref="I615:L615"/>
    <mergeCell ref="L541:L542"/>
    <mergeCell ref="A541:C542"/>
    <mergeCell ref="D527:E527"/>
    <mergeCell ref="L528:M528"/>
    <mergeCell ref="L529:M529"/>
    <mergeCell ref="L530:M530"/>
    <mergeCell ref="F533:M533"/>
    <mergeCell ref="F534:M534"/>
    <mergeCell ref="A535:M535"/>
    <mergeCell ref="A536:M536"/>
    <mergeCell ref="A537:M537"/>
    <mergeCell ref="A519:C519"/>
    <mergeCell ref="D520:E520"/>
    <mergeCell ref="D521:E521"/>
    <mergeCell ref="D523:E523"/>
    <mergeCell ref="D524:E524"/>
    <mergeCell ref="D525:E525"/>
    <mergeCell ref="D526:E526"/>
    <mergeCell ref="I526:L526"/>
    <mergeCell ref="L452:L453"/>
    <mergeCell ref="A452:C453"/>
    <mergeCell ref="D438:E438"/>
    <mergeCell ref="L439:M439"/>
    <mergeCell ref="L440:M440"/>
    <mergeCell ref="L441:M441"/>
    <mergeCell ref="F444:M444"/>
    <mergeCell ref="F445:M445"/>
    <mergeCell ref="A446:M446"/>
    <mergeCell ref="A447:M447"/>
    <mergeCell ref="A448:M448"/>
    <mergeCell ref="A430:C430"/>
    <mergeCell ref="D431:E431"/>
    <mergeCell ref="D432:E432"/>
    <mergeCell ref="D434:E434"/>
    <mergeCell ref="D435:E435"/>
    <mergeCell ref="D436:E436"/>
    <mergeCell ref="D437:E437"/>
    <mergeCell ref="I437:L437"/>
    <mergeCell ref="L363:L364"/>
    <mergeCell ref="A363:C364"/>
    <mergeCell ref="A359:M359"/>
    <mergeCell ref="F361:L361"/>
    <mergeCell ref="A341:C341"/>
    <mergeCell ref="D342:E342"/>
    <mergeCell ref="D343:E343"/>
    <mergeCell ref="D345:E345"/>
    <mergeCell ref="D346:E346"/>
    <mergeCell ref="D347:E347"/>
    <mergeCell ref="D348:E348"/>
    <mergeCell ref="I348:L348"/>
    <mergeCell ref="D349:E349"/>
    <mergeCell ref="L262:M262"/>
    <mergeCell ref="L263:M263"/>
    <mergeCell ref="F266:M266"/>
    <mergeCell ref="F267:M267"/>
    <mergeCell ref="A268:M268"/>
    <mergeCell ref="A269:M269"/>
    <mergeCell ref="A270:M270"/>
    <mergeCell ref="F272:L272"/>
    <mergeCell ref="I274:K274"/>
    <mergeCell ref="L274:L275"/>
    <mergeCell ref="M274:M275"/>
    <mergeCell ref="A274:C275"/>
    <mergeCell ref="D253:E253"/>
    <mergeCell ref="D254:E254"/>
    <mergeCell ref="D256:E256"/>
    <mergeCell ref="D257:E257"/>
    <mergeCell ref="D258:E258"/>
    <mergeCell ref="D259:E259"/>
    <mergeCell ref="I259:L259"/>
    <mergeCell ref="D260:E260"/>
    <mergeCell ref="L261:M261"/>
    <mergeCell ref="L174:M174"/>
    <mergeCell ref="F177:M177"/>
    <mergeCell ref="F178:M178"/>
    <mergeCell ref="A179:M179"/>
    <mergeCell ref="A180:M180"/>
    <mergeCell ref="A181:M181"/>
    <mergeCell ref="F183:L183"/>
    <mergeCell ref="I185:K185"/>
    <mergeCell ref="A252:C252"/>
    <mergeCell ref="L185:L186"/>
    <mergeCell ref="M185:M186"/>
    <mergeCell ref="A185:C186"/>
    <mergeCell ref="D165:E165"/>
    <mergeCell ref="D167:E167"/>
    <mergeCell ref="D168:E168"/>
    <mergeCell ref="D169:E169"/>
    <mergeCell ref="D170:E170"/>
    <mergeCell ref="I170:L170"/>
    <mergeCell ref="D171:E171"/>
    <mergeCell ref="L172:M172"/>
    <mergeCell ref="L173:M173"/>
    <mergeCell ref="L87:N87"/>
    <mergeCell ref="F89:M89"/>
    <mergeCell ref="A90:M90"/>
    <mergeCell ref="A91:M91"/>
    <mergeCell ref="A92:M92"/>
    <mergeCell ref="F94:L94"/>
    <mergeCell ref="I96:K96"/>
    <mergeCell ref="A163:C163"/>
    <mergeCell ref="D164:E164"/>
    <mergeCell ref="L96:L97"/>
    <mergeCell ref="M96:M97"/>
    <mergeCell ref="A96:C97"/>
    <mergeCell ref="G80:H80"/>
    <mergeCell ref="I80:K80"/>
    <mergeCell ref="G81:H81"/>
    <mergeCell ref="I81:K81"/>
    <mergeCell ref="G83:H83"/>
    <mergeCell ref="G84:K84"/>
    <mergeCell ref="L84:N84"/>
    <mergeCell ref="L85:N85"/>
    <mergeCell ref="L86:N86"/>
    <mergeCell ref="I82:L83"/>
    <mergeCell ref="A74:C74"/>
    <mergeCell ref="D75:E75"/>
    <mergeCell ref="G76:H76"/>
    <mergeCell ref="I76:K76"/>
    <mergeCell ref="G77:H77"/>
    <mergeCell ref="I77:K77"/>
    <mergeCell ref="G78:H78"/>
    <mergeCell ref="I78:K78"/>
    <mergeCell ref="G79:H79"/>
    <mergeCell ref="I79:K79"/>
    <mergeCell ref="I7:K7"/>
    <mergeCell ref="DV7:EC7"/>
    <mergeCell ref="EE7:EL7"/>
    <mergeCell ref="EO7:ER7"/>
    <mergeCell ref="ES7:EV7"/>
    <mergeCell ref="EW7:EZ7"/>
    <mergeCell ref="FA7:FD7"/>
    <mergeCell ref="DY9:DZ9"/>
    <mergeCell ref="EA9:EB9"/>
    <mergeCell ref="EE9:EF9"/>
    <mergeCell ref="EH9:EI9"/>
    <mergeCell ref="EJ9:EK9"/>
    <mergeCell ref="L7:L8"/>
    <mergeCell ref="M7:M8"/>
    <mergeCell ref="BJ7:BJ8"/>
    <mergeCell ref="BM9:BM10"/>
    <mergeCell ref="BT9:BT10"/>
    <mergeCell ref="BX9:BX10"/>
    <mergeCell ref="CE9:CE10"/>
    <mergeCell ref="CG7:CG8"/>
    <mergeCell ref="CH7:CH8"/>
    <mergeCell ref="CI7:CI8"/>
    <mergeCell ref="CJ7:CJ8"/>
    <mergeCell ref="DI9:DI10"/>
    <mergeCell ref="A1:N1"/>
    <mergeCell ref="A2:N2"/>
    <mergeCell ref="A3:N3"/>
    <mergeCell ref="A4:N4"/>
    <mergeCell ref="A5:N5"/>
    <mergeCell ref="A6:C6"/>
    <mergeCell ref="D6:F6"/>
    <mergeCell ref="I6:K6"/>
    <mergeCell ref="CG6:CM6"/>
    <mergeCell ref="CC4:CC5"/>
  </mergeCells>
  <conditionalFormatting sqref="I9:I73">
    <cfRule type="cellIs" dxfId="2" priority="2" operator="lessThan">
      <formula>6</formula>
    </cfRule>
  </conditionalFormatting>
  <conditionalFormatting sqref="I85">
    <cfRule type="aboveAverage" priority="4"/>
  </conditionalFormatting>
  <conditionalFormatting sqref="M9:M73">
    <cfRule type="containsText" dxfId="1" priority="3" operator="containsText" text="5 years and below">
      <formula>NOT(ISERROR(SEARCH("5 years and below",M9)))</formula>
    </cfRule>
  </conditionalFormatting>
  <conditionalFormatting sqref="N9:N73">
    <cfRule type="containsText" dxfId="0" priority="1" operator="containsText" text="Adult">
      <formula>NOT(ISERROR(SEARCH("Adult",N9)))</formula>
    </cfRule>
  </conditionalFormatting>
  <dataValidations count="1">
    <dataValidation type="decimal" operator="lessThan" allowBlank="1" showInputMessage="1" showErrorMessage="1" sqref="F9:F73" xr:uid="{00000000-0002-0000-0000-000000000000}">
      <formula1>2</formula1>
    </dataValidation>
  </dataValidations>
  <hyperlinks>
    <hyperlink ref="R1" r:id="rId1" xr:uid="{00000000-0004-0000-0000-000000000000}"/>
  </hyperlinks>
  <printOptions horizontalCentered="1"/>
  <pageMargins left="0.3" right="0.25" top="0.45" bottom="0.33" header="0.3" footer="0.52"/>
  <pageSetup paperSize="5" pageOrder="overThenDown" orientation="portrait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Nutritional Status</vt:lpstr>
      <vt:lpstr>'Nutritional Status'!es37\</vt:lpstr>
      <vt:lpstr>'Nutritional Status'!Print_Area</vt:lpstr>
      <vt:lpstr>'Nutritional Status'!ro</vt:lpstr>
      <vt:lpstr>'Nutritional Status'!ronnie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2025-10-21T03:41:08Z</dcterms:created>
  <dcterms:modified xsi:type="dcterms:W3CDTF">2026-01-09T08:29:23Z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80E5E4DB5C24458E84FF4ED779755E95_11</vt:lpwstr>
  </property>
  <property fmtid="{D5CDD505-2E9C-101B-9397-08002B2CF9AE}" pid="3" name="KSOProductBuildVer">
    <vt:lpwstr>1033-12.2.0.22549</vt:lpwstr>
  </property>
</Properties>
</file>